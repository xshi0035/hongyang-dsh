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2" sheetId="69" r:id="rId1"/>
  </sheets>
  <externalReferences>
    <externalReference r:id="rId2"/>
  </externalReferences>
  <definedNames>
    <definedName name="_xlnm._FilterDatabase" localSheetId="0" hidden="1">Sheet2!$A$3:$AI$795</definedName>
    <definedName name="——————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A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1月暂收款转入</t>
        </r>
      </text>
    </comment>
    <comment ref="X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2月诚意金转入</t>
        </r>
      </text>
    </comment>
    <comment ref="X1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3月诚意金</t>
        </r>
      </text>
    </comment>
    <comment ref="AA67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3月暂收款转入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<sst xmlns="http://schemas.openxmlformats.org/spreadsheetml/2006/main" count="2683" uniqueCount="728">
  <si>
    <t>诚远公司日收入报表</t>
  </si>
  <si>
    <t>合计</t>
  </si>
  <si>
    <t>序号</t>
  </si>
  <si>
    <t>收款日期</t>
  </si>
  <si>
    <t>铺位号/点位号</t>
  </si>
  <si>
    <t>商户名称</t>
  </si>
  <si>
    <t>品牌</t>
  </si>
  <si>
    <t>收款金额小计</t>
  </si>
  <si>
    <t>收款来源</t>
  </si>
  <si>
    <t>款项起始期</t>
  </si>
  <si>
    <t>款项截止期</t>
  </si>
  <si>
    <t>租金</t>
  </si>
  <si>
    <t>经营服务费</t>
  </si>
  <si>
    <t>宣传服务费-推广</t>
  </si>
  <si>
    <t>多经收入-仓库</t>
  </si>
  <si>
    <t>多经收入-广告位</t>
  </si>
  <si>
    <t>固定点位-服务费收入</t>
  </si>
  <si>
    <t>临时点位收入-服务费收入</t>
  </si>
  <si>
    <t>后付水费</t>
  </si>
  <si>
    <t>后付电费</t>
  </si>
  <si>
    <t>预付电费</t>
  </si>
  <si>
    <t>装修管理费</t>
  </si>
  <si>
    <t>垃圾清运费</t>
  </si>
  <si>
    <t>证件工本费</t>
  </si>
  <si>
    <t>停车费</t>
  </si>
  <si>
    <t>诚意金</t>
  </si>
  <si>
    <t>装修押金</t>
  </si>
  <si>
    <t>保证金</t>
  </si>
  <si>
    <t>暂收款</t>
  </si>
  <si>
    <t>消防泄水费</t>
  </si>
  <si>
    <t>其他</t>
  </si>
  <si>
    <t>购券</t>
  </si>
  <si>
    <t>代收款
（UONE健身-6001）</t>
  </si>
  <si>
    <t>备注</t>
  </si>
  <si>
    <t>是否已开票据</t>
  </si>
  <si>
    <t>票据号码</t>
  </si>
  <si>
    <t>开票日期</t>
  </si>
  <si>
    <t>5002A,5002B</t>
  </si>
  <si>
    <t>涂小兰</t>
  </si>
  <si>
    <t>炊牛大烩</t>
  </si>
  <si>
    <t>银行转账2038</t>
  </si>
  <si>
    <t>5015</t>
  </si>
  <si>
    <t>博纳国际影城</t>
  </si>
  <si>
    <t>5016</t>
  </si>
  <si>
    <t>衡阳博纳影院管理有限公司</t>
  </si>
  <si>
    <t>博纳影院外广场南面灯箱</t>
  </si>
  <si>
    <t>2033</t>
  </si>
  <si>
    <t>罗研</t>
  </si>
  <si>
    <t>樊文花</t>
  </si>
  <si>
    <t>POS收款</t>
  </si>
  <si>
    <t>收据</t>
  </si>
  <si>
    <t>2026.4.1</t>
  </si>
  <si>
    <t>JYF1-011</t>
  </si>
  <si>
    <t>尹娟</t>
  </si>
  <si>
    <t>臻品伊选</t>
  </si>
  <si>
    <t>保证金5000元已开收据</t>
  </si>
  <si>
    <t>1019BA</t>
  </si>
  <si>
    <t>贺妃</t>
  </si>
  <si>
    <t>依沐裳</t>
  </si>
  <si>
    <t>收缴表暂无数据，保证金已开收据</t>
  </si>
  <si>
    <t>收缴表暂无数据</t>
  </si>
  <si>
    <t>CK-CW-009</t>
  </si>
  <si>
    <t>陆谢</t>
  </si>
  <si>
    <t>吉布鲁仓库4月电费充值</t>
  </si>
  <si>
    <t>水电费明细表暂未录数据</t>
  </si>
  <si>
    <t>5001</t>
  </si>
  <si>
    <t>吉布鲁4月水费充值</t>
  </si>
  <si>
    <t>1030</t>
  </si>
  <si>
    <t>凌海洋</t>
  </si>
  <si>
    <t>花语集洋装馆</t>
  </si>
  <si>
    <t>装修押金5100元已开收据</t>
  </si>
  <si>
    <t>7483413/7472873</t>
  </si>
  <si>
    <t>停车费充值</t>
  </si>
  <si>
    <t>代收款</t>
  </si>
  <si>
    <t>UONE健身-6001</t>
  </si>
  <si>
    <t>3022</t>
  </si>
  <si>
    <t>宝宝来当家-3022</t>
  </si>
  <si>
    <t>企业微信706</t>
  </si>
  <si>
    <t>4010-1</t>
  </si>
  <si>
    <t>许府牛-5003-1</t>
  </si>
  <si>
    <t>5003</t>
  </si>
  <si>
    <t>许府牛-5003</t>
  </si>
  <si>
    <t>5021B</t>
  </si>
  <si>
    <t>超鸡魔王-5021B</t>
  </si>
  <si>
    <t>3026</t>
  </si>
  <si>
    <t>星辰弓射箭馆A-3026</t>
  </si>
  <si>
    <t>5018</t>
  </si>
  <si>
    <t>遇尚饼-5018</t>
  </si>
  <si>
    <t>1001</t>
  </si>
  <si>
    <t>瞄一瞄-1001</t>
  </si>
  <si>
    <t>3033</t>
  </si>
  <si>
    <t>趣捞鱼-3033</t>
  </si>
  <si>
    <t>吉布鲁-5001</t>
  </si>
  <si>
    <t>5001A</t>
  </si>
  <si>
    <t>吉布鲁-5001A</t>
  </si>
  <si>
    <t>5009</t>
  </si>
  <si>
    <t>蛙赛牛蛙-5009</t>
  </si>
  <si>
    <t>4018</t>
  </si>
  <si>
    <t>大黎小齐-4018</t>
  </si>
  <si>
    <t>停车费临时</t>
  </si>
  <si>
    <t>企业微信380</t>
  </si>
  <si>
    <t>1001AA</t>
  </si>
  <si>
    <t>李宁</t>
  </si>
  <si>
    <t>1022</t>
  </si>
  <si>
    <t>三福</t>
  </si>
  <si>
    <t>5023A</t>
  </si>
  <si>
    <t>欣椰遇</t>
  </si>
  <si>
    <t>3015</t>
  </si>
  <si>
    <t>米乐熊-3015</t>
  </si>
  <si>
    <t>5006</t>
  </si>
  <si>
    <t>湘下佬-5006</t>
  </si>
  <si>
    <t>4002</t>
  </si>
  <si>
    <t>藤野造型-4002</t>
  </si>
  <si>
    <t>4006</t>
  </si>
  <si>
    <t>发发桌球-4006</t>
  </si>
  <si>
    <t>4007</t>
  </si>
  <si>
    <t>发发桌球-4007</t>
  </si>
  <si>
    <t>4008</t>
  </si>
  <si>
    <t>发发桌球-4008</t>
  </si>
  <si>
    <t>4009</t>
  </si>
  <si>
    <t>发发桌球-4009</t>
  </si>
  <si>
    <t>4010</t>
  </si>
  <si>
    <t>发发桌球-4010</t>
  </si>
  <si>
    <t>发发桌球专用电梯-4010-1</t>
  </si>
  <si>
    <t>4001</t>
  </si>
  <si>
    <t>星聚会-4001</t>
  </si>
  <si>
    <t>欣椰遇-5023A</t>
  </si>
  <si>
    <t>2010</t>
  </si>
  <si>
    <t>保罗奥德赛-2010</t>
  </si>
  <si>
    <t>5017</t>
  </si>
  <si>
    <t>胖大厨肉蟹煲-5017</t>
  </si>
  <si>
    <t>3009</t>
  </si>
  <si>
    <t>摩趣邦-3009</t>
  </si>
  <si>
    <t>006</t>
  </si>
  <si>
    <t>南沫-JYF3-006</t>
  </si>
  <si>
    <t>3032</t>
  </si>
  <si>
    <t>优学派-3032</t>
  </si>
  <si>
    <t>1003</t>
  </si>
  <si>
    <t>非否-1003</t>
  </si>
  <si>
    <t>2008</t>
  </si>
  <si>
    <t>潮流前线-2008</t>
  </si>
  <si>
    <t>1016</t>
  </si>
  <si>
    <t>森林鸟-1016</t>
  </si>
  <si>
    <t>3037</t>
  </si>
  <si>
    <t>哈哩屋的小baby-3037</t>
  </si>
  <si>
    <t>2029</t>
  </si>
  <si>
    <t>长沙奥龙鞋业销售有限公司</t>
  </si>
  <si>
    <t>AOKANG奥康</t>
  </si>
  <si>
    <t>发票</t>
  </si>
  <si>
    <t xml:space="preserve">26432000000916700000
26432000000916499311
</t>
  </si>
  <si>
    <t>1011</t>
  </si>
  <si>
    <t>小米</t>
  </si>
  <si>
    <t>湖南亮点体育文化发展有限公司</t>
  </si>
  <si>
    <t>发发桌球-充停车券</t>
  </si>
  <si>
    <t>2020</t>
  </si>
  <si>
    <t>原匠-2020</t>
  </si>
  <si>
    <t>2012B</t>
  </si>
  <si>
    <t>亦心恋-2012B</t>
  </si>
  <si>
    <t>1019-BB</t>
  </si>
  <si>
    <t>恋惠优品-1019-BB</t>
  </si>
  <si>
    <t>2016B</t>
  </si>
  <si>
    <t>大东-2016B</t>
  </si>
  <si>
    <t>2019</t>
  </si>
  <si>
    <t>香蜜闺秀-2019</t>
  </si>
  <si>
    <t>2023</t>
  </si>
  <si>
    <t>梵西诺保罗-2023</t>
  </si>
  <si>
    <t>2027</t>
  </si>
  <si>
    <t>聚美秀颜</t>
  </si>
  <si>
    <t>工本费</t>
  </si>
  <si>
    <t>4025</t>
  </si>
  <si>
    <t>向荣拳击-4025</t>
  </si>
  <si>
    <t>3029B</t>
  </si>
  <si>
    <t>乔克叔叔-3029B</t>
  </si>
  <si>
    <t>3035</t>
  </si>
  <si>
    <t>币币之家-3035</t>
  </si>
  <si>
    <t>2006</t>
  </si>
  <si>
    <t>蜘蛛王-2006</t>
  </si>
  <si>
    <t>1020</t>
  </si>
  <si>
    <t>潮玩空间-1020</t>
  </si>
  <si>
    <t>2039</t>
  </si>
  <si>
    <t>美思-2039</t>
  </si>
  <si>
    <t>陈洁</t>
  </si>
  <si>
    <t>非否FELLFOR</t>
  </si>
  <si>
    <t>2007</t>
  </si>
  <si>
    <t>珂兰雅-2007</t>
  </si>
  <si>
    <t>5011</t>
  </si>
  <si>
    <t>沅柒洞石锅拌饭-5011</t>
  </si>
  <si>
    <t>2013</t>
  </si>
  <si>
    <t>京东之家-2013</t>
  </si>
  <si>
    <t>5021A</t>
  </si>
  <si>
    <t>夏日玛莉-5021A</t>
  </si>
  <si>
    <t>奥康-2029</t>
  </si>
  <si>
    <t>2038</t>
  </si>
  <si>
    <t>七匹狼-2038</t>
  </si>
  <si>
    <t>5002A</t>
  </si>
  <si>
    <t>柴煲煲</t>
  </si>
  <si>
    <t>5002B</t>
  </si>
  <si>
    <t>4010-2</t>
  </si>
  <si>
    <t>发发桌球制冰设备-4010-2</t>
  </si>
  <si>
    <t>2009A</t>
  </si>
  <si>
    <t>大锤配镜-2009A</t>
  </si>
  <si>
    <t>2009B</t>
  </si>
  <si>
    <t>忆扬亦可-2009B</t>
  </si>
  <si>
    <t>JYF2-004</t>
  </si>
  <si>
    <t>李栋</t>
  </si>
  <si>
    <t>飞科</t>
  </si>
  <si>
    <t>1005</t>
  </si>
  <si>
    <t>oppo</t>
  </si>
  <si>
    <t>3005</t>
  </si>
  <si>
    <t>刘诗杰</t>
  </si>
  <si>
    <t>愤怒的弹珠</t>
  </si>
  <si>
    <t>莫德明</t>
  </si>
  <si>
    <t>装修押金10000元已开收据</t>
  </si>
  <si>
    <t>2026.4.7</t>
  </si>
  <si>
    <t>5005</t>
  </si>
  <si>
    <t>两个水果</t>
  </si>
  <si>
    <t>5022</t>
  </si>
  <si>
    <t>书亦烧仙草</t>
  </si>
  <si>
    <t>超鸡魔王</t>
  </si>
  <si>
    <t>遇尚饼</t>
  </si>
  <si>
    <t>长沙君优美电子有限公司</t>
  </si>
  <si>
    <t>OPPO-1005</t>
  </si>
  <si>
    <t>2036</t>
  </si>
  <si>
    <t>洗脸猫-2036</t>
  </si>
  <si>
    <t>1009AB</t>
  </si>
  <si>
    <t>柠季-1009AB</t>
  </si>
  <si>
    <t>2016AA</t>
  </si>
  <si>
    <t>新百伦领跑-2016AA</t>
  </si>
  <si>
    <t>1059</t>
  </si>
  <si>
    <t>名创优品-1059</t>
  </si>
  <si>
    <t>4031</t>
  </si>
  <si>
    <t>美甲美睫-4031</t>
  </si>
  <si>
    <t>5010</t>
  </si>
  <si>
    <t>潮正和</t>
  </si>
  <si>
    <t>2021</t>
  </si>
  <si>
    <t>唐文文</t>
  </si>
  <si>
    <t>开心哈乐亲子乐园</t>
  </si>
  <si>
    <t>JYF1-005-1</t>
  </si>
  <si>
    <t>自然堂</t>
  </si>
  <si>
    <t>QTF1-009</t>
  </si>
  <si>
    <t>张先涛</t>
  </si>
  <si>
    <t>JUST.FOTO</t>
  </si>
  <si>
    <t>QTF1-DX022</t>
  </si>
  <si>
    <t>衡阳市蒸湘区瑞隆首饰店（个体工商户）</t>
  </si>
  <si>
    <t>六福珠宝</t>
  </si>
  <si>
    <t>衡阳市蒸湘区瑞隆首饰店（个体工商户）汇入，收缴表无数据</t>
  </si>
  <si>
    <t>夜市摊位2</t>
  </si>
  <si>
    <t>鸡翅包饭</t>
  </si>
  <si>
    <t>夜市摊位21</t>
  </si>
  <si>
    <t>奥尔良烤鸡腿，煎饼果子</t>
  </si>
  <si>
    <t>夜市摊位8</t>
  </si>
  <si>
    <t>烤冷面、手抓饼</t>
  </si>
  <si>
    <t>夜市摊位1</t>
  </si>
  <si>
    <t>粤式牛杂</t>
  </si>
  <si>
    <t>夜市摊位A1</t>
  </si>
  <si>
    <t>夜包子</t>
  </si>
  <si>
    <t>夜市摊位14</t>
  </si>
  <si>
    <t>一元寿司</t>
  </si>
  <si>
    <t>DJ-QTF1-001</t>
  </si>
  <si>
    <t>石志远</t>
  </si>
  <si>
    <t>兰迪雅</t>
  </si>
  <si>
    <t>抽成租金</t>
  </si>
  <si>
    <t>夜市摊位6</t>
  </si>
  <si>
    <t>冰豆花、芝士烤榴莲</t>
  </si>
  <si>
    <t>夜市摊位5</t>
  </si>
  <si>
    <t>鲜肉饼</t>
  </si>
  <si>
    <t>JYF5-005</t>
  </si>
  <si>
    <t>朝花汐食</t>
  </si>
  <si>
    <t>CK-CW-007</t>
  </si>
  <si>
    <t>滕招锦</t>
  </si>
  <si>
    <t>朝花汐食仓库</t>
  </si>
  <si>
    <t>夜市摊位12</t>
  </si>
  <si>
    <t>暖冬古法烤梨，糖水</t>
  </si>
  <si>
    <t>1009B</t>
  </si>
  <si>
    <t>几多全</t>
  </si>
  <si>
    <t>JYF1-007</t>
  </si>
  <si>
    <t>张万福</t>
  </si>
  <si>
    <t>藤野造型</t>
  </si>
  <si>
    <t>周乐群</t>
  </si>
  <si>
    <t>向荣拳击</t>
  </si>
  <si>
    <t>QTF1-配套003</t>
  </si>
  <si>
    <t>配套服务-皮具维修</t>
  </si>
  <si>
    <t>夜市摊位7</t>
  </si>
  <si>
    <t>网红炒饭/炒面</t>
  </si>
  <si>
    <t>QTF1-配套002</t>
  </si>
  <si>
    <t>配套服务-服装修改织补</t>
  </si>
  <si>
    <t>柠季</t>
  </si>
  <si>
    <t>夜市摊位13</t>
  </si>
  <si>
    <t>香酥炸鸡，鸭</t>
  </si>
  <si>
    <t>3019，3020，JYF3-010</t>
  </si>
  <si>
    <t>匡飞</t>
  </si>
  <si>
    <t>鑫潮乐玩-诚意金</t>
  </si>
  <si>
    <t>2026.4.8</t>
  </si>
  <si>
    <t>夜市摊位4</t>
  </si>
  <si>
    <t>烧烤，鱿鱼，烤面筋</t>
  </si>
  <si>
    <t>夜市摊位3</t>
  </si>
  <si>
    <t>串串麻辣烫</t>
  </si>
  <si>
    <t>袁玲</t>
  </si>
  <si>
    <t>AMXS-1003</t>
  </si>
  <si>
    <t>装修押金5000元已开收据，收缴表暂无数据</t>
  </si>
  <si>
    <t>夜市摊位10</t>
  </si>
  <si>
    <t>糖葫芦，紫米饭团，柠檬茶</t>
  </si>
  <si>
    <t>夜市摊位11</t>
  </si>
  <si>
    <t>鲜榨果汁，鸡蛋仔，链子胡</t>
  </si>
  <si>
    <t>吴艳芳</t>
  </si>
  <si>
    <t>熊兮兮</t>
  </si>
  <si>
    <t>夜市摊位20</t>
  </si>
  <si>
    <t>烤生蚝</t>
  </si>
  <si>
    <t>1038</t>
  </si>
  <si>
    <t>哈森-1038</t>
  </si>
  <si>
    <t>1036</t>
  </si>
  <si>
    <t>六福珠宝-1036</t>
  </si>
  <si>
    <t>2003</t>
  </si>
  <si>
    <t>银点-2003</t>
  </si>
  <si>
    <t>JY-W1-010</t>
  </si>
  <si>
    <t>谢标</t>
  </si>
  <si>
    <t>泡泡机</t>
  </si>
  <si>
    <t>5019</t>
  </si>
  <si>
    <t>熊美容</t>
  </si>
  <si>
    <t>波比艾斯</t>
  </si>
  <si>
    <t>JYF3-012</t>
  </si>
  <si>
    <t>陈冠</t>
  </si>
  <si>
    <t>太空历险绳网意向金</t>
  </si>
  <si>
    <t>3001</t>
  </si>
  <si>
    <t>快乐街区-3001</t>
  </si>
  <si>
    <t>快乐街区-3002</t>
  </si>
  <si>
    <t>集装箱诚意金</t>
  </si>
  <si>
    <t>邓启鹏</t>
  </si>
  <si>
    <t>易鱿</t>
  </si>
  <si>
    <t>JYF1-001</t>
  </si>
  <si>
    <t>手机虾</t>
  </si>
  <si>
    <t>2001</t>
  </si>
  <si>
    <t>恒德口腔</t>
  </si>
  <si>
    <t>董保裕</t>
  </si>
  <si>
    <t>夜市摊位E13</t>
  </si>
  <si>
    <t>烈火牛肉，铁板鱿鱼</t>
  </si>
  <si>
    <t>2018</t>
  </si>
  <si>
    <t>百变城</t>
  </si>
  <si>
    <t>夜市摊位D13</t>
  </si>
  <si>
    <t>福鼎肉片，酸辣粉</t>
  </si>
  <si>
    <t>夜市摊位B13</t>
  </si>
  <si>
    <t>一元一串起现捞鸭脖</t>
  </si>
  <si>
    <t>胖大厨</t>
  </si>
  <si>
    <t>星聚汇KTV</t>
  </si>
  <si>
    <t>夜市摊位A13</t>
  </si>
  <si>
    <t>凉皮、拌粉、卤肉卷</t>
  </si>
  <si>
    <t>许府牛</t>
  </si>
  <si>
    <t>5025A</t>
  </si>
  <si>
    <t>何秋苹</t>
  </si>
  <si>
    <t>赖胖子肉蟹煲</t>
  </si>
  <si>
    <t>夜市摊位C13</t>
  </si>
  <si>
    <t>章鱼小丸子、奶酪麻糍</t>
  </si>
  <si>
    <t>3017</t>
  </si>
  <si>
    <t>星球很忙-3017</t>
  </si>
  <si>
    <t>3008</t>
  </si>
  <si>
    <t>balabala-3008</t>
  </si>
  <si>
    <t>3016</t>
  </si>
  <si>
    <t>火火兔启蒙玩学馆-3016</t>
  </si>
  <si>
    <t>5002</t>
  </si>
  <si>
    <t>兰江溪.鲜辣江西菜</t>
  </si>
  <si>
    <t>JYF1-009</t>
  </si>
  <si>
    <t>爱回收</t>
  </si>
  <si>
    <t>JYW1-003</t>
  </si>
  <si>
    <t>希朵曼</t>
  </si>
  <si>
    <t>江苏居然智慧家智能科技有限公司</t>
  </si>
  <si>
    <t>一楼通讯商铺意向金</t>
  </si>
  <si>
    <t>2026.4.10</t>
  </si>
  <si>
    <t>2005</t>
  </si>
  <si>
    <t>洪菊香</t>
  </si>
  <si>
    <t>芬腾</t>
  </si>
  <si>
    <t>1009A</t>
  </si>
  <si>
    <t>茶颜悦色</t>
  </si>
  <si>
    <t>5009A</t>
  </si>
  <si>
    <t>周建华</t>
  </si>
  <si>
    <t>蛙赛牛蛙</t>
  </si>
  <si>
    <t>收缴表暂无数据，2026.7.20收款数据已补录收缴表</t>
  </si>
  <si>
    <t>外广场公交站</t>
  </si>
  <si>
    <t>正新鸡排</t>
  </si>
  <si>
    <t>JYF3-010</t>
  </si>
  <si>
    <t>刘宏</t>
  </si>
  <si>
    <t>摩趣邦</t>
  </si>
  <si>
    <t>潮正和-5010</t>
  </si>
  <si>
    <t>1057</t>
  </si>
  <si>
    <t>衡晨文体-1057</t>
  </si>
  <si>
    <t>JYF3-006</t>
  </si>
  <si>
    <t>4028</t>
  </si>
  <si>
    <t>树山回声-4028</t>
  </si>
  <si>
    <t>两个水果-5005</t>
  </si>
  <si>
    <t>2037</t>
  </si>
  <si>
    <t>宁小兰</t>
  </si>
  <si>
    <t>卓诗尼</t>
  </si>
  <si>
    <t>3029A</t>
  </si>
  <si>
    <t>周小舟</t>
  </si>
  <si>
    <t>童年衣柜</t>
  </si>
  <si>
    <t>JYF1-005</t>
  </si>
  <si>
    <t>太空历险</t>
  </si>
  <si>
    <t>DJ-QTB1-XCH-001</t>
  </si>
  <si>
    <t>车与家</t>
  </si>
  <si>
    <t>夜市摊位9</t>
  </si>
  <si>
    <t>臭豆腐</t>
  </si>
  <si>
    <t>消防卷帘门损坏赔偿款</t>
  </si>
  <si>
    <t>B1006</t>
  </si>
  <si>
    <t>孙洪君</t>
  </si>
  <si>
    <t>绿色春天四季养生</t>
  </si>
  <si>
    <t>2026.4.11</t>
  </si>
  <si>
    <t>芬腾-2005</t>
  </si>
  <si>
    <t>2012A</t>
  </si>
  <si>
    <t>欧露艾米-2012A</t>
  </si>
  <si>
    <t>JYF5-004</t>
  </si>
  <si>
    <t>吧啦啦-JYF5-004</t>
  </si>
  <si>
    <t>TOMATO BAG-1030</t>
  </si>
  <si>
    <t>2022</t>
  </si>
  <si>
    <t>亨利风尚-2022</t>
  </si>
  <si>
    <t>魏雪礼</t>
  </si>
  <si>
    <t>初蒸小笼包定金</t>
  </si>
  <si>
    <t>刘湘仪</t>
  </si>
  <si>
    <t>5020</t>
  </si>
  <si>
    <t>牧司烤肉</t>
  </si>
  <si>
    <t>罗安</t>
  </si>
  <si>
    <t>保证金27016元已开收据</t>
  </si>
  <si>
    <t>2026.4.12</t>
  </si>
  <si>
    <t>5025B</t>
  </si>
  <si>
    <t>民间小炊烟</t>
  </si>
  <si>
    <t>4012</t>
  </si>
  <si>
    <t>融艺舞蹈-4012</t>
  </si>
  <si>
    <t>3023</t>
  </si>
  <si>
    <t>尼彩文心-3023</t>
  </si>
  <si>
    <t>1015</t>
  </si>
  <si>
    <t>林祥富</t>
  </si>
  <si>
    <t>昨美女装-1015</t>
  </si>
  <si>
    <t>3030</t>
  </si>
  <si>
    <t>爱婴室</t>
  </si>
  <si>
    <t>文业东</t>
  </si>
  <si>
    <t>711便利店租金与押金</t>
  </si>
  <si>
    <t>JYF2-003、JYF3-005、QTF-4001</t>
  </si>
  <si>
    <t>长沙奥登电子科技有限公司</t>
  </si>
  <si>
    <t>乐摩吧按摩椅</t>
  </si>
  <si>
    <t>5013</t>
  </si>
  <si>
    <t>虾健健</t>
  </si>
  <si>
    <t>3011</t>
  </si>
  <si>
    <t>衡阳市蒸湘区雁之地舞元素艺术培训学校有限公司</t>
  </si>
  <si>
    <t>地舞元素</t>
  </si>
  <si>
    <t>保证金27580+3500元已开收据，收缴表暂无数据</t>
  </si>
  <si>
    <t>7472851/52</t>
  </si>
  <si>
    <t>2026.4.13</t>
  </si>
  <si>
    <t>2011B</t>
  </si>
  <si>
    <t>珂尼莎蔓</t>
  </si>
  <si>
    <t>童年衣柜-3029A</t>
  </si>
  <si>
    <t>愤怒的弹珠-3005</t>
  </si>
  <si>
    <t>2025</t>
  </si>
  <si>
    <t>华南虎-2025</t>
  </si>
  <si>
    <t>4019</t>
  </si>
  <si>
    <t>INX吾限舞蹈-4019</t>
  </si>
  <si>
    <t>范建亮</t>
  </si>
  <si>
    <t>九州药房押金18000；房租18000元</t>
  </si>
  <si>
    <t>2026.4.14</t>
  </si>
  <si>
    <t>1050B</t>
  </si>
  <si>
    <t>UAU-1050B</t>
  </si>
  <si>
    <t>1029</t>
  </si>
  <si>
    <t>滚球De店-1029</t>
  </si>
  <si>
    <t>2028</t>
  </si>
  <si>
    <t>布迪设计-2028</t>
  </si>
  <si>
    <t>1006A、1006B</t>
  </si>
  <si>
    <t>长沙屈臣氏个人用品商店有限公司</t>
  </si>
  <si>
    <t>屈臣氏</t>
  </si>
  <si>
    <t>孙叶芹</t>
  </si>
  <si>
    <t>Senlinniao森林鸟</t>
  </si>
  <si>
    <t>1008</t>
  </si>
  <si>
    <t>百胜餐饮（武汉）有限公司湖南分公司</t>
  </si>
  <si>
    <t>必胜客</t>
  </si>
  <si>
    <t>湖北疆海电子商务有限公司</t>
  </si>
  <si>
    <t>转转</t>
  </si>
  <si>
    <t>3028</t>
  </si>
  <si>
    <t>郑雪娟</t>
  </si>
  <si>
    <t>杰米熊</t>
  </si>
  <si>
    <t>4011</t>
  </si>
  <si>
    <t>唐歆</t>
  </si>
  <si>
    <t>融艺舞蹈培训</t>
  </si>
  <si>
    <t>2026</t>
  </si>
  <si>
    <t>勇者急速1-2026</t>
  </si>
  <si>
    <t>1032</t>
  </si>
  <si>
    <t>瞄一瞄-1032</t>
  </si>
  <si>
    <t>5003-1</t>
  </si>
  <si>
    <t>1012、1013</t>
  </si>
  <si>
    <t>长沙肯德基有限公司</t>
  </si>
  <si>
    <t>肯德基</t>
  </si>
  <si>
    <t>QT-QTF1-010、QT-QTF5-001</t>
  </si>
  <si>
    <t>礼品机租金</t>
  </si>
  <si>
    <t>6003</t>
  </si>
  <si>
    <t>周佳</t>
  </si>
  <si>
    <t>佳丽鼓舞</t>
  </si>
  <si>
    <t>JYF3-008</t>
  </si>
  <si>
    <t>弹珠有名-JYF3-008</t>
  </si>
  <si>
    <t>2011A</t>
  </si>
  <si>
    <t>芭妮瑞丝-2011A</t>
  </si>
  <si>
    <t>傅娇</t>
  </si>
  <si>
    <t>陈兵虎</t>
  </si>
  <si>
    <t>谢涛</t>
  </si>
  <si>
    <t>左家雁</t>
  </si>
  <si>
    <t>刘德聪</t>
  </si>
  <si>
    <t>王明军</t>
  </si>
  <si>
    <t>唐靖</t>
  </si>
  <si>
    <t>宋光福</t>
  </si>
  <si>
    <t>贺卿云</t>
  </si>
  <si>
    <t>唐斌</t>
  </si>
  <si>
    <t>杨芳</t>
  </si>
  <si>
    <t>吴赛博</t>
  </si>
  <si>
    <t>何伟伟</t>
  </si>
  <si>
    <t>2031</t>
  </si>
  <si>
    <t>周喜</t>
  </si>
  <si>
    <t>M&amp;A</t>
  </si>
  <si>
    <t>3021A</t>
  </si>
  <si>
    <t>学乐英语</t>
  </si>
  <si>
    <t>鑫潮乐玩</t>
  </si>
  <si>
    <t>收缴表暂无数据，诚意金收据7483416#已收回，保证金26520元已开据</t>
  </si>
  <si>
    <t>2026.4.17</t>
  </si>
  <si>
    <t>3025</t>
  </si>
  <si>
    <t>衡晨文体-3025</t>
  </si>
  <si>
    <t>1053</t>
  </si>
  <si>
    <t>谷之星-1053</t>
  </si>
  <si>
    <t>长沙紫荆花商贸有限公司</t>
  </si>
  <si>
    <t>自然堂、丸美</t>
  </si>
  <si>
    <t>1037</t>
  </si>
  <si>
    <t>衡阳市尚达昌电子商务有限公司</t>
  </si>
  <si>
    <t>APPLE</t>
  </si>
  <si>
    <t>陈霞</t>
  </si>
  <si>
    <t>祝芳艳</t>
  </si>
  <si>
    <t>莫品</t>
  </si>
  <si>
    <t>李予</t>
  </si>
  <si>
    <t>谭超</t>
  </si>
  <si>
    <t>GGW-SW-008</t>
  </si>
  <si>
    <t>衡阳市蒸湘区衡顺餐厅（个体工商户）</t>
  </si>
  <si>
    <t>湘约绿草地广告灯箱</t>
  </si>
  <si>
    <t>26432000000947499091</t>
  </si>
  <si>
    <t>2026.4.28</t>
  </si>
  <si>
    <t>5008</t>
  </si>
  <si>
    <t>绿草地</t>
  </si>
  <si>
    <t xml:space="preserve">26432000000947387236
</t>
  </si>
  <si>
    <t>1035</t>
  </si>
  <si>
    <t>周大生-1035</t>
  </si>
  <si>
    <t>1018</t>
  </si>
  <si>
    <t>伶俐-1018</t>
  </si>
  <si>
    <t xml:space="preserve"> 
26432000000916047526
</t>
  </si>
  <si>
    <t>邓超</t>
  </si>
  <si>
    <t>JYF4-009</t>
  </si>
  <si>
    <t>衡阳澳鑫体育文化有限公司</t>
  </si>
  <si>
    <t>澳鑫体育</t>
  </si>
  <si>
    <t>3007、3008</t>
  </si>
  <si>
    <t>刘益豪</t>
  </si>
  <si>
    <t>balabala</t>
  </si>
  <si>
    <t>范亚琼</t>
  </si>
  <si>
    <t>封旭</t>
  </si>
  <si>
    <t>布迪设计</t>
  </si>
  <si>
    <t>肖超杰</t>
  </si>
  <si>
    <t>刘露</t>
  </si>
  <si>
    <t>亦心恋</t>
  </si>
  <si>
    <t>3010</t>
  </si>
  <si>
    <t>徐建雷</t>
  </si>
  <si>
    <t>宝贝都星梦镜</t>
  </si>
  <si>
    <t>2035</t>
  </si>
  <si>
    <t>伊那古</t>
  </si>
  <si>
    <t>兰迪雅仓库</t>
  </si>
  <si>
    <t>开心哈乐-2021</t>
  </si>
  <si>
    <t>1039</t>
  </si>
  <si>
    <t>AIAL-1039</t>
  </si>
  <si>
    <t>毛丽</t>
  </si>
  <si>
    <t>QTF1-004</t>
  </si>
  <si>
    <t>友唱机</t>
  </si>
  <si>
    <t>谭娜</t>
  </si>
  <si>
    <t>沅柒洞石锅拌饭</t>
  </si>
  <si>
    <t>未开晨会罚款</t>
  </si>
  <si>
    <t>刘连</t>
  </si>
  <si>
    <t>哈哩屋的小baby</t>
  </si>
  <si>
    <t>王慧霞</t>
  </si>
  <si>
    <t>卓诗尼-2037</t>
  </si>
  <si>
    <t>学乐英语-3021A</t>
  </si>
  <si>
    <t>周健虎</t>
  </si>
  <si>
    <t>5002A、5002B</t>
  </si>
  <si>
    <t>原兰江溪品牌更换为柴煲煲</t>
  </si>
  <si>
    <t>QTF3-001</t>
  </si>
  <si>
    <t>学而思</t>
  </si>
  <si>
    <t>长沙强盛领跑体育有限公司/武汉聚腾鑫飞体育科技有限公司</t>
  </si>
  <si>
    <t>新百伦领跑</t>
  </si>
  <si>
    <t>1019A</t>
  </si>
  <si>
    <t>朱鑫爱</t>
  </si>
  <si>
    <t>紫色花语</t>
  </si>
  <si>
    <t>1025-1028</t>
  </si>
  <si>
    <t>钟振中</t>
  </si>
  <si>
    <t>俪索</t>
  </si>
  <si>
    <t>1026</t>
  </si>
  <si>
    <t>2016B,2F-2017</t>
  </si>
  <si>
    <t>丁海军</t>
  </si>
  <si>
    <t>大东</t>
  </si>
  <si>
    <t>装修押金5000元已开收据</t>
  </si>
  <si>
    <t>2026.4.22</t>
  </si>
  <si>
    <t>300元电费暂未充值</t>
  </si>
  <si>
    <t>QTF1-配套004</t>
  </si>
  <si>
    <t>兔喜快递超市</t>
  </si>
  <si>
    <t>高威</t>
  </si>
  <si>
    <t>勇者急速</t>
  </si>
  <si>
    <t>李江飞</t>
  </si>
  <si>
    <t>梵西诺·保罗</t>
  </si>
  <si>
    <t>飞科-JYF2-004</t>
  </si>
  <si>
    <t>JYF1-003</t>
  </si>
  <si>
    <t>七度银饰-JYF1-003</t>
  </si>
  <si>
    <t>MA-2031</t>
  </si>
  <si>
    <t>3001、3002、3003</t>
  </si>
  <si>
    <t>汪静（衡阳市蒸湘区快乐街区动漫电玩中心）</t>
  </si>
  <si>
    <t>快乐街区</t>
  </si>
  <si>
    <t>1001AB,1001BB</t>
  </si>
  <si>
    <t>马黎平</t>
  </si>
  <si>
    <t>瞄一瞄集采</t>
  </si>
  <si>
    <t>3013</t>
  </si>
  <si>
    <t>尹德新</t>
  </si>
  <si>
    <t>星速度轮滑</t>
  </si>
  <si>
    <t>杰米熊-3028</t>
  </si>
  <si>
    <t>3031</t>
  </si>
  <si>
    <t>九拍-3031</t>
  </si>
  <si>
    <t>1021</t>
  </si>
  <si>
    <t>恋惠优品-1021</t>
  </si>
  <si>
    <t>潍坊壳满满商贸有限公司</t>
  </si>
  <si>
    <t>姚珊</t>
  </si>
  <si>
    <t>伶俐（新）</t>
  </si>
  <si>
    <t>吉布鲁</t>
  </si>
  <si>
    <t>2030</t>
  </si>
  <si>
    <t>方钧可</t>
  </si>
  <si>
    <t>2楼回力</t>
  </si>
  <si>
    <t>书亦烧仙草-5022</t>
  </si>
  <si>
    <t>4017</t>
  </si>
  <si>
    <t>大黎小齐-4017</t>
  </si>
  <si>
    <t>吴利敏</t>
  </si>
  <si>
    <t>华南虎</t>
  </si>
  <si>
    <t xml:space="preserve">  </t>
  </si>
  <si>
    <t>B1015、B1013</t>
  </si>
  <si>
    <t>周涛</t>
  </si>
  <si>
    <t>花语集洋装馆-1030</t>
  </si>
  <si>
    <t>4022</t>
  </si>
  <si>
    <t>维克多机器人-4022</t>
  </si>
  <si>
    <t>1017</t>
  </si>
  <si>
    <t>范缇-1017</t>
  </si>
  <si>
    <t>GGW-SW-007</t>
  </si>
  <si>
    <t>发发桌球广告灯箱</t>
  </si>
  <si>
    <t>发发桌球（一楼10.11号电梯前室）</t>
  </si>
  <si>
    <t>发发桌球电梯前室</t>
  </si>
  <si>
    <t>4006-4010</t>
  </si>
  <si>
    <t>曾田春</t>
  </si>
  <si>
    <t>趣捞渔</t>
  </si>
  <si>
    <t>转款人为由清青，收缴表暂无数据</t>
  </si>
  <si>
    <t xml:space="preserve">26432000000947917771
</t>
  </si>
  <si>
    <t>装修押金已开收据</t>
  </si>
  <si>
    <t>2026.4.27</t>
  </si>
  <si>
    <t>1009AA</t>
  </si>
  <si>
    <t>周秀丽（衡阳市蒸湘区星球很忙城市欢乐中心（个体工商户））</t>
  </si>
  <si>
    <t>星球很忙</t>
  </si>
  <si>
    <t>衡阳市新顺电器有限公司</t>
  </si>
  <si>
    <t>京东家电</t>
  </si>
  <si>
    <t>JYF1-006</t>
  </si>
  <si>
    <t>张伟鑫</t>
  </si>
  <si>
    <t>潮宏基</t>
  </si>
  <si>
    <t>衡阳市蒸湘区锦汐珠宝金行转入，收缴表暂无数据</t>
  </si>
  <si>
    <t>3021A，3021B</t>
  </si>
  <si>
    <t>衡阳市蒸湘区乐学教育培训学校</t>
  </si>
  <si>
    <t>熊兮兮-3009</t>
  </si>
  <si>
    <t>6006A</t>
  </si>
  <si>
    <t>李红华</t>
  </si>
  <si>
    <t>李厨小农民</t>
  </si>
  <si>
    <t>GGW-SW-006</t>
  </si>
  <si>
    <t>李厨小农民广告灯箱</t>
  </si>
  <si>
    <t>付勇</t>
  </si>
  <si>
    <t>2F-2016AA</t>
  </si>
  <si>
    <t>JYF3-007</t>
  </si>
  <si>
    <t>周克林</t>
  </si>
  <si>
    <t>幻影星空</t>
  </si>
  <si>
    <t>摆展1号门</t>
  </si>
  <si>
    <t>平安银行临时点位</t>
  </si>
  <si>
    <t>伍兰</t>
  </si>
  <si>
    <t>AIAL</t>
  </si>
  <si>
    <t>樊文花-2033</t>
  </si>
  <si>
    <t>1031</t>
  </si>
  <si>
    <t>特步-1031</t>
  </si>
  <si>
    <t>紫色花语-1019A</t>
  </si>
  <si>
    <t>AMXS爱慕斯-1003</t>
  </si>
  <si>
    <t>1009B，1010</t>
  </si>
  <si>
    <t>伍一文</t>
  </si>
  <si>
    <t>汤国权</t>
  </si>
  <si>
    <t>滚球de店</t>
  </si>
  <si>
    <t>衡阳市恒德弘扬口腔有限公司</t>
  </si>
  <si>
    <t>陈捷</t>
  </si>
  <si>
    <t>米乐熊</t>
  </si>
  <si>
    <t>大锤配镜</t>
  </si>
  <si>
    <t>苹果-1037</t>
  </si>
  <si>
    <t>胡雪平</t>
  </si>
  <si>
    <t>猿辅导、读书郎AI智能学习机-JYF3-006</t>
  </si>
  <si>
    <t>波比艾斯-5019</t>
  </si>
  <si>
    <t>全云丽</t>
  </si>
  <si>
    <t>火火兔启蒙玩学馆</t>
  </si>
  <si>
    <t>1002</t>
  </si>
  <si>
    <t>周军</t>
  </si>
  <si>
    <t>NIKE耐克</t>
  </si>
  <si>
    <t>1052</t>
  </si>
  <si>
    <t>戴露</t>
  </si>
  <si>
    <t>回力</t>
  </si>
  <si>
    <t>4009，4010</t>
  </si>
  <si>
    <t>发发桌球</t>
  </si>
  <si>
    <t>衡阳爱尔眼科医院有限公司</t>
  </si>
  <si>
    <t>五一期间活动场地租赁</t>
  </si>
  <si>
    <t>东鹏饮料五一场地费</t>
  </si>
  <si>
    <t>JYF1-002</t>
  </si>
  <si>
    <t>老凤祥</t>
  </si>
  <si>
    <t>许翠敏</t>
  </si>
  <si>
    <t>666空气美甲美睫美妆</t>
  </si>
  <si>
    <t>屈姣</t>
  </si>
  <si>
    <t>潮玩空间</t>
  </si>
  <si>
    <t>3026，3027</t>
  </si>
  <si>
    <t>莫靖凡</t>
  </si>
  <si>
    <t>星辰弓射箭馆</t>
  </si>
  <si>
    <t>珂尼莎蔓-2011B</t>
  </si>
  <si>
    <t>回力-1052</t>
  </si>
  <si>
    <t>1033</t>
  </si>
  <si>
    <t>科大讯飞-1033</t>
  </si>
  <si>
    <t>1010</t>
  </si>
  <si>
    <t>几多全-1010</t>
  </si>
  <si>
    <t>捷停车4.1-4.30</t>
  </si>
  <si>
    <t>平安银行捷停车费</t>
  </si>
  <si>
    <t>平安银行</t>
  </si>
  <si>
    <t>衡阳市广播电视台</t>
  </si>
  <si>
    <t>国家统计法活动场租费</t>
  </si>
  <si>
    <t>银行转账2035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</si>
</sst>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sz val="10"/>
      <color rgb="FF333333"/>
      <name val="微软雅黑"/>
      <charset val="134"/>
    </font>
    <font>
      <sz val="10"/>
      <color indexed="8"/>
      <name val="微软雅黑"/>
      <charset val="134"/>
    </font>
    <font>
      <sz val="10.5"/>
      <color theme="1"/>
      <name val="PingFang SC"/>
      <charset val="134"/>
    </font>
    <font>
      <sz val="10"/>
      <name val="微软雅黑"/>
      <charset val="134"/>
    </font>
    <font>
      <sz val="10"/>
      <name val="微软雅黑"/>
      <charset val="0"/>
    </font>
    <font>
      <sz val="10.5"/>
      <color rgb="FF1D2129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CDC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176" fontId="1" fillId="0" borderId="0" xfId="0" applyNumberFormat="1" applyFont="1" applyFill="1" applyAlignment="1">
      <alignment vertical="center"/>
    </xf>
    <xf numFmtId="43" fontId="1" fillId="0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3" fontId="2" fillId="0" borderId="3" xfId="0" applyNumberFormat="1" applyFont="1" applyFill="1" applyBorder="1" applyAlignment="1">
      <alignment horizontal="center" vertical="center" shrinkToFit="1"/>
    </xf>
    <xf numFmtId="43" fontId="1" fillId="0" borderId="2" xfId="0" applyNumberFormat="1" applyFont="1" applyFill="1" applyBorder="1" applyAlignment="1">
      <alignment horizontal="center" vertical="center" shrinkToFit="1"/>
    </xf>
    <xf numFmtId="0" fontId="1" fillId="0" borderId="4" xfId="0" applyFont="1" applyFill="1" applyBorder="1" applyAlignment="1">
      <alignment vertical="center" shrinkToFit="1"/>
    </xf>
    <xf numFmtId="0" fontId="1" fillId="0" borderId="3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31" fontId="1" fillId="0" borderId="3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/>
    </xf>
    <xf numFmtId="0" fontId="3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 wrapText="1"/>
    </xf>
    <xf numFmtId="43" fontId="1" fillId="0" borderId="3" xfId="0" applyNumberFormat="1" applyFont="1" applyFill="1" applyBorder="1" applyAlignment="1">
      <alignment vertical="center"/>
    </xf>
    <xf numFmtId="14" fontId="1" fillId="0" borderId="3" xfId="0" applyNumberFormat="1" applyFont="1" applyFill="1" applyBorder="1" applyAlignment="1">
      <alignment vertical="center"/>
    </xf>
    <xf numFmtId="49" fontId="1" fillId="0" borderId="3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31" fontId="1" fillId="0" borderId="3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 wrapText="1"/>
    </xf>
    <xf numFmtId="43" fontId="1" fillId="0" borderId="3" xfId="0" applyNumberFormat="1" applyFont="1" applyFill="1" applyBorder="1" applyAlignment="1">
      <alignment vertical="center"/>
    </xf>
    <xf numFmtId="14" fontId="1" fillId="0" borderId="3" xfId="0" applyNumberFormat="1" applyFont="1" applyFill="1" applyBorder="1" applyAlignment="1">
      <alignment vertical="center"/>
    </xf>
    <xf numFmtId="49" fontId="1" fillId="0" borderId="3" xfId="0" applyNumberFormat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49" fontId="1" fillId="0" borderId="3" xfId="0" applyNumberFormat="1" applyFont="1" applyFill="1" applyBorder="1" applyAlignment="1">
      <alignment vertical="center" wrapText="1"/>
    </xf>
    <xf numFmtId="43" fontId="1" fillId="0" borderId="3" xfId="0" applyNumberFormat="1" applyFont="1" applyFill="1" applyBorder="1" applyAlignment="1">
      <alignment horizontal="center" vertical="center" shrinkToFit="1"/>
    </xf>
    <xf numFmtId="0" fontId="1" fillId="0" borderId="3" xfId="0" applyFont="1" applyFill="1" applyBorder="1" applyAlignment="1">
      <alignment horizontal="center" vertical="center" wrapText="1" shrinkToFit="1"/>
    </xf>
    <xf numFmtId="176" fontId="1" fillId="0" borderId="3" xfId="0" applyNumberFormat="1" applyFont="1" applyFill="1" applyBorder="1" applyAlignment="1">
      <alignment horizontal="center" vertical="center" shrinkToFit="1"/>
    </xf>
    <xf numFmtId="176" fontId="1" fillId="0" borderId="3" xfId="0" applyNumberFormat="1" applyFont="1" applyFill="1" applyBorder="1" applyAlignment="1">
      <alignment horizontal="center" vertical="center"/>
    </xf>
    <xf numFmtId="43" fontId="1" fillId="0" borderId="3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vertical="center"/>
    </xf>
    <xf numFmtId="43" fontId="4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horizontal="left" vertical="center"/>
    </xf>
    <xf numFmtId="31" fontId="1" fillId="0" borderId="3" xfId="0" applyNumberFormat="1" applyFont="1" applyFill="1" applyBorder="1" applyAlignment="1">
      <alignment vertical="center"/>
    </xf>
    <xf numFmtId="0" fontId="5" fillId="0" borderId="0" xfId="0" applyFont="1" applyFill="1" applyAlignment="1">
      <alignment horizontal="left" vertical="center" wrapText="1"/>
    </xf>
    <xf numFmtId="0" fontId="0" fillId="0" borderId="5" xfId="0" applyFill="1" applyBorder="1">
      <alignment vertical="center"/>
    </xf>
    <xf numFmtId="58" fontId="1" fillId="0" borderId="3" xfId="0" applyNumberFormat="1" applyFont="1" applyFill="1" applyBorder="1" applyAlignment="1">
      <alignment vertical="center"/>
    </xf>
    <xf numFmtId="4" fontId="6" fillId="0" borderId="3" xfId="0" applyNumberFormat="1" applyFont="1" applyFill="1" applyBorder="1" applyAlignment="1">
      <alignment vertical="center"/>
    </xf>
    <xf numFmtId="49" fontId="1" fillId="0" borderId="3" xfId="49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43" fontId="4" fillId="0" borderId="3" xfId="0" applyNumberFormat="1" applyFont="1" applyFill="1" applyBorder="1" applyAlignment="1">
      <alignment vertical="center"/>
    </xf>
    <xf numFmtId="4" fontId="7" fillId="0" borderId="3" xfId="0" applyNumberFormat="1" applyFont="1" applyFill="1" applyBorder="1" applyAlignment="1">
      <alignment vertical="center"/>
    </xf>
    <xf numFmtId="49" fontId="7" fillId="0" borderId="3" xfId="0" applyNumberFormat="1" applyFont="1" applyFill="1" applyBorder="1" applyAlignment="1">
      <alignment vertical="center"/>
    </xf>
    <xf numFmtId="0" fontId="1" fillId="0" borderId="3" xfId="49" applyFont="1" applyFill="1" applyBorder="1" applyAlignment="1">
      <alignment vertical="center"/>
    </xf>
    <xf numFmtId="0" fontId="4" fillId="0" borderId="3" xfId="0" applyNumberFormat="1" applyFont="1" applyFill="1" applyBorder="1" applyAlignment="1">
      <alignment vertical="center"/>
    </xf>
    <xf numFmtId="0" fontId="4" fillId="0" borderId="3" xfId="0" applyNumberFormat="1" applyFont="1" applyFill="1" applyBorder="1" applyAlignment="1">
      <alignment vertical="center"/>
    </xf>
    <xf numFmtId="43" fontId="1" fillId="0" borderId="3" xfId="49" applyNumberFormat="1" applyFont="1" applyFill="1" applyBorder="1" applyAlignment="1">
      <alignment vertical="center"/>
    </xf>
    <xf numFmtId="176" fontId="7" fillId="0" borderId="3" xfId="0" applyNumberFormat="1" applyFont="1" applyFill="1" applyBorder="1" applyAlignment="1">
      <alignment vertical="center"/>
    </xf>
    <xf numFmtId="176" fontId="4" fillId="0" borderId="3" xfId="0" applyNumberFormat="1" applyFont="1" applyFill="1" applyBorder="1" applyAlignment="1">
      <alignment vertical="center"/>
    </xf>
    <xf numFmtId="0" fontId="3" fillId="0" borderId="3" xfId="0" applyFont="1" applyFill="1" applyBorder="1" applyAlignment="1">
      <alignment vertical="center" wrapText="1"/>
    </xf>
    <xf numFmtId="14" fontId="1" fillId="0" borderId="4" xfId="0" applyNumberFormat="1" applyFont="1" applyFill="1" applyBorder="1" applyAlignment="1">
      <alignment vertical="center"/>
    </xf>
    <xf numFmtId="14" fontId="1" fillId="0" borderId="4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49" fontId="8" fillId="0" borderId="0" xfId="0" applyNumberFormat="1" applyFont="1" applyFill="1">
      <alignment vertical="center"/>
    </xf>
    <xf numFmtId="0" fontId="3" fillId="0" borderId="3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20260421vrxe\&#36130;&#21153;&#37096;&#20849;&#20139;\1&#36130;&#21153;&#37096;&#20849;&#20139;&#25991;&#20214;&#22841;\2026&#24180;&#36130;&#21153;&#26085;&#25910;&#20837;&#34920;-9.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7月汇总 (原表)"/>
      <sheetName val="8月汇总 (原表)"/>
      <sheetName val="9月汇总 (原表)"/>
      <sheetName val="2025.7月汇总（修正后）"/>
      <sheetName val="2025.8月汇总（修正后）"/>
      <sheetName val="2025.9月汇总（修正后）"/>
      <sheetName val="2025.10月汇总 "/>
      <sheetName val="2025.11月汇总"/>
      <sheetName val="2025.12月汇总"/>
      <sheetName val="2025.7月"/>
      <sheetName val="2025.8月 "/>
      <sheetName val="2025.9月"/>
      <sheetName val="2025.10月 "/>
      <sheetName val="2025.11月"/>
      <sheetName val="2025.12月"/>
      <sheetName val="2026.1月汇总"/>
      <sheetName val="2026.2月汇总"/>
      <sheetName val="2026.3月汇总"/>
      <sheetName val="2026.4月汇总"/>
      <sheetName val="2026.5月汇总"/>
      <sheetName val="2026.6月汇总"/>
      <sheetName val="2026.7月汇总"/>
      <sheetName val="8月汇总"/>
      <sheetName val="2026.1月"/>
      <sheetName val="2026.2月"/>
      <sheetName val="2026.3月"/>
      <sheetName val="2026.4月 "/>
      <sheetName val="2026.5月 "/>
      <sheetName val="2026.6月 "/>
      <sheetName val="2026.7月 "/>
      <sheetName val="2026.8月 "/>
      <sheetName val="2026.9月 "/>
      <sheetName val="2026.10月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">
          <cell r="A1" t="str">
            <v>商户名称</v>
          </cell>
          <cell r="B1" t="str">
            <v>品牌</v>
          </cell>
        </row>
        <row r="2">
          <cell r="A2" t="str">
            <v>艾亮</v>
          </cell>
          <cell r="B2" t="str">
            <v>卢渔翁-5025</v>
          </cell>
        </row>
        <row r="3">
          <cell r="A3" t="str">
            <v>百胜餐饮（武汉）有限公司湖南分公司</v>
          </cell>
          <cell r="B3" t="str">
            <v>必胜客</v>
          </cell>
        </row>
        <row r="4">
          <cell r="A4" t="str">
            <v>贝贝熊孕婴童连锁商业有限公司</v>
          </cell>
          <cell r="B4" t="str">
            <v>爱婴室</v>
          </cell>
        </row>
        <row r="5">
          <cell r="A5" t="str">
            <v>贝贝熊孕婴童连锁商业有限公司</v>
          </cell>
          <cell r="B5" t="str">
            <v>贝贝熊</v>
          </cell>
        </row>
        <row r="6">
          <cell r="A6" t="str">
            <v>蔡振艳</v>
          </cell>
          <cell r="B6" t="str">
            <v>显丹木-3006</v>
          </cell>
        </row>
        <row r="7">
          <cell r="A7" t="str">
            <v>曹先勇</v>
          </cell>
          <cell r="B7" t="str">
            <v>贾安红-6008 </v>
          </cell>
        </row>
        <row r="8">
          <cell r="A8" t="str">
            <v>曾田春</v>
          </cell>
          <cell r="B8" t="str">
            <v>趣捞鱼-3033</v>
          </cell>
        </row>
        <row r="9">
          <cell r="A9" t="str">
            <v>郴州博纳影院管理有限公司</v>
          </cell>
          <cell r="B9" t="str">
            <v>博纳影院</v>
          </cell>
        </row>
        <row r="10">
          <cell r="A10" t="str">
            <v>郴州吉茂贸易有限公司租金</v>
          </cell>
          <cell r="B10" t="str">
            <v>艾力斯特</v>
          </cell>
        </row>
        <row r="11">
          <cell r="A11" t="str">
            <v>陈兵虎</v>
          </cell>
          <cell r="B11" t="str">
            <v>涛涛的烤冷面</v>
          </cell>
        </row>
        <row r="12">
          <cell r="A12" t="str">
            <v>陈芳</v>
          </cell>
          <cell r="B12" t="str">
            <v>芭妮瑞丝-2011A</v>
          </cell>
        </row>
        <row r="13">
          <cell r="A13" t="str">
            <v>陈洁</v>
          </cell>
          <cell r="B13" t="str">
            <v>非否-1003</v>
          </cell>
        </row>
        <row r="14">
          <cell r="A14" t="str">
            <v>伍珍贵</v>
          </cell>
          <cell r="B14" t="str">
            <v>科大讯飞-1033</v>
          </cell>
        </row>
        <row r="15">
          <cell r="A15" t="str">
            <v>陈捷</v>
          </cell>
          <cell r="B15" t="str">
            <v>米乐熊-3015</v>
          </cell>
        </row>
        <row r="16">
          <cell r="A16" t="str">
            <v>陈霞</v>
          </cell>
          <cell r="B16" t="str">
            <v>卤味串串</v>
          </cell>
        </row>
        <row r="17">
          <cell r="A17" t="str">
            <v>陈霞</v>
          </cell>
          <cell r="B17" t="str">
            <v>卤味串串</v>
          </cell>
        </row>
        <row r="18">
          <cell r="A18" t="str">
            <v>戴建新</v>
          </cell>
          <cell r="B18" t="str">
            <v>圣得西-2039</v>
          </cell>
        </row>
        <row r="19">
          <cell r="A19" t="str">
            <v>邓超</v>
          </cell>
          <cell r="B19" t="str">
            <v>鲜肉饼</v>
          </cell>
        </row>
        <row r="20">
          <cell r="A20" t="str">
            <v>邓超</v>
          </cell>
          <cell r="B20" t="str">
            <v>一碗冰豆花、芝士烤榴莲</v>
          </cell>
        </row>
        <row r="21">
          <cell r="A21" t="str">
            <v>邓文震</v>
          </cell>
          <cell r="B21" t="str">
            <v>紫色花语</v>
          </cell>
        </row>
        <row r="22">
          <cell r="A22" t="str">
            <v>邓小琴</v>
          </cell>
          <cell r="B22" t="str">
            <v>范缇-1017</v>
          </cell>
        </row>
        <row r="23">
          <cell r="A23" t="str">
            <v>丁海军</v>
          </cell>
          <cell r="B23" t="str">
            <v>大东-2016B</v>
          </cell>
        </row>
        <row r="24">
          <cell r="A24" t="str">
            <v>丁海军</v>
          </cell>
          <cell r="B24" t="str">
            <v>莱尔德保罗</v>
          </cell>
        </row>
        <row r="25">
          <cell r="A25" t="str">
            <v>丁海军（诚意金)</v>
          </cell>
          <cell r="B25" t="str">
            <v>保罗男装</v>
          </cell>
        </row>
        <row r="26">
          <cell r="A26" t="str">
            <v>范亚琼</v>
          </cell>
          <cell r="B26" t="str">
            <v>洗脸猫</v>
          </cell>
        </row>
        <row r="27">
          <cell r="A27" t="str">
            <v>范亚琼</v>
          </cell>
          <cell r="B27" t="str">
            <v>洗脸猫-2036</v>
          </cell>
        </row>
        <row r="28">
          <cell r="A28" t="str">
            <v>方钧可</v>
          </cell>
          <cell r="B28" t="str">
            <v>2楼回力</v>
          </cell>
        </row>
        <row r="29">
          <cell r="A29" t="str">
            <v>方钧可</v>
          </cell>
          <cell r="B29" t="str">
            <v>宝诚潮步</v>
          </cell>
        </row>
        <row r="30">
          <cell r="A30" t="str">
            <v>方钧可</v>
          </cell>
          <cell r="B30" t="str">
            <v>回力2</v>
          </cell>
        </row>
        <row r="31">
          <cell r="A31" t="str">
            <v>方钧可</v>
          </cell>
          <cell r="B31" t="str">
            <v>回力2</v>
          </cell>
        </row>
        <row r="32">
          <cell r="A32" t="str">
            <v>方钧可</v>
          </cell>
          <cell r="B32" t="str">
            <v>回力2</v>
          </cell>
        </row>
        <row r="33">
          <cell r="A33" t="str">
            <v>封旭</v>
          </cell>
          <cell r="B33" t="str">
            <v>布迪设计</v>
          </cell>
        </row>
        <row r="34">
          <cell r="A34" t="str">
            <v>封旭</v>
          </cell>
          <cell r="B34" t="str">
            <v>布迪设计-2028</v>
          </cell>
        </row>
        <row r="35">
          <cell r="A35" t="str">
            <v>封旭</v>
          </cell>
          <cell r="B35" t="str">
            <v>布迪设计特卖费用11.11-11.20</v>
          </cell>
        </row>
        <row r="36">
          <cell r="A36" t="str">
            <v>福建车与家科技有限公司</v>
          </cell>
          <cell r="B36" t="str">
            <v>车与家</v>
          </cell>
        </row>
        <row r="37">
          <cell r="A37" t="str">
            <v>福建车与家科技有限公司</v>
          </cell>
          <cell r="B37" t="str">
            <v>车与家8.6-11.5场地租金</v>
          </cell>
        </row>
        <row r="38">
          <cell r="A38" t="str">
            <v>福建民本信息科技有限公司</v>
          </cell>
          <cell r="B38" t="str">
            <v>摩歇座按摩椅</v>
          </cell>
        </row>
        <row r="39">
          <cell r="A39" t="str">
            <v>福建民本信息科技有限公司</v>
          </cell>
          <cell r="B39" t="str">
            <v>摩歇座按摩椅</v>
          </cell>
        </row>
        <row r="40">
          <cell r="A40" t="str">
            <v>福建民本信息科技有限公司</v>
          </cell>
          <cell r="B40" t="str">
            <v>摩歇座电费</v>
          </cell>
        </row>
        <row r="41">
          <cell r="A41" t="str">
            <v>付勇</v>
          </cell>
          <cell r="B41" t="str">
            <v>潮正和</v>
          </cell>
        </row>
        <row r="42">
          <cell r="A42" t="str">
            <v>付勇</v>
          </cell>
          <cell r="B42" t="str">
            <v>潮正和-5010</v>
          </cell>
        </row>
        <row r="43">
          <cell r="A43" t="str">
            <v>傅娇</v>
          </cell>
          <cell r="B43" t="str">
            <v>福鼎肉片，酸辣粉</v>
          </cell>
        </row>
        <row r="44">
          <cell r="A44" t="str">
            <v>高威</v>
          </cell>
          <cell r="B44" t="str">
            <v>商户:勇者急速1-2026 </v>
          </cell>
        </row>
        <row r="45">
          <cell r="A45" t="str">
            <v>高威</v>
          </cell>
          <cell r="B45" t="str">
            <v>勇者急速</v>
          </cell>
        </row>
        <row r="46">
          <cell r="A46" t="str">
            <v>高威</v>
          </cell>
          <cell r="B46" t="str">
            <v>勇者急速1-2026</v>
          </cell>
        </row>
        <row r="47">
          <cell r="A47" t="str">
            <v>高张</v>
          </cell>
          <cell r="B47" t="str">
            <v>瑞幸咖啡</v>
          </cell>
        </row>
        <row r="48">
          <cell r="A48" t="str">
            <v>高张</v>
          </cell>
          <cell r="B48" t="str">
            <v>瑞幸咖啡-1009B</v>
          </cell>
        </row>
        <row r="49">
          <cell r="A49" t="str">
            <v>高张</v>
          </cell>
          <cell r="B49" t="str">
            <v>瑞幸水费</v>
          </cell>
        </row>
        <row r="50">
          <cell r="A50" t="str">
            <v>何秋苹</v>
          </cell>
          <cell r="B50" t="str">
            <v>赖胖子肉蟹煲</v>
          </cell>
        </row>
        <row r="51">
          <cell r="A51" t="str">
            <v>何伟伟</v>
          </cell>
          <cell r="B51" t="str">
            <v>烈火牛肉，铁板鱿鱼</v>
          </cell>
        </row>
        <row r="52">
          <cell r="A52" t="str">
            <v>贺驰</v>
          </cell>
          <cell r="B52" t="str">
            <v>HENRIE亨利风尚</v>
          </cell>
        </row>
        <row r="53">
          <cell r="A53" t="str">
            <v>贺驰</v>
          </cell>
          <cell r="B53" t="str">
            <v>亨利风尚-2022</v>
          </cell>
        </row>
        <row r="54">
          <cell r="A54" t="str">
            <v>贺卿云</v>
          </cell>
          <cell r="B54" t="str">
            <v>烤生蚝</v>
          </cell>
        </row>
        <row r="55">
          <cell r="A55" t="str">
            <v>衡阳澳鑫体育文化有限公司</v>
          </cell>
          <cell r="B55" t="str">
            <v>澳鑫体育</v>
          </cell>
        </row>
        <row r="56">
          <cell r="A56" t="str">
            <v>衡阳关键体育有限公司</v>
          </cell>
          <cell r="B56" t="str">
            <v>关键球员</v>
          </cell>
        </row>
        <row r="57">
          <cell r="A57" t="str">
            <v>衡阳品丰食品有限公司</v>
          </cell>
          <cell r="B57" t="str">
            <v>希朵曼</v>
          </cell>
        </row>
        <row r="58">
          <cell r="A58" t="str">
            <v>衡阳市春迎饮品有限公司</v>
          </cell>
          <cell r="B58" t="str">
            <v>茶颜悦色</v>
          </cell>
        </row>
        <row r="59">
          <cell r="A59" t="str">
            <v>衡阳市恒德弘扬口腔有限公司</v>
          </cell>
          <cell r="B59" t="str">
            <v>恒德口腔</v>
          </cell>
        </row>
        <row r="60">
          <cell r="A60" t="str">
            <v>衡阳市惠捷通讯器材有限公司（衡阳市尚达昌电子商务有限公司）</v>
          </cell>
          <cell r="B60" t="str">
            <v>苹果-1037</v>
          </cell>
        </row>
        <row r="61">
          <cell r="A61" t="str">
            <v>衡阳市尚达昌电子商务有限公司</v>
          </cell>
          <cell r="B61" t="str">
            <v>APPLE</v>
          </cell>
        </row>
        <row r="62">
          <cell r="A62" t="str">
            <v>衡阳市尚达昌电子商务有限公司</v>
          </cell>
          <cell r="B62" t="str">
            <v>苹果-1037</v>
          </cell>
        </row>
        <row r="63">
          <cell r="A63" t="str">
            <v>衡阳市新顺电器有限公司</v>
          </cell>
          <cell r="B63" t="str">
            <v>国美电器</v>
          </cell>
        </row>
        <row r="64">
          <cell r="A64" t="str">
            <v>衡阳市新顺电器有限公司</v>
          </cell>
          <cell r="B64" t="str">
            <v>国美电器-2013</v>
          </cell>
        </row>
        <row r="65">
          <cell r="A65" t="str">
            <v>衡阳市新顺电器有限公司</v>
          </cell>
          <cell r="B65" t="str">
            <v>京东之家-2013</v>
          </cell>
        </row>
        <row r="66">
          <cell r="A66" t="str">
            <v>衡阳市一本文化传播有限公司</v>
          </cell>
          <cell r="B66" t="str">
            <v>维克多机器人-4022</v>
          </cell>
        </row>
        <row r="67">
          <cell r="A67" t="str">
            <v>衡阳市蒸湘区鸿火经营部（个体工商户）</v>
          </cell>
          <cell r="B67" t="str">
            <v>周大福</v>
          </cell>
        </row>
        <row r="68">
          <cell r="A68" t="str">
            <v>衡阳市蒸湘区鸿火经营部（个体工商户）</v>
          </cell>
          <cell r="B68" t="str">
            <v>周大福-1007</v>
          </cell>
        </row>
        <row r="69">
          <cell r="A69" t="str">
            <v>衡阳市蒸湘区锦源首饰经营部（个体工商户）</v>
          </cell>
          <cell r="B69" t="str">
            <v>六福珠宝</v>
          </cell>
        </row>
        <row r="70">
          <cell r="A70" t="str">
            <v>衡阳市蒸湘区锦源首饰经营部（个体工商户）</v>
          </cell>
          <cell r="B70" t="str">
            <v>六福珠宝 LUKFOOD JEWELLERY</v>
          </cell>
        </row>
        <row r="71">
          <cell r="A71" t="str">
            <v>衡阳市蒸湘区快乐街区动漫电玩中心</v>
          </cell>
          <cell r="B71" t="str">
            <v>快乐街区</v>
          </cell>
        </row>
        <row r="72">
          <cell r="A72" t="str">
            <v>衡阳市蒸湘区快乐街区动漫电玩中心</v>
          </cell>
          <cell r="B72" t="str">
            <v>快乐街区，3001-17000元，3002-7000元</v>
          </cell>
        </row>
        <row r="73">
          <cell r="A73" t="str">
            <v>衡阳市蒸湘区快乐街区动漫电玩中心</v>
          </cell>
          <cell r="B73" t="str">
            <v>快乐街区-3001</v>
          </cell>
        </row>
        <row r="74">
          <cell r="A74" t="str">
            <v>衡阳市蒸湘区快乐街区动漫电玩中心</v>
          </cell>
          <cell r="B74" t="str">
            <v>快乐街区3001充9500，3002充4500</v>
          </cell>
        </row>
        <row r="75">
          <cell r="A75" t="str">
            <v>衡阳市蒸湘区快乐街区动漫电玩中心</v>
          </cell>
          <cell r="B75" t="str">
            <v>快乐街区仓库</v>
          </cell>
        </row>
        <row r="76">
          <cell r="A76" t="str">
            <v>衡阳市蒸湘区乐学教育培训学校</v>
          </cell>
          <cell r="B76" t="str">
            <v>学乐英语</v>
          </cell>
        </row>
        <row r="77">
          <cell r="A77" t="str">
            <v>衡阳市蒸湘区乐学教育培训学校</v>
          </cell>
          <cell r="B77" t="str">
            <v>学乐英语3021</v>
          </cell>
        </row>
        <row r="78">
          <cell r="A78" t="str">
            <v>衡阳市蒸湘区乐学教育培训学校</v>
          </cell>
          <cell r="B78" t="str">
            <v>学乐英语-3021A</v>
          </cell>
        </row>
        <row r="79">
          <cell r="A79" t="str">
            <v>衡阳市蒸湘区乐学教育培训学校</v>
          </cell>
          <cell r="B79" t="str">
            <v>学乐英语-3021B</v>
          </cell>
        </row>
        <row r="80">
          <cell r="A80" t="str">
            <v>衡阳市蒸湘区蓉城宽窄巷子餐饮店</v>
          </cell>
          <cell r="B80" t="str">
            <v>蓉城宽窄巷子-5007</v>
          </cell>
        </row>
        <row r="81">
          <cell r="A81" t="str">
            <v>衡阳市蒸湘区润福榕服饰有限公司</v>
          </cell>
          <cell r="B81" t="str">
            <v>SANFU三福百货</v>
          </cell>
        </row>
        <row r="82">
          <cell r="A82" t="str">
            <v>衡阳市蒸湘区润福榕服饰有限公司</v>
          </cell>
          <cell r="B82" t="str">
            <v>三福</v>
          </cell>
        </row>
        <row r="83">
          <cell r="A83" t="str">
            <v>衡阳市蒸湘区维克多机器人教育培训学校有限公司</v>
          </cell>
          <cell r="B83" t="str">
            <v>维克多机器人</v>
          </cell>
        </row>
        <row r="84">
          <cell r="A84" t="str">
            <v>衡阳市蒸湘区维克多机器人教育培训学校有限公司</v>
          </cell>
          <cell r="B84" t="str">
            <v>维克多机器人-4022</v>
          </cell>
        </row>
        <row r="85">
          <cell r="A85" t="str">
            <v>衡阳市蒸湘区维克多机器人教育培训学校有限公司</v>
          </cell>
          <cell r="B85" t="str">
            <v>维克多机器人-4023</v>
          </cell>
        </row>
        <row r="86">
          <cell r="A86" t="str">
            <v>衡阳市蒸湘区星球很忙城市欢乐中心（个体工商户）</v>
          </cell>
          <cell r="B86" t="str">
            <v>星球很忙</v>
          </cell>
        </row>
        <row r="87">
          <cell r="A87" t="str">
            <v>衡阳市蒸湘区星球很忙城市欢乐中心（个体工商户）</v>
          </cell>
          <cell r="B87" t="str">
            <v>星球很忙-3017</v>
          </cell>
        </row>
        <row r="88">
          <cell r="A88" t="str">
            <v>衡阳市中通速递有限公司</v>
          </cell>
          <cell r="B88" t="str">
            <v>兔喜快递超市</v>
          </cell>
        </row>
        <row r="89">
          <cell r="A89" t="str">
            <v>衡阳树山文化传媒有限公司</v>
          </cell>
          <cell r="B89" t="str">
            <v>树山回声-4027</v>
          </cell>
        </row>
        <row r="90">
          <cell r="A90" t="str">
            <v>衡阳树山文化传媒有限公司</v>
          </cell>
          <cell r="B90" t="str">
            <v>树山回声-4028</v>
          </cell>
        </row>
        <row r="91">
          <cell r="A91" t="str">
            <v>衡阳讯飞通讯器材有限责任公司</v>
          </cell>
          <cell r="B91" t="str">
            <v>小米</v>
          </cell>
        </row>
        <row r="92">
          <cell r="A92" t="str">
            <v>衡阳讯飞通讯器材有限责任公司</v>
          </cell>
          <cell r="B92" t="str">
            <v>小米-1011</v>
          </cell>
        </row>
        <row r="93">
          <cell r="A93" t="str">
            <v>衡阳讯飞通讯器材有限责任公司</v>
          </cell>
          <cell r="B93" t="str">
            <v>小米电费</v>
          </cell>
        </row>
        <row r="94">
          <cell r="A94" t="str">
            <v>衡阳志扬体育文化有限公司</v>
          </cell>
          <cell r="B94" t="str">
            <v>UONE健身</v>
          </cell>
        </row>
        <row r="95">
          <cell r="A95" t="str">
            <v>衡阳志扬体育文化有限公司</v>
          </cell>
          <cell r="B95" t="str">
            <v>uone健身-6001</v>
          </cell>
        </row>
        <row r="96">
          <cell r="A96" t="str">
            <v>衡阳志扬体育文化有限公司</v>
          </cell>
          <cell r="B96" t="str">
            <v>UONE健身-6001</v>
          </cell>
        </row>
        <row r="97">
          <cell r="A97" t="str">
            <v>衡阳志扬体育文化有限公司</v>
          </cell>
          <cell r="B97" t="str">
            <v>uone健身-6020</v>
          </cell>
        </row>
        <row r="98">
          <cell r="A98" t="str">
            <v>洪菊香</v>
          </cell>
          <cell r="B98" t="str">
            <v>芬腾</v>
          </cell>
        </row>
        <row r="99">
          <cell r="A99" t="str">
            <v>洪菊香</v>
          </cell>
          <cell r="B99" t="str">
            <v>芬腾-2005</v>
          </cell>
        </row>
        <row r="100">
          <cell r="A100" t="str">
            <v>胡昌龙</v>
          </cell>
          <cell r="B100" t="str">
            <v>1楼彩虹厅儿童游乐场</v>
          </cell>
        </row>
        <row r="101">
          <cell r="A101" t="str">
            <v>胡嘉熙</v>
          </cell>
          <cell r="B101" t="str">
            <v>3025衡晨文体</v>
          </cell>
        </row>
        <row r="102">
          <cell r="A102" t="str">
            <v>胡嘉熙</v>
          </cell>
          <cell r="B102" t="str">
            <v>3025衡晨文体潮玩社</v>
          </cell>
        </row>
        <row r="103">
          <cell r="A103" t="str">
            <v>胡嘉熙</v>
          </cell>
          <cell r="B103" t="str">
            <v>3025首年宣传推广费</v>
          </cell>
        </row>
        <row r="104">
          <cell r="A104" t="str">
            <v>胡嘉熙</v>
          </cell>
          <cell r="B104" t="str">
            <v>3楼衡晨文体潮玩社</v>
          </cell>
        </row>
        <row r="105">
          <cell r="A105" t="str">
            <v>胡嘉熙</v>
          </cell>
          <cell r="B105" t="str">
            <v>衡晨文体-1057</v>
          </cell>
        </row>
        <row r="106">
          <cell r="A106" t="str">
            <v>胡雪平</v>
          </cell>
          <cell r="B106" t="str">
            <v>猿辅导、读书郎AI智能学习</v>
          </cell>
        </row>
        <row r="107">
          <cell r="A107" t="str">
            <v>湖南电满格科技发展有限公司</v>
          </cell>
          <cell r="B107" t="str">
            <v>小电充电宝</v>
          </cell>
        </row>
        <row r="108">
          <cell r="A108" t="str">
            <v>湖南亮点体育文化发展有限公司</v>
          </cell>
          <cell r="B108" t="str">
            <v>发发桌球（停车券）</v>
          </cell>
        </row>
        <row r="109">
          <cell r="A109" t="str">
            <v>湖南亮点体育文化发展有限公司</v>
          </cell>
          <cell r="B109" t="str">
            <v>发发桌球-4006</v>
          </cell>
        </row>
        <row r="110">
          <cell r="A110" t="str">
            <v>湖南亮点体育文化发展有限公司</v>
          </cell>
          <cell r="B110" t="str">
            <v>发发桌球-4006 </v>
          </cell>
        </row>
        <row r="111">
          <cell r="A111" t="str">
            <v>湖南亮点体育文化发展有限公司</v>
          </cell>
          <cell r="B111" t="str">
            <v>发发桌球-4007</v>
          </cell>
        </row>
        <row r="112">
          <cell r="A112" t="str">
            <v>湖南亮点体育文化发展有限公司</v>
          </cell>
          <cell r="B112" t="str">
            <v>发发桌球-4007 </v>
          </cell>
        </row>
        <row r="113">
          <cell r="A113" t="str">
            <v>湖南亮点体育文化发展有限公司</v>
          </cell>
          <cell r="B113" t="str">
            <v>发发桌球-4008</v>
          </cell>
        </row>
        <row r="114">
          <cell r="A114" t="str">
            <v>湖南亮点体育文化发展有限公司</v>
          </cell>
          <cell r="B114" t="str">
            <v>发发桌球-4009 </v>
          </cell>
        </row>
        <row r="115">
          <cell r="A115" t="str">
            <v>湖南亮点体育文化发展有限公司</v>
          </cell>
          <cell r="B115" t="str">
            <v>发发桌球-4010</v>
          </cell>
        </row>
        <row r="116">
          <cell r="A116" t="str">
            <v>湖南亮点体育文化发展有限公司</v>
          </cell>
          <cell r="B116" t="str">
            <v>发发桌球水费</v>
          </cell>
        </row>
        <row r="117">
          <cell r="A117" t="str">
            <v>湖南亮点体育文化发展有限公司</v>
          </cell>
          <cell r="B117" t="str">
            <v>发发桌球预充停车券</v>
          </cell>
        </row>
        <row r="118">
          <cell r="A118" t="str">
            <v>湖南亮点体育文化发展有限公司</v>
          </cell>
          <cell r="B118" t="str">
            <v>发发桌球制冰设备-4010</v>
          </cell>
        </row>
        <row r="119">
          <cell r="A119" t="str">
            <v>湖南亮点体育文化发展有限公司</v>
          </cell>
          <cell r="B119" t="str">
            <v>发发桌球制冰设备-4010-2 </v>
          </cell>
        </row>
        <row r="120">
          <cell r="A120" t="str">
            <v>湖南亮点体育文化发展有限公司</v>
          </cell>
          <cell r="B120" t="str">
            <v>发发桌球专用电梯-4010</v>
          </cell>
        </row>
        <row r="121">
          <cell r="A121" t="str">
            <v>湖南亮点体育文化发展有限公司</v>
          </cell>
          <cell r="B121" t="str">
            <v>发发桌球专用电梯-4010-1</v>
          </cell>
        </row>
        <row r="122">
          <cell r="A122" t="str">
            <v>湖南亮点体育文化发展有限公司</v>
          </cell>
          <cell r="B122" t="str">
            <v>发发桌球专用电梯-4010-1 </v>
          </cell>
        </row>
        <row r="123">
          <cell r="A123" t="str">
            <v>湖南亮点体育文化发展有限公司</v>
          </cell>
          <cell r="B123" t="str">
            <v>商户:发发桌球-4006 </v>
          </cell>
        </row>
        <row r="124">
          <cell r="A124" t="str">
            <v>湖南亮点体育文化发展有限公司</v>
          </cell>
          <cell r="B124" t="str">
            <v>商户:发发桌球-4006 </v>
          </cell>
        </row>
        <row r="125">
          <cell r="A125" t="str">
            <v>湖南亮点体育文化发展有限公司</v>
          </cell>
          <cell r="B125" t="str">
            <v>商户:发发桌球-4006 </v>
          </cell>
        </row>
        <row r="126">
          <cell r="A126" t="str">
            <v>湖南亮点体育文化发展有限公司</v>
          </cell>
          <cell r="B126" t="str">
            <v>商户:发发桌球-4006 </v>
          </cell>
        </row>
        <row r="127">
          <cell r="A127" t="str">
            <v>湖南亮点体育文化发展有限公司</v>
          </cell>
          <cell r="B127" t="str">
            <v>商户:发发桌球-4007</v>
          </cell>
        </row>
        <row r="128">
          <cell r="A128" t="str">
            <v>湖南亮点体育文化发展有限公司</v>
          </cell>
          <cell r="B128" t="str">
            <v>商户:发发桌球-4007 </v>
          </cell>
        </row>
        <row r="129">
          <cell r="A129" t="str">
            <v>湖南亮点体育文化发展有限公司</v>
          </cell>
          <cell r="B129" t="str">
            <v>商户:发发桌球-4007 </v>
          </cell>
        </row>
        <row r="130">
          <cell r="A130" t="str">
            <v>湖南亮点体育文化发展有限公司</v>
          </cell>
          <cell r="B130" t="str">
            <v>商户:发发桌球-4007 </v>
          </cell>
        </row>
        <row r="131">
          <cell r="A131" t="str">
            <v>湖南亮点体育文化发展有限公司</v>
          </cell>
          <cell r="B131" t="str">
            <v>商户:发发桌球-4009 </v>
          </cell>
        </row>
        <row r="132">
          <cell r="A132" t="str">
            <v>湖南亮点体育文化发展有限公司</v>
          </cell>
          <cell r="B132" t="str">
            <v>商户:发发桌球-4009 </v>
          </cell>
        </row>
        <row r="133">
          <cell r="A133" t="str">
            <v>湖南亮点体育文化发展有限公司</v>
          </cell>
          <cell r="B133" t="str">
            <v>商户:发发桌球-4009 </v>
          </cell>
        </row>
        <row r="134">
          <cell r="A134" t="str">
            <v>湖南亮点体育文化发展有限公司</v>
          </cell>
          <cell r="B134" t="str">
            <v>商户:发发桌球-4009 </v>
          </cell>
        </row>
        <row r="135">
          <cell r="A135" t="str">
            <v>湖南亮点体育文化发展有限公司</v>
          </cell>
          <cell r="B135" t="str">
            <v>商户:发发桌球-4010 </v>
          </cell>
        </row>
        <row r="136">
          <cell r="A136" t="str">
            <v>湖南亮点体育文化发展有限公司</v>
          </cell>
          <cell r="B136" t="str">
            <v>商户:发发桌球-4010 </v>
          </cell>
        </row>
        <row r="137">
          <cell r="A137" t="str">
            <v>湖南亮点体育文化发展有限公司</v>
          </cell>
          <cell r="B137" t="str">
            <v>商户:发发桌球制冰设备-4010-2</v>
          </cell>
        </row>
        <row r="138">
          <cell r="A138" t="str">
            <v>湖南亮点体育文化发展有限公司</v>
          </cell>
          <cell r="B138" t="str">
            <v>商户:发发桌球制冰设备-4010-2 </v>
          </cell>
        </row>
        <row r="139">
          <cell r="A139" t="str">
            <v>湖南亮点体育文化发展有限公司</v>
          </cell>
          <cell r="B139" t="str">
            <v>商户:发发桌球制冰设备-4010-2 </v>
          </cell>
        </row>
        <row r="140">
          <cell r="A140" t="str">
            <v>湖南亮点体育文化发展有限公司</v>
          </cell>
          <cell r="B140" t="str">
            <v>商户:发发桌球制冰设备-4010-2 </v>
          </cell>
        </row>
        <row r="141">
          <cell r="A141" t="str">
            <v>湖南亮点体育文化发展有限公司</v>
          </cell>
          <cell r="B141" t="str">
            <v>商户:发发桌球专用电梯-4010-1 </v>
          </cell>
        </row>
        <row r="142">
          <cell r="A142" t="str">
            <v>湖南亮点体育文化发展有限公司</v>
          </cell>
          <cell r="B142" t="str">
            <v>商户:发发桌球专用电梯-4010-1 </v>
          </cell>
        </row>
        <row r="143">
          <cell r="A143" t="str">
            <v>湖南湘锁汇智能科技有限公司</v>
          </cell>
          <cell r="B143" t="str">
            <v>凯迪仕</v>
          </cell>
        </row>
        <row r="144">
          <cell r="A144" t="str">
            <v>湖南源长餐饮管理有限公司</v>
          </cell>
          <cell r="B144" t="str">
            <v>外广场夜市(一号门)</v>
          </cell>
        </row>
        <row r="145">
          <cell r="A145" t="str">
            <v>湖南源长餐饮管理有限公司</v>
          </cell>
          <cell r="B145" t="str">
            <v>夜市</v>
          </cell>
        </row>
        <row r="146">
          <cell r="A146" t="str">
            <v>湖南源长餐饮管理有限公司</v>
          </cell>
          <cell r="B146" t="str">
            <v>夜市押金</v>
          </cell>
        </row>
        <row r="147">
          <cell r="A147" t="str">
            <v>湖南源长餐饮管理有限公司</v>
          </cell>
          <cell r="B147" t="str">
            <v>蒸湘夜市（草坪）</v>
          </cell>
        </row>
        <row r="148">
          <cell r="A148" t="str">
            <v>黄煌</v>
          </cell>
          <cell r="B148" t="str">
            <v>原匠</v>
          </cell>
        </row>
        <row r="149">
          <cell r="A149" t="str">
            <v>黄煌</v>
          </cell>
          <cell r="B149" t="str">
            <v>原匠-2020</v>
          </cell>
        </row>
        <row r="150">
          <cell r="A150" t="str">
            <v>黄煌</v>
          </cell>
          <cell r="B150" t="str">
            <v>原匠9.15-9.25特卖场地费用</v>
          </cell>
        </row>
        <row r="151">
          <cell r="A151" t="str">
            <v>黄集栋</v>
          </cell>
          <cell r="B151" t="str">
            <v>曼茜纱</v>
          </cell>
        </row>
        <row r="152">
          <cell r="A152" t="str">
            <v>黄集栋</v>
          </cell>
          <cell r="B152" t="str">
            <v>曼茜纱-1015</v>
          </cell>
        </row>
        <row r="153">
          <cell r="A153" t="str">
            <v>黄集栋</v>
          </cell>
          <cell r="B153" t="str">
            <v>曼茜纱特卖场地费9.16-9.25</v>
          </cell>
        </row>
        <row r="154">
          <cell r="A154" t="str">
            <v>黄妙玲</v>
          </cell>
          <cell r="B154" t="str">
            <v>广告费</v>
          </cell>
        </row>
        <row r="155">
          <cell r="A155" t="str">
            <v>黄沐彬</v>
          </cell>
          <cell r="B155" t="str">
            <v>两个水果</v>
          </cell>
        </row>
        <row r="156">
          <cell r="A156" t="str">
            <v>黄沐彬</v>
          </cell>
          <cell r="B156" t="str">
            <v>两个水果-5005</v>
          </cell>
        </row>
        <row r="157">
          <cell r="A157" t="str">
            <v>黄潇钦</v>
          </cell>
          <cell r="B157" t="str">
            <v>九拍</v>
          </cell>
        </row>
        <row r="158">
          <cell r="A158" t="str">
            <v>黄潇钦</v>
          </cell>
          <cell r="B158" t="str">
            <v>九拍-3031</v>
          </cell>
        </row>
        <row r="159">
          <cell r="A159" t="str">
            <v>黄潇钦</v>
          </cell>
          <cell r="B159" t="str">
            <v>学而思</v>
          </cell>
        </row>
        <row r="160">
          <cell r="A160" t="str">
            <v>黄潇钦</v>
          </cell>
          <cell r="B160" t="str">
            <v>学而思（三楼8,9号客梯附近）</v>
          </cell>
        </row>
        <row r="161">
          <cell r="A161" t="str">
            <v>黄潇钦</v>
          </cell>
          <cell r="B161" t="str">
            <v>学而思电费</v>
          </cell>
        </row>
        <row r="162">
          <cell r="A162" t="str">
            <v>黄用</v>
          </cell>
          <cell r="B162" t="str">
            <v>回力</v>
          </cell>
        </row>
        <row r="163">
          <cell r="A163" t="str">
            <v>黄用</v>
          </cell>
          <cell r="B163" t="str">
            <v>回力-1052</v>
          </cell>
        </row>
        <row r="164">
          <cell r="A164" t="str">
            <v>蒋晶</v>
          </cell>
          <cell r="B164" t="str">
            <v>WYII XH-1039</v>
          </cell>
        </row>
        <row r="165">
          <cell r="A165" t="str">
            <v>金丽丽</v>
          </cell>
          <cell r="B165" t="str">
            <v>珂兰雅</v>
          </cell>
        </row>
        <row r="166">
          <cell r="A166" t="str">
            <v>金丽丽</v>
          </cell>
          <cell r="B166" t="str">
            <v>珂兰雅-2007</v>
          </cell>
        </row>
        <row r="167">
          <cell r="A167" t="str">
            <v>金丽丽</v>
          </cell>
          <cell r="B167" t="str">
            <v>商户:珂兰雅-2007 </v>
          </cell>
        </row>
        <row r="168">
          <cell r="A168" t="str">
            <v>黎合</v>
          </cell>
          <cell r="B168" t="str">
            <v>大黎小齐</v>
          </cell>
        </row>
        <row r="169">
          <cell r="A169" t="str">
            <v>黎合</v>
          </cell>
          <cell r="B169" t="str">
            <v>大黎小齐</v>
          </cell>
        </row>
        <row r="170">
          <cell r="A170" t="str">
            <v>黎合</v>
          </cell>
          <cell r="B170" t="str">
            <v>大黎小齐</v>
          </cell>
        </row>
        <row r="171">
          <cell r="A171" t="str">
            <v>黎合</v>
          </cell>
          <cell r="B171" t="str">
            <v>大黎小齐-4017</v>
          </cell>
        </row>
        <row r="172">
          <cell r="A172" t="str">
            <v>黎合</v>
          </cell>
          <cell r="B172" t="str">
            <v>大黎小齐-4018</v>
          </cell>
        </row>
        <row r="173">
          <cell r="A173" t="str">
            <v>黎合</v>
          </cell>
          <cell r="B173" t="str">
            <v>商户:大黎小齐-4018 </v>
          </cell>
        </row>
        <row r="174">
          <cell r="A174" t="str">
            <v>李栋</v>
          </cell>
          <cell r="B174" t="str">
            <v>飞科</v>
          </cell>
        </row>
        <row r="175">
          <cell r="A175" t="str">
            <v>李红华</v>
          </cell>
          <cell r="B175" t="str">
            <v>李厨小农民</v>
          </cell>
        </row>
        <row r="176">
          <cell r="A176" t="str">
            <v>李红华</v>
          </cell>
          <cell r="B176" t="str">
            <v>李厨小农民-6006A</v>
          </cell>
        </row>
        <row r="177">
          <cell r="A177" t="str">
            <v>李辉</v>
          </cell>
          <cell r="B177" t="str">
            <v>TOMATO BAG（番茄小兜）</v>
          </cell>
        </row>
        <row r="178">
          <cell r="A178" t="str">
            <v>李辉</v>
          </cell>
          <cell r="B178" t="str">
            <v>TOMATO BAG-1030</v>
          </cell>
        </row>
        <row r="179">
          <cell r="A179" t="str">
            <v>李江飞</v>
          </cell>
          <cell r="B179" t="str">
            <v>梵西保罗 </v>
          </cell>
        </row>
        <row r="180">
          <cell r="A180" t="str">
            <v>李江飞</v>
          </cell>
          <cell r="B180" t="str">
            <v>梵西诺·保罗</v>
          </cell>
        </row>
        <row r="181">
          <cell r="A181" t="str">
            <v>李江飞</v>
          </cell>
          <cell r="B181" t="str">
            <v>梵西诺保罗-2023</v>
          </cell>
        </row>
        <row r="182">
          <cell r="A182" t="str">
            <v>李江飞</v>
          </cell>
          <cell r="B182" t="str">
            <v>商户:梵西诺保罗-2023 </v>
          </cell>
        </row>
        <row r="183">
          <cell r="A183" t="str">
            <v>李鹃</v>
          </cell>
          <cell r="B183" t="str">
            <v>u.mi-2017</v>
          </cell>
        </row>
        <row r="184">
          <cell r="A184" t="str">
            <v>李君英（廖伦杰转款）</v>
          </cell>
          <cell r="B184" t="str">
            <v>哈森-1038</v>
          </cell>
        </row>
        <row r="185">
          <cell r="A185" t="str">
            <v>李君英（廖伦杰转款）</v>
          </cell>
          <cell r="B185" t="str">
            <v>哈森-1038</v>
          </cell>
        </row>
        <row r="186">
          <cell r="A186" t="str">
            <v>李星</v>
          </cell>
          <cell r="B186" t="str">
            <v>中国福利彩票</v>
          </cell>
        </row>
        <row r="187">
          <cell r="A187" t="str">
            <v>李星</v>
          </cell>
          <cell r="B187" t="str">
            <v>中国福利彩票（5楼）</v>
          </cell>
        </row>
        <row r="188">
          <cell r="A188" t="str">
            <v>李雪亮</v>
          </cell>
          <cell r="B188" t="str">
            <v>伊那古</v>
          </cell>
        </row>
        <row r="189">
          <cell r="A189" t="str">
            <v>李雪亮</v>
          </cell>
          <cell r="B189" t="str">
            <v>伊那古</v>
          </cell>
        </row>
        <row r="190">
          <cell r="A190" t="str">
            <v>李雪亮</v>
          </cell>
          <cell r="B190" t="str">
            <v>伊那古-2035</v>
          </cell>
        </row>
        <row r="191">
          <cell r="A191" t="str">
            <v>李雪亮</v>
          </cell>
          <cell r="B191" t="str">
            <v>伊那古8.6号到8.15号10天特卖费用</v>
          </cell>
        </row>
        <row r="192">
          <cell r="A192" t="str">
            <v>李雪亮</v>
          </cell>
          <cell r="B192" t="str">
            <v>伊那古9.26-10.8特卖费</v>
          </cell>
        </row>
        <row r="193">
          <cell r="A193" t="str">
            <v>李予</v>
          </cell>
          <cell r="B193" t="str">
            <v>鸡翅包饭</v>
          </cell>
        </row>
        <row r="194">
          <cell r="A194" t="str">
            <v>廖建平</v>
          </cell>
          <cell r="B194" t="str">
            <v>聚美秀颜</v>
          </cell>
        </row>
        <row r="195">
          <cell r="A195" t="str">
            <v>廖建平</v>
          </cell>
          <cell r="B195" t="str">
            <v>新定义聚美秀颜-2027</v>
          </cell>
        </row>
        <row r="196">
          <cell r="A196" t="str">
            <v>廖翔</v>
          </cell>
          <cell r="B196" t="str">
            <v>配套服务-皮具维修</v>
          </cell>
        </row>
        <row r="197">
          <cell r="A197" t="str">
            <v>廖翔</v>
          </cell>
          <cell r="B197" t="str">
            <v>配套服务-皮具维修</v>
          </cell>
        </row>
        <row r="198">
          <cell r="A198" t="str">
            <v>凌旺</v>
          </cell>
          <cell r="B198" t="str">
            <v>弘阳广场3楼过道多金点位诚意金</v>
          </cell>
        </row>
        <row r="199">
          <cell r="A199" t="str">
            <v>刘德聪</v>
          </cell>
          <cell r="B199" t="str">
            <v>奥尔良烤鸡腿</v>
          </cell>
        </row>
        <row r="200">
          <cell r="A200" t="str">
            <v>刘德聪</v>
          </cell>
          <cell r="B200" t="str">
            <v>奥尔良烤鸡腿</v>
          </cell>
        </row>
        <row r="201">
          <cell r="A201" t="str">
            <v>刘豪琦</v>
          </cell>
          <cell r="B201" t="str">
            <v>七彩天空</v>
          </cell>
        </row>
        <row r="202">
          <cell r="A202" t="str">
            <v>刘豪琦</v>
          </cell>
          <cell r="B202" t="str">
            <v>七彩天空礼品机（一楼服务台附近）</v>
          </cell>
        </row>
        <row r="203">
          <cell r="A203" t="str">
            <v>刘红梅</v>
          </cell>
          <cell r="B203" t="str">
            <v>服装修改织补</v>
          </cell>
        </row>
        <row r="204">
          <cell r="A204" t="str">
            <v>刘红梅</v>
          </cell>
          <cell r="B204" t="str">
            <v>配套服务-服装修改织补</v>
          </cell>
        </row>
        <row r="205">
          <cell r="A205" t="str">
            <v>刘宏</v>
          </cell>
          <cell r="B205" t="str">
            <v>摩趣邦</v>
          </cell>
        </row>
        <row r="206">
          <cell r="A206" t="str">
            <v>刘宏</v>
          </cell>
          <cell r="B206" t="str">
            <v>摩趣邦-3009</v>
          </cell>
        </row>
        <row r="207">
          <cell r="A207" t="str">
            <v>刘宏</v>
          </cell>
          <cell r="B207" t="str">
            <v>摩趣邦-3010</v>
          </cell>
        </row>
        <row r="208">
          <cell r="A208" t="str">
            <v>刘宏</v>
          </cell>
          <cell r="B208" t="str">
            <v>商户:摩趣邦-3009 </v>
          </cell>
        </row>
        <row r="209">
          <cell r="A209" t="str">
            <v>刘磊</v>
          </cell>
          <cell r="B209" t="str">
            <v>太空历险</v>
          </cell>
        </row>
        <row r="210">
          <cell r="A210" t="str">
            <v>刘磊</v>
          </cell>
          <cell r="B210" t="str">
            <v>太空历险25年7月电费</v>
          </cell>
        </row>
        <row r="211">
          <cell r="A211" t="str">
            <v>刘连</v>
          </cell>
          <cell r="B211" t="str">
            <v>宝宝来当家</v>
          </cell>
        </row>
        <row r="212">
          <cell r="A212" t="str">
            <v>刘连</v>
          </cell>
          <cell r="B212" t="str">
            <v>宝宝来当家</v>
          </cell>
        </row>
        <row r="213">
          <cell r="A213" t="str">
            <v>刘连</v>
          </cell>
          <cell r="B213" t="str">
            <v>宝宝来当家</v>
          </cell>
        </row>
        <row r="214">
          <cell r="A214" t="str">
            <v>刘连</v>
          </cell>
          <cell r="B214" t="str">
            <v>宝宝来当家-3022</v>
          </cell>
        </row>
        <row r="215">
          <cell r="A215" t="str">
            <v>刘连</v>
          </cell>
          <cell r="B215" t="str">
            <v>宝宝来当家啦</v>
          </cell>
        </row>
        <row r="216">
          <cell r="A216" t="str">
            <v>刘连</v>
          </cell>
          <cell r="B216" t="str">
            <v>宝宝来当家呀</v>
          </cell>
        </row>
        <row r="217">
          <cell r="A217" t="str">
            <v>刘连</v>
          </cell>
          <cell r="B217" t="str">
            <v>哈哩屋的小baby</v>
          </cell>
        </row>
        <row r="218">
          <cell r="A218" t="str">
            <v>刘连</v>
          </cell>
          <cell r="B218" t="str">
            <v>哈哩屋的小baby</v>
          </cell>
        </row>
        <row r="219">
          <cell r="A219" t="str">
            <v>刘连</v>
          </cell>
          <cell r="B219" t="str">
            <v>哈哩屋的小baby</v>
          </cell>
        </row>
        <row r="220">
          <cell r="A220" t="str">
            <v>刘连</v>
          </cell>
          <cell r="B220" t="str">
            <v>哈哩屋的小baby-3037</v>
          </cell>
        </row>
        <row r="221">
          <cell r="A221" t="str">
            <v>刘露</v>
          </cell>
          <cell r="B221" t="str">
            <v>2012-B亦心恋，特卖费用</v>
          </cell>
        </row>
        <row r="222">
          <cell r="A222" t="str">
            <v>刘露</v>
          </cell>
          <cell r="B222" t="str">
            <v>商户:亦心恋-2012B </v>
          </cell>
        </row>
        <row r="223">
          <cell r="A223" t="str">
            <v>刘露</v>
          </cell>
          <cell r="B223" t="str">
            <v>亦心恋</v>
          </cell>
        </row>
        <row r="224">
          <cell r="A224" t="str">
            <v>刘露</v>
          </cell>
          <cell r="B224" t="str">
            <v>亦心恋-2012B</v>
          </cell>
        </row>
        <row r="225">
          <cell r="A225" t="str">
            <v>刘露</v>
          </cell>
          <cell r="B225" t="str">
            <v>亦心恋-2012B</v>
          </cell>
        </row>
        <row r="226">
          <cell r="A226" t="str">
            <v>刘露</v>
          </cell>
          <cell r="B226" t="str">
            <v>亦心恋-2012B</v>
          </cell>
        </row>
        <row r="227">
          <cell r="A227" t="str">
            <v>刘露</v>
          </cell>
          <cell r="B227" t="str">
            <v>亦心恋-2012B</v>
          </cell>
        </row>
        <row r="228">
          <cell r="A228" t="str">
            <v>刘露</v>
          </cell>
          <cell r="B228" t="str">
            <v>亦心恋-2012B</v>
          </cell>
        </row>
        <row r="229">
          <cell r="A229" t="str">
            <v>刘露</v>
          </cell>
          <cell r="B229" t="str">
            <v>亦心恋-2012B</v>
          </cell>
        </row>
        <row r="230">
          <cell r="A230" t="str">
            <v>刘露</v>
          </cell>
          <cell r="B230" t="str">
            <v>亦心恋-2012B</v>
          </cell>
        </row>
        <row r="231">
          <cell r="A231" t="str">
            <v>刘露</v>
          </cell>
          <cell r="B231" t="str">
            <v>亦心恋-2012B</v>
          </cell>
        </row>
        <row r="232">
          <cell r="A232" t="str">
            <v>刘露</v>
          </cell>
          <cell r="B232" t="str">
            <v>亦心恋-2012B</v>
          </cell>
        </row>
        <row r="233">
          <cell r="A233" t="str">
            <v>刘露</v>
          </cell>
          <cell r="B233" t="str">
            <v>亦心恋-2012B</v>
          </cell>
        </row>
        <row r="234">
          <cell r="A234" t="str">
            <v>刘露</v>
          </cell>
          <cell r="B234" t="str">
            <v>亦心恋-2012B</v>
          </cell>
        </row>
        <row r="235">
          <cell r="A235" t="str">
            <v>刘露</v>
          </cell>
          <cell r="B235" t="str">
            <v>亦心恋-2012B</v>
          </cell>
        </row>
        <row r="236">
          <cell r="A236" t="str">
            <v>刘露</v>
          </cell>
          <cell r="B236" t="str">
            <v>亦心恋-2012B</v>
          </cell>
        </row>
        <row r="237">
          <cell r="A237" t="str">
            <v>刘露</v>
          </cell>
          <cell r="B237" t="str">
            <v>亦心恋-2012B</v>
          </cell>
        </row>
        <row r="238">
          <cell r="A238" t="str">
            <v>刘露</v>
          </cell>
          <cell r="B238" t="str">
            <v>亦心恋-2012B</v>
          </cell>
        </row>
        <row r="239">
          <cell r="A239" t="str">
            <v>刘露</v>
          </cell>
          <cell r="B239" t="str">
            <v>亦心恋-2012B</v>
          </cell>
        </row>
        <row r="240">
          <cell r="A240" t="str">
            <v>刘露</v>
          </cell>
          <cell r="B240" t="str">
            <v>亦心恋-2012B</v>
          </cell>
        </row>
        <row r="241">
          <cell r="A241" t="str">
            <v>刘露</v>
          </cell>
          <cell r="B241" t="str">
            <v>亦心恋-2012B</v>
          </cell>
        </row>
        <row r="242">
          <cell r="A242" t="str">
            <v>刘露</v>
          </cell>
          <cell r="B242" t="str">
            <v>亦心恋-2012B</v>
          </cell>
        </row>
        <row r="243">
          <cell r="A243" t="str">
            <v>刘露</v>
          </cell>
          <cell r="B243" t="str">
            <v>亦心恋-2012B</v>
          </cell>
        </row>
        <row r="244">
          <cell r="A244" t="str">
            <v>刘露</v>
          </cell>
          <cell r="B244" t="str">
            <v>亦心恋-2012B</v>
          </cell>
        </row>
        <row r="245">
          <cell r="A245" t="str">
            <v>刘露</v>
          </cell>
          <cell r="B245" t="str">
            <v>亦心恋-2012B</v>
          </cell>
        </row>
        <row r="246">
          <cell r="A246" t="str">
            <v>刘露</v>
          </cell>
          <cell r="B246" t="str">
            <v>亦心恋-2012B</v>
          </cell>
        </row>
        <row r="247">
          <cell r="A247" t="str">
            <v>刘露</v>
          </cell>
          <cell r="B247" t="str">
            <v>亦心恋-2012B</v>
          </cell>
        </row>
        <row r="248">
          <cell r="A248" t="str">
            <v>刘露</v>
          </cell>
          <cell r="B248" t="str">
            <v>亦心恋7.1-9.30部分租金和服务费</v>
          </cell>
        </row>
        <row r="249">
          <cell r="A249" t="str">
            <v>刘盼</v>
          </cell>
          <cell r="B249" t="str">
            <v>七度银饰</v>
          </cell>
        </row>
        <row r="250">
          <cell r="A250" t="str">
            <v>刘盼</v>
          </cell>
          <cell r="B250" t="str">
            <v>七度银饰</v>
          </cell>
        </row>
        <row r="251">
          <cell r="A251" t="str">
            <v>刘盼</v>
          </cell>
          <cell r="B251" t="str">
            <v>七度银饰</v>
          </cell>
        </row>
        <row r="252">
          <cell r="A252" t="str">
            <v>刘盼</v>
          </cell>
          <cell r="B252" t="str">
            <v>七度银饰电费</v>
          </cell>
        </row>
        <row r="253">
          <cell r="A253" t="str">
            <v>刘诗杰</v>
          </cell>
          <cell r="B253" t="str">
            <v>愤怒的弹珠</v>
          </cell>
        </row>
        <row r="254">
          <cell r="A254" t="str">
            <v>刘诗杰</v>
          </cell>
          <cell r="B254" t="str">
            <v>愤怒的弹珠</v>
          </cell>
        </row>
        <row r="255">
          <cell r="A255" t="str">
            <v>刘诗杰</v>
          </cell>
          <cell r="B255" t="str">
            <v>愤怒的弹珠（装修费用）</v>
          </cell>
        </row>
        <row r="256">
          <cell r="A256" t="str">
            <v>刘诗杰</v>
          </cell>
          <cell r="B256" t="str">
            <v>愤怒的弹珠-3005</v>
          </cell>
        </row>
        <row r="257">
          <cell r="A257" t="str">
            <v>刘诗杰</v>
          </cell>
          <cell r="B257" t="str">
            <v>愤怒的弹珠-3005</v>
          </cell>
        </row>
        <row r="258">
          <cell r="A258" t="str">
            <v>刘诗杰</v>
          </cell>
          <cell r="B258" t="str">
            <v>愤怒的弹珠-3005</v>
          </cell>
        </row>
        <row r="259">
          <cell r="A259" t="str">
            <v>刘诗杰</v>
          </cell>
          <cell r="B259" t="str">
            <v>弘阳3036A铺意向金</v>
          </cell>
        </row>
        <row r="260">
          <cell r="A260" t="str">
            <v>刘桃</v>
          </cell>
          <cell r="B260" t="str">
            <v>百变城</v>
          </cell>
        </row>
        <row r="261">
          <cell r="A261" t="str">
            <v>刘桃</v>
          </cell>
          <cell r="B261" t="str">
            <v>百变城</v>
          </cell>
        </row>
        <row r="262">
          <cell r="A262" t="str">
            <v>刘桃</v>
          </cell>
          <cell r="B262" t="str">
            <v>百变城</v>
          </cell>
        </row>
        <row r="263">
          <cell r="A263" t="str">
            <v>刘桃</v>
          </cell>
          <cell r="B263" t="str">
            <v>百变城-2018</v>
          </cell>
        </row>
        <row r="264">
          <cell r="A264" t="str">
            <v>刘桃</v>
          </cell>
          <cell r="B264" t="str">
            <v>百变城-2018</v>
          </cell>
        </row>
        <row r="265">
          <cell r="A265" t="str">
            <v>刘桃</v>
          </cell>
          <cell r="B265" t="str">
            <v>百变城-2018</v>
          </cell>
        </row>
        <row r="266">
          <cell r="A266" t="str">
            <v>刘桃</v>
          </cell>
          <cell r="B266" t="str">
            <v>百变城-2018</v>
          </cell>
        </row>
        <row r="267">
          <cell r="A267" t="str">
            <v>刘桃</v>
          </cell>
          <cell r="B267" t="str">
            <v>百变城-2018</v>
          </cell>
        </row>
        <row r="268">
          <cell r="A268" t="str">
            <v>刘桃</v>
          </cell>
          <cell r="B268" t="str">
            <v>百变城-2018</v>
          </cell>
        </row>
        <row r="269">
          <cell r="A269" t="str">
            <v>刘桃</v>
          </cell>
          <cell r="B269" t="str">
            <v>百变城-2018</v>
          </cell>
        </row>
        <row r="270">
          <cell r="A270" t="str">
            <v>刘桃</v>
          </cell>
          <cell r="B270" t="str">
            <v>百变城-2018</v>
          </cell>
        </row>
        <row r="271">
          <cell r="A271" t="str">
            <v>刘桃</v>
          </cell>
          <cell r="B271" t="str">
            <v>百变城-2018</v>
          </cell>
        </row>
        <row r="272">
          <cell r="A272" t="str">
            <v>刘桃</v>
          </cell>
          <cell r="B272" t="str">
            <v>百变城-2018</v>
          </cell>
        </row>
        <row r="273">
          <cell r="A273" t="str">
            <v>刘桃</v>
          </cell>
          <cell r="B273" t="str">
            <v>百变城-2018</v>
          </cell>
        </row>
        <row r="274">
          <cell r="A274" t="str">
            <v>刘桃</v>
          </cell>
          <cell r="B274" t="str">
            <v>百变城-2018</v>
          </cell>
        </row>
        <row r="275">
          <cell r="A275" t="str">
            <v>刘桃</v>
          </cell>
          <cell r="B275" t="str">
            <v>百变城-2018</v>
          </cell>
        </row>
        <row r="276">
          <cell r="A276" t="str">
            <v>刘桃</v>
          </cell>
          <cell r="B276" t="str">
            <v>百变城-2018</v>
          </cell>
        </row>
        <row r="277">
          <cell r="A277" t="str">
            <v>刘桃</v>
          </cell>
          <cell r="B277" t="str">
            <v>百变城9.26-10.8特卖费</v>
          </cell>
        </row>
        <row r="278">
          <cell r="A278" t="str">
            <v>刘香</v>
          </cell>
          <cell r="B278" t="str">
            <v>恋惠优品</v>
          </cell>
        </row>
        <row r="279">
          <cell r="A279" t="str">
            <v>刘香</v>
          </cell>
          <cell r="B279" t="str">
            <v>恋惠优品</v>
          </cell>
        </row>
        <row r="280">
          <cell r="A280" t="str">
            <v>刘香</v>
          </cell>
          <cell r="B280" t="str">
            <v>恋惠优品</v>
          </cell>
        </row>
        <row r="281">
          <cell r="A281" t="str">
            <v>刘香</v>
          </cell>
          <cell r="B281" t="str">
            <v>恋惠优品-1019-BB</v>
          </cell>
        </row>
        <row r="282">
          <cell r="A282" t="str">
            <v>刘香</v>
          </cell>
          <cell r="B282" t="str">
            <v>恋惠优品-1019-BB</v>
          </cell>
        </row>
        <row r="283">
          <cell r="A283" t="str">
            <v>刘香</v>
          </cell>
          <cell r="B283" t="str">
            <v>恋惠优品-1019-BB</v>
          </cell>
        </row>
        <row r="284">
          <cell r="A284" t="str">
            <v>刘香</v>
          </cell>
          <cell r="B284" t="str">
            <v>恋惠优品-1019-BB</v>
          </cell>
        </row>
        <row r="285">
          <cell r="A285" t="str">
            <v>刘香</v>
          </cell>
          <cell r="B285" t="str">
            <v>恋惠优品-1019-BB</v>
          </cell>
        </row>
        <row r="286">
          <cell r="A286" t="str">
            <v>刘香</v>
          </cell>
          <cell r="B286" t="str">
            <v>恋惠优品-1019-BB</v>
          </cell>
        </row>
        <row r="287">
          <cell r="A287" t="str">
            <v>刘香</v>
          </cell>
          <cell r="B287" t="str">
            <v>恋惠优品-1019-BB</v>
          </cell>
        </row>
        <row r="288">
          <cell r="A288" t="str">
            <v>刘香</v>
          </cell>
          <cell r="B288" t="str">
            <v>恋惠优品-1019-BB</v>
          </cell>
        </row>
        <row r="289">
          <cell r="A289" t="str">
            <v>刘香</v>
          </cell>
          <cell r="B289" t="str">
            <v>恋惠优品-1021</v>
          </cell>
        </row>
        <row r="290">
          <cell r="A290" t="str">
            <v>刘香</v>
          </cell>
          <cell r="B290" t="str">
            <v>恋惠优品-1021</v>
          </cell>
        </row>
        <row r="291">
          <cell r="A291" t="str">
            <v>刘香</v>
          </cell>
          <cell r="B291" t="str">
            <v>恋惠优品-1021</v>
          </cell>
        </row>
        <row r="292">
          <cell r="A292" t="str">
            <v>刘小花</v>
          </cell>
          <cell r="B292" t="str">
            <v>冰糖葫芦</v>
          </cell>
        </row>
        <row r="293">
          <cell r="A293" t="str">
            <v>刘益豪</v>
          </cell>
          <cell r="B293" t="str">
            <v>balabala</v>
          </cell>
        </row>
        <row r="294">
          <cell r="A294" t="str">
            <v>刘益豪</v>
          </cell>
          <cell r="B294" t="str">
            <v>balabala</v>
          </cell>
        </row>
        <row r="295">
          <cell r="A295" t="str">
            <v>刘益豪</v>
          </cell>
          <cell r="B295" t="str">
            <v>balabala-3008</v>
          </cell>
        </row>
        <row r="296">
          <cell r="A296" t="str">
            <v>刘益豪</v>
          </cell>
          <cell r="B296" t="str">
            <v>balabala-3008</v>
          </cell>
        </row>
        <row r="297">
          <cell r="A297" t="str">
            <v>刘益豪</v>
          </cell>
          <cell r="B297" t="str">
            <v>balabala-3008</v>
          </cell>
        </row>
        <row r="298">
          <cell r="A298" t="str">
            <v>刘益豪</v>
          </cell>
          <cell r="B298" t="str">
            <v>balabala-3008</v>
          </cell>
        </row>
        <row r="299">
          <cell r="A299" t="str">
            <v>刘益豪</v>
          </cell>
          <cell r="B299" t="str">
            <v>balabala-3008</v>
          </cell>
        </row>
        <row r="300">
          <cell r="A300" t="str">
            <v>刘益豪</v>
          </cell>
          <cell r="B300" t="str">
            <v>balabala-3008</v>
          </cell>
        </row>
        <row r="301">
          <cell r="A301" t="str">
            <v>刘益豪</v>
          </cell>
          <cell r="B301" t="str">
            <v>Balabala6月和7月租金</v>
          </cell>
        </row>
        <row r="302">
          <cell r="A302" t="str">
            <v>刘益豪</v>
          </cell>
          <cell r="B302" t="str">
            <v>balabala-9.3-9.7特卖费</v>
          </cell>
        </row>
        <row r="303">
          <cell r="A303" t="str">
            <v>卢明管</v>
          </cell>
          <cell r="B303" t="str">
            <v>群有约（外广场儿童玩乐）</v>
          </cell>
        </row>
        <row r="304">
          <cell r="A304" t="str">
            <v>卢明管</v>
          </cell>
          <cell r="B304" t="str">
            <v>群有约（外广场儿童玩乐）</v>
          </cell>
        </row>
        <row r="305">
          <cell r="A305" t="str">
            <v>卢明管</v>
          </cell>
          <cell r="B305" t="str">
            <v>群有约（外广场儿童玩乐）</v>
          </cell>
        </row>
        <row r="306">
          <cell r="A306" t="str">
            <v>卢明管</v>
          </cell>
          <cell r="B306" t="str">
            <v>群有约（外广场儿童玩乐）</v>
          </cell>
        </row>
        <row r="307">
          <cell r="A307" t="str">
            <v>陆谢</v>
          </cell>
          <cell r="B307" t="str">
            <v>吉布鲁</v>
          </cell>
        </row>
        <row r="308">
          <cell r="A308" t="str">
            <v>陆谢</v>
          </cell>
          <cell r="B308" t="str">
            <v>吉布鲁</v>
          </cell>
        </row>
        <row r="309">
          <cell r="A309" t="str">
            <v>陆谢</v>
          </cell>
          <cell r="B309" t="str">
            <v>吉布鲁</v>
          </cell>
        </row>
        <row r="310">
          <cell r="A310" t="str">
            <v>陆谢</v>
          </cell>
          <cell r="B310" t="str">
            <v>吉布鲁-5001</v>
          </cell>
        </row>
        <row r="311">
          <cell r="A311" t="str">
            <v>陆谢</v>
          </cell>
          <cell r="B311" t="str">
            <v>吉布鲁-5001</v>
          </cell>
        </row>
        <row r="312">
          <cell r="A312" t="str">
            <v>陆谢</v>
          </cell>
          <cell r="B312" t="str">
            <v>吉布鲁-5001</v>
          </cell>
        </row>
        <row r="313">
          <cell r="A313" t="str">
            <v>陆谢</v>
          </cell>
          <cell r="B313" t="str">
            <v>吉布鲁-5001</v>
          </cell>
        </row>
        <row r="314">
          <cell r="A314" t="str">
            <v>陆谢</v>
          </cell>
          <cell r="B314" t="str">
            <v>吉布鲁-5001</v>
          </cell>
        </row>
        <row r="315">
          <cell r="A315" t="str">
            <v>陆谢</v>
          </cell>
          <cell r="B315" t="str">
            <v>吉布鲁-5001</v>
          </cell>
        </row>
        <row r="316">
          <cell r="A316" t="str">
            <v>陆谢</v>
          </cell>
          <cell r="B316" t="str">
            <v>吉布鲁-5001</v>
          </cell>
        </row>
        <row r="317">
          <cell r="A317" t="str">
            <v>陆谢</v>
          </cell>
          <cell r="B317" t="str">
            <v>吉布鲁-5001</v>
          </cell>
        </row>
        <row r="318">
          <cell r="A318" t="str">
            <v>陆谢</v>
          </cell>
          <cell r="B318" t="str">
            <v>吉布鲁-5001</v>
          </cell>
        </row>
        <row r="319">
          <cell r="A319" t="str">
            <v>陆谢</v>
          </cell>
          <cell r="B319" t="str">
            <v>吉布鲁-5001A</v>
          </cell>
        </row>
        <row r="320">
          <cell r="A320" t="str">
            <v>陆谢</v>
          </cell>
          <cell r="B320" t="str">
            <v>吉布鲁-5001A</v>
          </cell>
        </row>
        <row r="321">
          <cell r="A321" t="str">
            <v>陆谢</v>
          </cell>
          <cell r="B321" t="str">
            <v>吉布鲁-5001A</v>
          </cell>
        </row>
        <row r="322">
          <cell r="A322" t="str">
            <v>陆谢</v>
          </cell>
          <cell r="B322" t="str">
            <v>吉布鲁-5001A</v>
          </cell>
        </row>
        <row r="323">
          <cell r="A323" t="str">
            <v>陆谢</v>
          </cell>
          <cell r="B323" t="str">
            <v>吉布鲁-5001A</v>
          </cell>
        </row>
        <row r="324">
          <cell r="A324" t="str">
            <v>陆谢</v>
          </cell>
          <cell r="B324" t="str">
            <v>吉布鲁-5001A</v>
          </cell>
        </row>
        <row r="325">
          <cell r="A325" t="str">
            <v>陆谢</v>
          </cell>
          <cell r="B325" t="str">
            <v>吉布鲁-5001A</v>
          </cell>
        </row>
        <row r="326">
          <cell r="A326" t="str">
            <v>陆谢</v>
          </cell>
          <cell r="B326" t="str">
            <v>吉布鲁-5001A</v>
          </cell>
        </row>
        <row r="327">
          <cell r="A327" t="str">
            <v>陆谢</v>
          </cell>
          <cell r="B327" t="str">
            <v>吉布鲁9月仓库电费充值</v>
          </cell>
        </row>
        <row r="328">
          <cell r="A328" t="str">
            <v>陆谢</v>
          </cell>
          <cell r="B328" t="str">
            <v>吉布鲁9月水费充值</v>
          </cell>
        </row>
        <row r="329">
          <cell r="A329" t="str">
            <v>陆谢</v>
          </cell>
          <cell r="B329" t="str">
            <v>吉布鲁9月水费充值</v>
          </cell>
        </row>
        <row r="330">
          <cell r="A330" t="str">
            <v>陆谢</v>
          </cell>
          <cell r="B330" t="str">
            <v>吉布鲁仓库（先用后付）</v>
          </cell>
        </row>
        <row r="331">
          <cell r="A331" t="str">
            <v>陆谢</v>
          </cell>
          <cell r="B331" t="str">
            <v>吉布鲁仓库电费充值</v>
          </cell>
        </row>
        <row r="332">
          <cell r="A332" t="str">
            <v>陆谢</v>
          </cell>
          <cell r="B332" t="str">
            <v>吉布鲁仓库电费充值（先用后付）</v>
          </cell>
        </row>
        <row r="333">
          <cell r="A333" t="str">
            <v>陆谢</v>
          </cell>
          <cell r="B333" t="str">
            <v>吉布鲁水费充值</v>
          </cell>
        </row>
        <row r="334">
          <cell r="A334" t="str">
            <v>罗安</v>
          </cell>
          <cell r="B334" t="str">
            <v>柠季</v>
          </cell>
        </row>
        <row r="335">
          <cell r="A335" t="str">
            <v>罗安</v>
          </cell>
          <cell r="B335" t="str">
            <v>柠季</v>
          </cell>
        </row>
        <row r="336">
          <cell r="A336" t="str">
            <v>罗安</v>
          </cell>
          <cell r="B336" t="str">
            <v>柠季</v>
          </cell>
        </row>
        <row r="337">
          <cell r="A337" t="str">
            <v>罗安</v>
          </cell>
          <cell r="B337" t="str">
            <v>柠季</v>
          </cell>
        </row>
        <row r="338">
          <cell r="A338" t="str">
            <v>罗安</v>
          </cell>
          <cell r="B338" t="str">
            <v>柠季</v>
          </cell>
        </row>
        <row r="339">
          <cell r="A339" t="str">
            <v>罗安</v>
          </cell>
          <cell r="B339" t="str">
            <v>柠季-1009AB</v>
          </cell>
        </row>
        <row r="340">
          <cell r="A340" t="str">
            <v>罗安</v>
          </cell>
          <cell r="B340" t="str">
            <v>柠季-1009AB</v>
          </cell>
        </row>
        <row r="341">
          <cell r="A341" t="str">
            <v>罗安</v>
          </cell>
          <cell r="B341" t="str">
            <v>柠季-1009AB</v>
          </cell>
        </row>
        <row r="342">
          <cell r="A342" t="str">
            <v>罗安</v>
          </cell>
          <cell r="B342" t="str">
            <v>柠季-1009AB</v>
          </cell>
        </row>
        <row r="343">
          <cell r="A343" t="str">
            <v>罗安</v>
          </cell>
          <cell r="B343" t="str">
            <v>柠季-1009AB</v>
          </cell>
        </row>
        <row r="344">
          <cell r="A344" t="str">
            <v>罗安</v>
          </cell>
          <cell r="B344" t="str">
            <v>柠季-1009AB</v>
          </cell>
        </row>
        <row r="345">
          <cell r="A345" t="str">
            <v>罗安</v>
          </cell>
          <cell r="B345" t="str">
            <v>柠季-1009AB</v>
          </cell>
        </row>
        <row r="346">
          <cell r="A346" t="str">
            <v>罗谋</v>
          </cell>
          <cell r="B346" t="str">
            <v>银点-2003</v>
          </cell>
        </row>
        <row r="347">
          <cell r="A347" t="str">
            <v>罗谋</v>
          </cell>
          <cell r="B347" t="str">
            <v>银点-2003</v>
          </cell>
        </row>
        <row r="348">
          <cell r="A348" t="str">
            <v>罗谋</v>
          </cell>
          <cell r="B348" t="str">
            <v>银点-2003</v>
          </cell>
        </row>
        <row r="349">
          <cell r="A349" t="str">
            <v>罗谋</v>
          </cell>
          <cell r="B349" t="str">
            <v>银点-2003</v>
          </cell>
        </row>
        <row r="350">
          <cell r="A350" t="str">
            <v>罗谋</v>
          </cell>
          <cell r="B350" t="str">
            <v>银点-2003</v>
          </cell>
        </row>
        <row r="351">
          <cell r="A351" t="str">
            <v>罗谋</v>
          </cell>
          <cell r="B351" t="str">
            <v>银点-2003</v>
          </cell>
        </row>
        <row r="352">
          <cell r="A352" t="str">
            <v>罗谋</v>
          </cell>
          <cell r="B352" t="str">
            <v>银点-2003</v>
          </cell>
        </row>
        <row r="353">
          <cell r="A353" t="str">
            <v>罗谋</v>
          </cell>
          <cell r="B353" t="str">
            <v>银点-2003</v>
          </cell>
        </row>
        <row r="354">
          <cell r="A354" t="str">
            <v>罗谋</v>
          </cell>
          <cell r="B354" t="str">
            <v>银点-2003</v>
          </cell>
        </row>
        <row r="355">
          <cell r="A355" t="str">
            <v>罗谋</v>
          </cell>
          <cell r="B355" t="str">
            <v>银点-2003</v>
          </cell>
        </row>
        <row r="356">
          <cell r="A356" t="str">
            <v>罗谋</v>
          </cell>
          <cell r="B356" t="str">
            <v>银点-2003</v>
          </cell>
        </row>
        <row r="357">
          <cell r="A357" t="str">
            <v>罗文霞</v>
          </cell>
          <cell r="B357" t="str">
            <v>潮流前线-2008</v>
          </cell>
        </row>
        <row r="358">
          <cell r="A358" t="str">
            <v>罗文霞</v>
          </cell>
          <cell r="B358" t="str">
            <v>潮流前线-2008</v>
          </cell>
        </row>
        <row r="359">
          <cell r="A359" t="str">
            <v>罗文霞</v>
          </cell>
          <cell r="B359" t="str">
            <v>潮流前线-2008</v>
          </cell>
        </row>
        <row r="360">
          <cell r="A360" t="str">
            <v>罗文霞</v>
          </cell>
          <cell r="B360" t="str">
            <v>潮流前线-2008</v>
          </cell>
        </row>
        <row r="361">
          <cell r="A361" t="str">
            <v>罗文霞</v>
          </cell>
          <cell r="B361" t="str">
            <v>潮流前线-2008</v>
          </cell>
        </row>
        <row r="362">
          <cell r="A362" t="str">
            <v>罗文霞</v>
          </cell>
          <cell r="B362" t="str">
            <v>潮流前线-2008</v>
          </cell>
        </row>
        <row r="363">
          <cell r="A363" t="str">
            <v>罗文霞</v>
          </cell>
          <cell r="B363" t="str">
            <v>潮流前线-2008</v>
          </cell>
        </row>
        <row r="364">
          <cell r="A364" t="str">
            <v>罗文霞</v>
          </cell>
          <cell r="B364" t="str">
            <v>潮流前线-2008</v>
          </cell>
        </row>
        <row r="365">
          <cell r="A365" t="str">
            <v>罗文霞</v>
          </cell>
          <cell r="B365" t="str">
            <v>潮流前线-2008</v>
          </cell>
        </row>
        <row r="366">
          <cell r="A366" t="str">
            <v>罗文霞</v>
          </cell>
          <cell r="B366" t="str">
            <v>潮流前线-2008</v>
          </cell>
        </row>
        <row r="367">
          <cell r="A367" t="str">
            <v>罗文霞</v>
          </cell>
          <cell r="B367" t="str">
            <v>潮流前线-2008</v>
          </cell>
        </row>
        <row r="368">
          <cell r="A368" t="str">
            <v>罗文霞</v>
          </cell>
          <cell r="B368" t="str">
            <v>潮流前线-2008</v>
          </cell>
        </row>
        <row r="369">
          <cell r="A369" t="str">
            <v>罗文霞</v>
          </cell>
          <cell r="B369" t="str">
            <v>潮流前线-2008 </v>
          </cell>
        </row>
        <row r="370">
          <cell r="A370" t="str">
            <v>马黎平</v>
          </cell>
          <cell r="B370" t="str">
            <v>瞄一瞄（新签）</v>
          </cell>
        </row>
        <row r="371">
          <cell r="A371" t="str">
            <v>马黎平</v>
          </cell>
          <cell r="B371" t="str">
            <v>瞄一瞄（新签）</v>
          </cell>
        </row>
        <row r="372">
          <cell r="A372" t="str">
            <v>马黎平</v>
          </cell>
          <cell r="B372" t="str">
            <v>瞄一瞄（新签）</v>
          </cell>
        </row>
        <row r="373">
          <cell r="A373" t="str">
            <v>马黎平</v>
          </cell>
          <cell r="B373" t="str">
            <v>瞄一瞄-1001</v>
          </cell>
        </row>
        <row r="374">
          <cell r="A374" t="str">
            <v>马黎平</v>
          </cell>
          <cell r="B374" t="str">
            <v>瞄一瞄-1001</v>
          </cell>
        </row>
        <row r="375">
          <cell r="A375" t="str">
            <v>马黎平</v>
          </cell>
          <cell r="B375" t="str">
            <v>瞄一瞄-1001</v>
          </cell>
        </row>
        <row r="376">
          <cell r="A376" t="str">
            <v>马黎平</v>
          </cell>
          <cell r="B376" t="str">
            <v>瞄一瞄-1001</v>
          </cell>
        </row>
        <row r="377">
          <cell r="A377" t="str">
            <v>马黎平</v>
          </cell>
          <cell r="B377" t="str">
            <v>瞄一瞄-1001</v>
          </cell>
        </row>
        <row r="378">
          <cell r="A378" t="str">
            <v>马黎平</v>
          </cell>
          <cell r="B378" t="str">
            <v>瞄一瞄-1001</v>
          </cell>
        </row>
        <row r="379">
          <cell r="A379" t="str">
            <v>马黎平</v>
          </cell>
          <cell r="B379" t="str">
            <v>瞄一瞄-1001</v>
          </cell>
        </row>
        <row r="380">
          <cell r="A380" t="str">
            <v>马黎平</v>
          </cell>
          <cell r="B380" t="str">
            <v>瞄一瞄集采</v>
          </cell>
        </row>
        <row r="381">
          <cell r="A381" t="str">
            <v>马黎平</v>
          </cell>
          <cell r="B381" t="str">
            <v>商户:瞄一瞄-1001 </v>
          </cell>
        </row>
        <row r="382">
          <cell r="A382" t="str">
            <v>毛丽</v>
          </cell>
          <cell r="B382" t="str">
            <v>李宁</v>
          </cell>
        </row>
        <row r="383">
          <cell r="A383" t="str">
            <v>毛丽</v>
          </cell>
          <cell r="B383" t="str">
            <v>李宁</v>
          </cell>
        </row>
        <row r="384">
          <cell r="A384" t="str">
            <v>毛丽</v>
          </cell>
          <cell r="B384" t="str">
            <v>李宁</v>
          </cell>
        </row>
        <row r="385">
          <cell r="A385" t="str">
            <v>毛丽</v>
          </cell>
          <cell r="B385" t="str">
            <v>李宁</v>
          </cell>
        </row>
        <row r="386">
          <cell r="A386" t="str">
            <v>毛丽</v>
          </cell>
          <cell r="B386" t="str">
            <v>李宁</v>
          </cell>
        </row>
        <row r="387">
          <cell r="A387" t="str">
            <v>莫德明</v>
          </cell>
          <cell r="B387" t="str">
            <v>欣柳遇电费</v>
          </cell>
        </row>
        <row r="388">
          <cell r="A388" t="str">
            <v>莫德明</v>
          </cell>
          <cell r="B388" t="str">
            <v>欣椰遇-5023A</v>
          </cell>
        </row>
        <row r="389">
          <cell r="A389" t="str">
            <v>莫德明</v>
          </cell>
          <cell r="B389" t="str">
            <v>欣椰遇-5023A</v>
          </cell>
        </row>
        <row r="390">
          <cell r="A390" t="str">
            <v>莫德明</v>
          </cell>
          <cell r="B390" t="str">
            <v>欣椰遇-5023A</v>
          </cell>
        </row>
        <row r="391">
          <cell r="A391" t="str">
            <v>莫德明</v>
          </cell>
          <cell r="B391" t="str">
            <v>欣椰遇-5023A</v>
          </cell>
        </row>
        <row r="392">
          <cell r="A392" t="str">
            <v>莫德明</v>
          </cell>
          <cell r="B392" t="str">
            <v>欣椰遇-5023A</v>
          </cell>
        </row>
        <row r="393">
          <cell r="A393" t="str">
            <v>莫德明</v>
          </cell>
          <cell r="B393" t="str">
            <v>欣椰遇-5023A</v>
          </cell>
        </row>
        <row r="394">
          <cell r="A394" t="str">
            <v>莫德明</v>
          </cell>
          <cell r="B394" t="str">
            <v>欣椰遇-5023A</v>
          </cell>
        </row>
        <row r="395">
          <cell r="A395" t="str">
            <v>莫德明</v>
          </cell>
          <cell r="B395" t="str">
            <v>欣椰遇-5023A</v>
          </cell>
        </row>
        <row r="396">
          <cell r="A396" t="str">
            <v>莫德明</v>
          </cell>
          <cell r="B396" t="str">
            <v>欣椰遇-5023A</v>
          </cell>
        </row>
        <row r="397">
          <cell r="A397" t="str">
            <v>莫德明</v>
          </cell>
          <cell r="B397" t="str">
            <v>欣椰遇-5023A</v>
          </cell>
        </row>
        <row r="398">
          <cell r="A398" t="str">
            <v>莫德明</v>
          </cell>
          <cell r="B398" t="str">
            <v>欣椰遇-5023A</v>
          </cell>
        </row>
        <row r="399">
          <cell r="A399" t="str">
            <v>莫德明</v>
          </cell>
          <cell r="B399" t="str">
            <v>欣椰遇-5023A</v>
          </cell>
        </row>
        <row r="400">
          <cell r="A400" t="str">
            <v>莫德明</v>
          </cell>
          <cell r="B400" t="str">
            <v>欣椰遇-5023A </v>
          </cell>
        </row>
        <row r="401">
          <cell r="A401" t="str">
            <v>莫靖凡</v>
          </cell>
          <cell r="B401" t="str">
            <v>商户:星辰弓射箭馆A-3026 </v>
          </cell>
        </row>
        <row r="402">
          <cell r="A402" t="str">
            <v>莫靖凡</v>
          </cell>
          <cell r="B402" t="str">
            <v>商户:星辰弓射箭馆A-3026 </v>
          </cell>
        </row>
        <row r="403">
          <cell r="A403" t="str">
            <v>莫靖凡</v>
          </cell>
          <cell r="B403" t="str">
            <v>商户:星辰弓射箭馆A-3026 </v>
          </cell>
        </row>
        <row r="404">
          <cell r="A404" t="str">
            <v>莫靖凡</v>
          </cell>
          <cell r="B404" t="str">
            <v>商户:星辰弓射箭馆A-3026 </v>
          </cell>
        </row>
        <row r="405">
          <cell r="A405" t="str">
            <v>莫靖凡</v>
          </cell>
          <cell r="B405" t="str">
            <v>星辰弓射箭馆A-3026</v>
          </cell>
        </row>
        <row r="406">
          <cell r="A406" t="str">
            <v>莫靖凡</v>
          </cell>
          <cell r="B406" t="str">
            <v>星辰弓射箭馆A-3026</v>
          </cell>
        </row>
        <row r="407">
          <cell r="A407" t="str">
            <v>莫靖凡</v>
          </cell>
          <cell r="B407" t="str">
            <v>星辰弓射箭馆A-3026</v>
          </cell>
        </row>
        <row r="408">
          <cell r="A408" t="str">
            <v>莫靖凡</v>
          </cell>
          <cell r="B408" t="str">
            <v>星辰弓射箭馆A-3026</v>
          </cell>
        </row>
        <row r="409">
          <cell r="A409" t="str">
            <v>莫靖凡</v>
          </cell>
          <cell r="B409" t="str">
            <v>星辰弓射箭馆A-3026</v>
          </cell>
        </row>
        <row r="410">
          <cell r="A410" t="str">
            <v>莫靖凡</v>
          </cell>
          <cell r="B410" t="str">
            <v>星辰弓射箭馆A-3026</v>
          </cell>
        </row>
        <row r="411">
          <cell r="A411" t="str">
            <v>莫靖凡</v>
          </cell>
          <cell r="B411" t="str">
            <v>星辰弓射箭馆A-3026</v>
          </cell>
        </row>
        <row r="412">
          <cell r="A412" t="str">
            <v>莫靖凡</v>
          </cell>
          <cell r="B412" t="str">
            <v>星辰弓射箭馆A-3026</v>
          </cell>
        </row>
        <row r="413">
          <cell r="A413" t="str">
            <v>莫靖凡</v>
          </cell>
          <cell r="B413" t="str">
            <v>星辰弓射箭馆A-3026</v>
          </cell>
        </row>
        <row r="414">
          <cell r="A414" t="str">
            <v>莫靖凡</v>
          </cell>
          <cell r="B414" t="str">
            <v>星辰弓射箭馆A-3026</v>
          </cell>
        </row>
        <row r="415">
          <cell r="A415" t="str">
            <v>莫靖凡</v>
          </cell>
          <cell r="B415" t="str">
            <v>星辰弓射箭馆A-3026</v>
          </cell>
        </row>
        <row r="416">
          <cell r="A416" t="str">
            <v>莫靖凡</v>
          </cell>
          <cell r="B416" t="str">
            <v>星辰弓射箭馆A-3026</v>
          </cell>
        </row>
        <row r="417">
          <cell r="A417" t="str">
            <v>莫靖凡</v>
          </cell>
          <cell r="B417" t="str">
            <v>星辰弓射箭馆A-3026</v>
          </cell>
        </row>
        <row r="418">
          <cell r="A418" t="str">
            <v>莫靖凡</v>
          </cell>
          <cell r="B418" t="str">
            <v>星辰弓射箭馆A-3026</v>
          </cell>
        </row>
        <row r="419">
          <cell r="A419" t="str">
            <v>莫靖凡</v>
          </cell>
          <cell r="B419" t="str">
            <v>星辰弓射箭馆A-3026</v>
          </cell>
        </row>
        <row r="420">
          <cell r="A420" t="str">
            <v>莫靖凡</v>
          </cell>
          <cell r="B420" t="str">
            <v>星辰弓射箭馆A-3026</v>
          </cell>
        </row>
        <row r="421">
          <cell r="A421" t="str">
            <v>莫靖凡</v>
          </cell>
          <cell r="B421" t="str">
            <v>星辰弓射箭馆A-3026</v>
          </cell>
        </row>
        <row r="422">
          <cell r="A422" t="str">
            <v>莫靖凡</v>
          </cell>
          <cell r="B422" t="str">
            <v>星辰弓射箭馆A-3026</v>
          </cell>
        </row>
        <row r="423">
          <cell r="A423" t="str">
            <v>莫靖凡</v>
          </cell>
          <cell r="B423" t="str">
            <v>星辰弓射箭馆A-3026</v>
          </cell>
        </row>
        <row r="424">
          <cell r="A424" t="str">
            <v>莫靖凡</v>
          </cell>
          <cell r="B424" t="str">
            <v>星辰弓射箭馆A-3026</v>
          </cell>
        </row>
        <row r="425">
          <cell r="A425" t="str">
            <v>莫靖凡</v>
          </cell>
          <cell r="B425" t="str">
            <v>星辰弓射箭馆A-3026</v>
          </cell>
        </row>
        <row r="426">
          <cell r="A426" t="str">
            <v>莫靖凡</v>
          </cell>
          <cell r="B426" t="str">
            <v>星辰弓射箭馆A-3026</v>
          </cell>
        </row>
        <row r="427">
          <cell r="A427" t="str">
            <v>莫靖凡</v>
          </cell>
          <cell r="B427" t="str">
            <v>星辰弓射箭馆A-3026</v>
          </cell>
        </row>
        <row r="428">
          <cell r="A428" t="str">
            <v>莫靖凡</v>
          </cell>
          <cell r="B428" t="str">
            <v>星辰弓射箭馆A-3026</v>
          </cell>
        </row>
        <row r="429">
          <cell r="A429" t="str">
            <v>莫靖凡</v>
          </cell>
          <cell r="B429" t="str">
            <v>星辰弓射箭馆A-3026</v>
          </cell>
        </row>
        <row r="430">
          <cell r="A430" t="str">
            <v>莫靖凡</v>
          </cell>
          <cell r="B430" t="str">
            <v>星辰弓射箭馆A-3026</v>
          </cell>
        </row>
        <row r="431">
          <cell r="A431" t="str">
            <v>莫靖凡</v>
          </cell>
          <cell r="B431" t="str">
            <v>星辰弓射箭馆A-3026</v>
          </cell>
        </row>
        <row r="432">
          <cell r="A432" t="str">
            <v>莫靖凡</v>
          </cell>
          <cell r="B432" t="str">
            <v>星辰弓射箭馆A-3026</v>
          </cell>
        </row>
        <row r="433">
          <cell r="A433" t="str">
            <v>莫靖凡</v>
          </cell>
          <cell r="B433" t="str">
            <v>星辰弓射箭馆A-3026</v>
          </cell>
        </row>
        <row r="434">
          <cell r="A434" t="str">
            <v>莫靖凡</v>
          </cell>
          <cell r="B434" t="str">
            <v>星辰弓射箭馆A-3026</v>
          </cell>
        </row>
        <row r="435">
          <cell r="A435" t="str">
            <v>莫靖凡</v>
          </cell>
          <cell r="B435" t="str">
            <v>星辰弓射箭馆A-3026</v>
          </cell>
        </row>
        <row r="436">
          <cell r="A436" t="str">
            <v>莫靖凡</v>
          </cell>
          <cell r="B436" t="str">
            <v>星辰弓射箭馆A-3026</v>
          </cell>
        </row>
        <row r="437">
          <cell r="A437" t="str">
            <v>莫靖凡</v>
          </cell>
          <cell r="B437" t="str">
            <v>星辰弓射箭馆A-3026</v>
          </cell>
        </row>
        <row r="438">
          <cell r="A438" t="str">
            <v>莫靖凡</v>
          </cell>
          <cell r="B438" t="str">
            <v>星辰弓射箭馆A-3026</v>
          </cell>
        </row>
        <row r="439">
          <cell r="A439" t="str">
            <v>莫靖凡</v>
          </cell>
          <cell r="B439" t="str">
            <v>星辰弓射箭馆A-3026</v>
          </cell>
        </row>
        <row r="440">
          <cell r="A440" t="str">
            <v>莫靖凡</v>
          </cell>
          <cell r="B440" t="str">
            <v>星辰弓射箭馆A-3026</v>
          </cell>
        </row>
        <row r="441">
          <cell r="A441" t="str">
            <v>莫靖凡</v>
          </cell>
          <cell r="B441" t="str">
            <v>星辰弓射箭馆A-3026</v>
          </cell>
        </row>
        <row r="442">
          <cell r="A442" t="str">
            <v>莫靖凡</v>
          </cell>
          <cell r="B442" t="str">
            <v>星辰弓射箭馆A-3026</v>
          </cell>
        </row>
        <row r="443">
          <cell r="A443" t="str">
            <v>莫靖凡</v>
          </cell>
          <cell r="B443" t="str">
            <v>星辰弓射箭馆A-3026</v>
          </cell>
        </row>
        <row r="444">
          <cell r="A444" t="str">
            <v>莫靖凡</v>
          </cell>
          <cell r="B444" t="str">
            <v>星辰弓射箭馆A-3026</v>
          </cell>
        </row>
        <row r="445">
          <cell r="A445" t="str">
            <v>莫靖凡</v>
          </cell>
          <cell r="B445" t="str">
            <v>星辰弓射箭馆A-3026</v>
          </cell>
        </row>
        <row r="446">
          <cell r="A446" t="str">
            <v>莫靖凡</v>
          </cell>
          <cell r="B446" t="str">
            <v>星辰弓射箭馆A-3026</v>
          </cell>
        </row>
        <row r="447">
          <cell r="A447" t="str">
            <v>莫靖凡</v>
          </cell>
          <cell r="B447" t="str">
            <v>星辰弓射箭馆A-3026</v>
          </cell>
        </row>
        <row r="448">
          <cell r="A448" t="str">
            <v>莫靖凡</v>
          </cell>
          <cell r="B448" t="str">
            <v>星辰弓射箭馆A-3026</v>
          </cell>
        </row>
        <row r="449">
          <cell r="A449" t="str">
            <v>莫靖凡</v>
          </cell>
          <cell r="B449" t="str">
            <v>星辰弓射箭馆A-3026</v>
          </cell>
        </row>
        <row r="450">
          <cell r="A450" t="str">
            <v>莫靖凡</v>
          </cell>
          <cell r="B450" t="str">
            <v>星辰弓射箭馆A-3026</v>
          </cell>
        </row>
        <row r="451">
          <cell r="A451" t="str">
            <v>莫靖凡</v>
          </cell>
          <cell r="B451" t="str">
            <v>星辰弓射箭馆A-3026</v>
          </cell>
        </row>
        <row r="452">
          <cell r="A452" t="str">
            <v>莫靖凡</v>
          </cell>
          <cell r="B452" t="str">
            <v>星辰弓射箭馆A-3026</v>
          </cell>
        </row>
        <row r="453">
          <cell r="A453" t="str">
            <v>莫靖凡</v>
          </cell>
          <cell r="B453" t="str">
            <v>星辰弓射箭馆A-3026</v>
          </cell>
        </row>
        <row r="454">
          <cell r="A454" t="str">
            <v>莫靖凡</v>
          </cell>
          <cell r="B454" t="str">
            <v>星辰弓射箭馆A-3026</v>
          </cell>
        </row>
        <row r="455">
          <cell r="A455" t="str">
            <v>莫靖凡</v>
          </cell>
          <cell r="B455" t="str">
            <v>星辰弓射箭馆A-3026</v>
          </cell>
        </row>
        <row r="456">
          <cell r="A456" t="str">
            <v>莫靖凡</v>
          </cell>
          <cell r="B456" t="str">
            <v>星辰弓射箭馆A-3026</v>
          </cell>
        </row>
        <row r="457">
          <cell r="A457" t="str">
            <v>莫靖凡</v>
          </cell>
          <cell r="B457" t="str">
            <v>星辰弓射箭馆A-3026</v>
          </cell>
        </row>
        <row r="458">
          <cell r="A458" t="str">
            <v>莫靖凡</v>
          </cell>
          <cell r="B458" t="str">
            <v>星辰弓射箭馆A-3026</v>
          </cell>
        </row>
        <row r="459">
          <cell r="A459" t="str">
            <v>莫靖凡</v>
          </cell>
          <cell r="B459" t="str">
            <v>星辰弓射箭馆A-3026</v>
          </cell>
        </row>
        <row r="460">
          <cell r="A460" t="str">
            <v>莫靖凡</v>
          </cell>
          <cell r="B460" t="str">
            <v>星辰弓射箭馆A-3026</v>
          </cell>
        </row>
        <row r="461">
          <cell r="A461" t="str">
            <v>莫靖凡</v>
          </cell>
          <cell r="B461" t="str">
            <v>星辰弓射箭馆A-3026</v>
          </cell>
        </row>
        <row r="462">
          <cell r="A462" t="str">
            <v>莫靖凡</v>
          </cell>
          <cell r="B462" t="str">
            <v>星辰弓射箭馆A-3026</v>
          </cell>
        </row>
        <row r="463">
          <cell r="A463" t="str">
            <v>莫靖凡</v>
          </cell>
          <cell r="B463" t="str">
            <v>星辰弓射箭馆A-3026</v>
          </cell>
        </row>
        <row r="464">
          <cell r="A464" t="str">
            <v>莫靖凡</v>
          </cell>
          <cell r="B464" t="str">
            <v>星辰弓射箭馆A-3026</v>
          </cell>
        </row>
        <row r="465">
          <cell r="A465" t="str">
            <v>莫靖凡</v>
          </cell>
          <cell r="B465" t="str">
            <v>星辰弓射箭馆A-3026</v>
          </cell>
        </row>
        <row r="466">
          <cell r="A466" t="str">
            <v>莫靖凡</v>
          </cell>
          <cell r="B466" t="str">
            <v>星辰弓射箭馆A-3026</v>
          </cell>
        </row>
        <row r="467">
          <cell r="A467" t="str">
            <v>莫靖凡</v>
          </cell>
          <cell r="B467" t="str">
            <v>星辰弓射箭馆A-3026</v>
          </cell>
        </row>
        <row r="468">
          <cell r="A468" t="str">
            <v>莫靖凡</v>
          </cell>
          <cell r="B468" t="str">
            <v>星辰弓射箭馆A-3026</v>
          </cell>
        </row>
        <row r="469">
          <cell r="A469" t="str">
            <v>莫靖凡</v>
          </cell>
          <cell r="B469" t="str">
            <v>星辰弓射箭馆A-3026</v>
          </cell>
        </row>
        <row r="470">
          <cell r="A470" t="str">
            <v>莫靖凡</v>
          </cell>
          <cell r="B470" t="str">
            <v>星辰弓射箭馆A-3026</v>
          </cell>
        </row>
        <row r="471">
          <cell r="A471" t="str">
            <v>莫靖凡</v>
          </cell>
          <cell r="B471" t="str">
            <v>星辰弓射箭馆A-3026</v>
          </cell>
        </row>
        <row r="472">
          <cell r="A472" t="str">
            <v>莫靖凡</v>
          </cell>
          <cell r="B472" t="str">
            <v>星辰弓射箭馆A-3026</v>
          </cell>
        </row>
        <row r="473">
          <cell r="A473" t="str">
            <v>莫靖凡</v>
          </cell>
          <cell r="B473" t="str">
            <v>星辰弓射箭馆A-3026</v>
          </cell>
        </row>
        <row r="474">
          <cell r="A474" t="str">
            <v>莫靖凡</v>
          </cell>
          <cell r="B474" t="str">
            <v>星辰弓射箭馆A-3026</v>
          </cell>
        </row>
        <row r="475">
          <cell r="A475" t="str">
            <v>莫靖凡</v>
          </cell>
          <cell r="B475" t="str">
            <v>星辰弓射箭馆A-3026</v>
          </cell>
        </row>
        <row r="476">
          <cell r="A476" t="str">
            <v>莫靖凡</v>
          </cell>
          <cell r="B476" t="str">
            <v>星辰弓射箭馆A-3026</v>
          </cell>
        </row>
        <row r="477">
          <cell r="A477" t="str">
            <v>莫靖凡</v>
          </cell>
          <cell r="B477" t="str">
            <v>星辰弓射箭馆A-3026</v>
          </cell>
        </row>
        <row r="478">
          <cell r="A478" t="str">
            <v>莫靖凡</v>
          </cell>
          <cell r="B478" t="str">
            <v>星辰弓射箭馆A-3026</v>
          </cell>
        </row>
        <row r="479">
          <cell r="A479" t="str">
            <v>莫靖凡</v>
          </cell>
          <cell r="B479" t="str">
            <v>星辰弓射箭馆A-3026</v>
          </cell>
        </row>
        <row r="480">
          <cell r="A480" t="str">
            <v>莫靖凡</v>
          </cell>
          <cell r="B480" t="str">
            <v>星辰弓射箭馆A-3026</v>
          </cell>
        </row>
        <row r="481">
          <cell r="A481" t="str">
            <v>莫靖凡</v>
          </cell>
          <cell r="B481" t="str">
            <v>星辰弓射箭馆A-3026</v>
          </cell>
        </row>
        <row r="482">
          <cell r="A482" t="str">
            <v>莫靖凡</v>
          </cell>
          <cell r="B482" t="str">
            <v>星辰弓射箭馆A-3026</v>
          </cell>
        </row>
        <row r="483">
          <cell r="A483" t="str">
            <v>莫靖凡</v>
          </cell>
          <cell r="B483" t="str">
            <v>星辰弓射箭馆A-3026</v>
          </cell>
        </row>
        <row r="484">
          <cell r="A484" t="str">
            <v>莫靖凡</v>
          </cell>
          <cell r="B484" t="str">
            <v>星辰弓射箭馆A-3026</v>
          </cell>
        </row>
        <row r="485">
          <cell r="A485" t="str">
            <v>莫靖凡</v>
          </cell>
          <cell r="B485" t="str">
            <v>星辰弓射箭馆A-3026</v>
          </cell>
        </row>
        <row r="486">
          <cell r="A486" t="str">
            <v>莫靖凡</v>
          </cell>
          <cell r="B486" t="str">
            <v>星辰弓射箭馆A-3026</v>
          </cell>
        </row>
        <row r="487">
          <cell r="A487" t="str">
            <v>莫靖凡</v>
          </cell>
          <cell r="B487" t="str">
            <v>星辰弓射箭馆A-3026</v>
          </cell>
        </row>
        <row r="488">
          <cell r="A488" t="str">
            <v>莫靖凡</v>
          </cell>
          <cell r="B488" t="str">
            <v>星辰弓射箭馆A-3026</v>
          </cell>
        </row>
        <row r="489">
          <cell r="A489" t="str">
            <v>莫靖凡</v>
          </cell>
          <cell r="B489" t="str">
            <v>星辰弓射箭馆A-3026</v>
          </cell>
        </row>
        <row r="490">
          <cell r="A490" t="str">
            <v>莫靖凡</v>
          </cell>
          <cell r="B490" t="str">
            <v>星辰弓射箭馆A-3026</v>
          </cell>
        </row>
        <row r="491">
          <cell r="A491" t="str">
            <v>莫靖凡</v>
          </cell>
          <cell r="B491" t="str">
            <v>星辰弓射箭馆A-3026</v>
          </cell>
        </row>
        <row r="492">
          <cell r="A492" t="str">
            <v>莫靖凡</v>
          </cell>
          <cell r="B492" t="str">
            <v>星辰弓射箭馆A-3026</v>
          </cell>
        </row>
        <row r="493">
          <cell r="A493" t="str">
            <v>莫靖凡</v>
          </cell>
          <cell r="B493" t="str">
            <v>星辰弓射箭馆A-3026</v>
          </cell>
        </row>
        <row r="494">
          <cell r="A494" t="str">
            <v>莫靖凡</v>
          </cell>
          <cell r="B494" t="str">
            <v>星辰弓射箭馆A-3026</v>
          </cell>
        </row>
        <row r="495">
          <cell r="A495" t="str">
            <v>莫靖凡</v>
          </cell>
          <cell r="B495" t="str">
            <v>星辰弓射箭馆A-3026</v>
          </cell>
        </row>
        <row r="496">
          <cell r="A496" t="str">
            <v>莫靖凡</v>
          </cell>
          <cell r="B496" t="str">
            <v>星辰弓射箭馆A-3026</v>
          </cell>
        </row>
        <row r="497">
          <cell r="A497" t="str">
            <v>莫靖凡</v>
          </cell>
          <cell r="B497" t="str">
            <v>星辰弓射箭馆A-3026</v>
          </cell>
        </row>
        <row r="498">
          <cell r="A498" t="str">
            <v>莫靖凡</v>
          </cell>
          <cell r="B498" t="str">
            <v>星辰弓射箭馆A-3026</v>
          </cell>
        </row>
        <row r="499">
          <cell r="A499" t="str">
            <v>莫靖凡</v>
          </cell>
          <cell r="B499" t="str">
            <v>星辰弓射箭馆A-3026 </v>
          </cell>
        </row>
        <row r="500">
          <cell r="A500" t="str">
            <v>莫靖凡</v>
          </cell>
          <cell r="B500" t="str">
            <v>星辰弓射箭馆A-3026 </v>
          </cell>
        </row>
        <row r="501">
          <cell r="A501" t="str">
            <v>莫靖凡</v>
          </cell>
          <cell r="B501" t="str">
            <v>星辰弓租金</v>
          </cell>
        </row>
        <row r="502">
          <cell r="A502" t="str">
            <v>莫品</v>
          </cell>
          <cell r="B502" t="str">
            <v>铁板豆腐/狼牙土豆/烤肠</v>
          </cell>
        </row>
        <row r="503">
          <cell r="A503" t="str">
            <v>莫品</v>
          </cell>
          <cell r="B503" t="str">
            <v>章鱼先生，烤面筋</v>
          </cell>
        </row>
        <row r="504">
          <cell r="A504" t="str">
            <v>宁小兰</v>
          </cell>
          <cell r="B504" t="str">
            <v>卓诗尼-2037</v>
          </cell>
        </row>
        <row r="505">
          <cell r="A505" t="str">
            <v>宁小兰</v>
          </cell>
          <cell r="B505" t="str">
            <v>卓诗尼-2037</v>
          </cell>
        </row>
        <row r="506">
          <cell r="A506" t="str">
            <v>宁小兰</v>
          </cell>
          <cell r="B506" t="str">
            <v>卓诗尼-2037</v>
          </cell>
        </row>
        <row r="507">
          <cell r="A507" t="str">
            <v>宁小兰</v>
          </cell>
          <cell r="B507" t="str">
            <v>卓诗尼-2037</v>
          </cell>
        </row>
        <row r="508">
          <cell r="A508" t="str">
            <v>宁小兰</v>
          </cell>
          <cell r="B508" t="str">
            <v>卓诗尼-2037</v>
          </cell>
        </row>
        <row r="509">
          <cell r="A509" t="str">
            <v>宁小兰</v>
          </cell>
          <cell r="B509" t="str">
            <v>卓诗尼-2037</v>
          </cell>
        </row>
        <row r="510">
          <cell r="A510" t="str">
            <v>配套服务-皮具维修</v>
          </cell>
          <cell r="B510" t="str">
            <v>配套服务-皮具维修</v>
          </cell>
        </row>
        <row r="511">
          <cell r="A511" t="str">
            <v>配套服务-皮具维修</v>
          </cell>
          <cell r="B511" t="str">
            <v>一楼皮具维修</v>
          </cell>
        </row>
        <row r="512">
          <cell r="A512" t="str">
            <v>彭思佳</v>
          </cell>
          <cell r="B512" t="str">
            <v>INX吾限舞蹈</v>
          </cell>
        </row>
        <row r="513">
          <cell r="A513" t="str">
            <v>彭思佳</v>
          </cell>
          <cell r="B513" t="str">
            <v>INX吾限舞蹈</v>
          </cell>
        </row>
        <row r="514">
          <cell r="A514" t="str">
            <v>彭思佳</v>
          </cell>
          <cell r="B514" t="str">
            <v>INX吾限舞蹈</v>
          </cell>
        </row>
        <row r="515">
          <cell r="A515" t="str">
            <v>彭思佳</v>
          </cell>
          <cell r="B515" t="str">
            <v>INX吾限舞蹈</v>
          </cell>
        </row>
        <row r="516">
          <cell r="A516" t="str">
            <v>彭志辉（衡阳市蒸湘区蓉城宽窄巷子餐饮店）</v>
          </cell>
          <cell r="B516" t="str">
            <v>蓉城宽窄巷子-5007</v>
          </cell>
        </row>
        <row r="517">
          <cell r="A517" t="str">
            <v>彭志辉（衡阳市蒸湘区蓉城宽窄巷子餐饮店）</v>
          </cell>
          <cell r="B517" t="str">
            <v>蓉城宽窄巷子-5007</v>
          </cell>
        </row>
        <row r="518">
          <cell r="A518" t="str">
            <v>彭志辉（衡阳市蒸湘区蓉城宽窄巷子餐饮店）</v>
          </cell>
          <cell r="B518" t="str">
            <v>蓉城宽窄巷子-5007</v>
          </cell>
        </row>
        <row r="519">
          <cell r="A519" t="str">
            <v>彭志辉（衡阳市蒸湘区蓉城宽窄巷子餐饮店）</v>
          </cell>
          <cell r="B519" t="str">
            <v>蓉城宽窄巷子-5007</v>
          </cell>
        </row>
        <row r="520">
          <cell r="A520" t="str">
            <v>彭志辉（衡阳市蒸湘区蓉城宽窄巷子餐饮店）</v>
          </cell>
          <cell r="B520" t="str">
            <v>蓉城宽窄巷子-5007</v>
          </cell>
        </row>
        <row r="521">
          <cell r="A521" t="str">
            <v>彭志辉（衡阳市蒸湘区蓉城宽窄巷子餐饮店）</v>
          </cell>
          <cell r="B521" t="str">
            <v>蓉城宽窄巷子-5007</v>
          </cell>
        </row>
        <row r="522">
          <cell r="A522" t="str">
            <v>彭志辉（衡阳市蒸湘区蓉城宽窄巷子餐饮店）</v>
          </cell>
          <cell r="B522" t="str">
            <v>蓉城宽窄巷子-5007</v>
          </cell>
        </row>
        <row r="523">
          <cell r="A523" t="str">
            <v>彭志辉（衡阳市蒸湘区蓉城宽窄巷子餐饮店）</v>
          </cell>
          <cell r="B523" t="str">
            <v>蓉城宽窄巷子-5007</v>
          </cell>
        </row>
        <row r="524">
          <cell r="A524" t="str">
            <v>彭志辉（衡阳市蒸湘区蓉城宽窄巷子餐饮店）</v>
          </cell>
          <cell r="B524" t="str">
            <v>蓉城宽窄巷子-5007</v>
          </cell>
        </row>
        <row r="525">
          <cell r="A525" t="str">
            <v>彭志辉（衡阳市蒸湘区蓉城宽窄巷子餐饮店）</v>
          </cell>
          <cell r="B525" t="str">
            <v>蓉城宽窄巷子-5007</v>
          </cell>
        </row>
        <row r="526">
          <cell r="A526" t="str">
            <v>彭志辉（衡阳市蒸湘区蓉城宽窄巷子餐饮店）</v>
          </cell>
          <cell r="B526" t="str">
            <v>蓉城宽窄巷子-5007</v>
          </cell>
        </row>
        <row r="527">
          <cell r="A527" t="str">
            <v>彭志辉（衡阳市蒸湘区蓉城宽窄巷子餐饮店）</v>
          </cell>
          <cell r="B527" t="str">
            <v>蓉城宽窄巷子-5007</v>
          </cell>
        </row>
        <row r="528">
          <cell r="A528" t="str">
            <v>彭志辉（衡阳市蒸湘区蓉城宽窄巷子餐饮店）</v>
          </cell>
          <cell r="B528" t="str">
            <v>蓉城宽窄巷子-5007 </v>
          </cell>
        </row>
        <row r="529">
          <cell r="A529" t="str">
            <v>彭志辉（衡阳市蒸湘区蓉城宽窄巷子餐饮店）</v>
          </cell>
          <cell r="B529" t="str">
            <v>商户:蓉城宽窄巷子-5007 </v>
          </cell>
        </row>
        <row r="530">
          <cell r="A530" t="str">
            <v>彭志辉（衡阳市蒸湘区蓉城宽窄巷子餐饮店）</v>
          </cell>
          <cell r="B530" t="str">
            <v>商户:蓉城宽窄巷子-5007 </v>
          </cell>
        </row>
        <row r="531">
          <cell r="A531" t="str">
            <v>屈玉莲</v>
          </cell>
          <cell r="B531" t="str">
            <v>弹珠有名</v>
          </cell>
        </row>
        <row r="532">
          <cell r="A532" t="str">
            <v>屈玉莲</v>
          </cell>
          <cell r="B532" t="str">
            <v>弹珠有名</v>
          </cell>
        </row>
        <row r="533">
          <cell r="A533" t="str">
            <v>屈玉莲</v>
          </cell>
          <cell r="B533" t="str">
            <v>弹珠有名</v>
          </cell>
        </row>
        <row r="534">
          <cell r="A534" t="str">
            <v>屈玉莲</v>
          </cell>
          <cell r="B534" t="str">
            <v>弹珠有名-JYF3-003</v>
          </cell>
        </row>
        <row r="535">
          <cell r="A535" t="str">
            <v>屈玉莲</v>
          </cell>
          <cell r="B535" t="str">
            <v>弹珠有名-JYF3-003</v>
          </cell>
        </row>
        <row r="536">
          <cell r="A536" t="str">
            <v>全云丽</v>
          </cell>
          <cell r="B536" t="str">
            <v>火火兔启蒙玩学馆</v>
          </cell>
        </row>
        <row r="537">
          <cell r="A537" t="str">
            <v>全云丽</v>
          </cell>
          <cell r="B537" t="str">
            <v>火火兔启蒙玩学馆</v>
          </cell>
        </row>
        <row r="538">
          <cell r="A538" t="str">
            <v>全云丽</v>
          </cell>
          <cell r="B538" t="str">
            <v>火火兔启蒙玩学馆-3016</v>
          </cell>
        </row>
        <row r="539">
          <cell r="A539" t="str">
            <v>全云丽</v>
          </cell>
          <cell r="B539" t="str">
            <v>火火兔启蒙玩学馆-3016</v>
          </cell>
        </row>
        <row r="540">
          <cell r="A540" t="str">
            <v>全云丽</v>
          </cell>
          <cell r="B540" t="str">
            <v>商户:火火兔启蒙玩学馆-3016 </v>
          </cell>
        </row>
        <row r="541">
          <cell r="A541" t="str">
            <v>佘婷婷</v>
          </cell>
          <cell r="B541" t="str">
            <v>青蛙王子</v>
          </cell>
        </row>
        <row r="542">
          <cell r="A542" t="str">
            <v>佘婷婷</v>
          </cell>
          <cell r="B542" t="str">
            <v>青蛙王子-3013</v>
          </cell>
        </row>
        <row r="543">
          <cell r="A543" t="str">
            <v>佘婷婷</v>
          </cell>
          <cell r="B543" t="str">
            <v>青蛙王子-3013</v>
          </cell>
        </row>
        <row r="544">
          <cell r="A544" t="str">
            <v>佘婷婷</v>
          </cell>
          <cell r="B544" t="str">
            <v>青蛙王子-3013</v>
          </cell>
        </row>
        <row r="545">
          <cell r="A545" t="str">
            <v>佘婷婷</v>
          </cell>
          <cell r="B545" t="str">
            <v>青蛙王子-3013</v>
          </cell>
        </row>
        <row r="546">
          <cell r="A546" t="str">
            <v>佘婷婷</v>
          </cell>
          <cell r="B546" t="str">
            <v>青蛙王子-3013</v>
          </cell>
        </row>
        <row r="547">
          <cell r="A547" t="str">
            <v>佘婷婷</v>
          </cell>
          <cell r="B547" t="str">
            <v>青蛙王子-3013</v>
          </cell>
        </row>
        <row r="548">
          <cell r="A548" t="str">
            <v>佘婷婷</v>
          </cell>
          <cell r="B548" t="str">
            <v>青蛙王子-3013</v>
          </cell>
        </row>
        <row r="549">
          <cell r="A549" t="str">
            <v>佘婷婷</v>
          </cell>
          <cell r="B549" t="str">
            <v>青蛙王子-3013</v>
          </cell>
        </row>
        <row r="550">
          <cell r="A550" t="str">
            <v>佘婷婷</v>
          </cell>
          <cell r="B550" t="str">
            <v>青蛙王子-3013</v>
          </cell>
        </row>
        <row r="551">
          <cell r="A551" t="str">
            <v>佘婷婷</v>
          </cell>
          <cell r="B551" t="str">
            <v>青蛙王子-3013</v>
          </cell>
        </row>
        <row r="552">
          <cell r="A552" t="str">
            <v>佘婷婷</v>
          </cell>
          <cell r="B552" t="str">
            <v>青蛙王子-3013</v>
          </cell>
        </row>
        <row r="553">
          <cell r="A553" t="str">
            <v>佘婷婷</v>
          </cell>
          <cell r="B553" t="str">
            <v>青蛙王子-3013</v>
          </cell>
        </row>
        <row r="554">
          <cell r="A554" t="str">
            <v>佘婷婷</v>
          </cell>
          <cell r="B554" t="str">
            <v>青蛙王子-3013</v>
          </cell>
        </row>
        <row r="555">
          <cell r="A555" t="str">
            <v>佘婷婷</v>
          </cell>
          <cell r="B555" t="str">
            <v>青蛙王子-3013</v>
          </cell>
        </row>
        <row r="556">
          <cell r="A556" t="str">
            <v>佘婷婷</v>
          </cell>
          <cell r="B556" t="str">
            <v>青蛙王子-3013</v>
          </cell>
        </row>
        <row r="557">
          <cell r="A557" t="str">
            <v>佘婷婷</v>
          </cell>
          <cell r="B557" t="str">
            <v>青蛙王子-3013</v>
          </cell>
        </row>
        <row r="558">
          <cell r="A558" t="str">
            <v>佘婷婷</v>
          </cell>
          <cell r="B558" t="str">
            <v>青蛙王子-3013</v>
          </cell>
        </row>
        <row r="559">
          <cell r="A559" t="str">
            <v>佘婷婷</v>
          </cell>
          <cell r="B559" t="str">
            <v>青蛙王子-3013</v>
          </cell>
        </row>
        <row r="560">
          <cell r="A560" t="str">
            <v>佘婷婷</v>
          </cell>
          <cell r="B560" t="str">
            <v>青蛙王子-3013</v>
          </cell>
        </row>
        <row r="561">
          <cell r="A561" t="str">
            <v>佘婷婷</v>
          </cell>
          <cell r="B561" t="str">
            <v>青蛙王子-3013</v>
          </cell>
        </row>
        <row r="562">
          <cell r="A562" t="str">
            <v>佘婷婷</v>
          </cell>
          <cell r="B562" t="str">
            <v>青蛙王子-3013</v>
          </cell>
        </row>
        <row r="563">
          <cell r="A563" t="str">
            <v>佘婷婷</v>
          </cell>
          <cell r="B563" t="str">
            <v>青蛙王子-3013 </v>
          </cell>
        </row>
        <row r="564">
          <cell r="A564" t="str">
            <v>石志远</v>
          </cell>
          <cell r="B564" t="str">
            <v>兰迪雅</v>
          </cell>
        </row>
        <row r="565">
          <cell r="A565" t="str">
            <v>石志远</v>
          </cell>
          <cell r="B565" t="str">
            <v>兰迪雅</v>
          </cell>
        </row>
        <row r="566">
          <cell r="A566" t="str">
            <v>石志远</v>
          </cell>
          <cell r="B566" t="str">
            <v>兰迪雅</v>
          </cell>
        </row>
        <row r="567">
          <cell r="A567" t="str">
            <v>石志远</v>
          </cell>
          <cell r="B567" t="str">
            <v>兰迪雅-QTF1-001</v>
          </cell>
        </row>
        <row r="568">
          <cell r="A568" t="str">
            <v>石志远</v>
          </cell>
          <cell r="B568" t="str">
            <v>兰迪雅-QTF1-001</v>
          </cell>
        </row>
        <row r="569">
          <cell r="A569" t="str">
            <v>石志远</v>
          </cell>
          <cell r="B569" t="str">
            <v>兰迪雅-QTF1-001</v>
          </cell>
        </row>
        <row r="570">
          <cell r="A570" t="str">
            <v>石志远</v>
          </cell>
          <cell r="B570" t="str">
            <v>兰迪雅-QTF1-001</v>
          </cell>
        </row>
        <row r="571">
          <cell r="A571" t="str">
            <v>石志远</v>
          </cell>
          <cell r="B571" t="str">
            <v>兰迪雅-QTF1-001</v>
          </cell>
        </row>
        <row r="572">
          <cell r="A572" t="str">
            <v>石志远</v>
          </cell>
          <cell r="B572" t="str">
            <v>兰迪雅-QTF1-001</v>
          </cell>
        </row>
        <row r="573">
          <cell r="A573" t="str">
            <v>石志远</v>
          </cell>
          <cell r="B573" t="str">
            <v>兰迪雅-QTF1-001</v>
          </cell>
        </row>
        <row r="574">
          <cell r="A574" t="str">
            <v>石志远</v>
          </cell>
          <cell r="B574" t="str">
            <v>兰迪雅-QTF1-001</v>
          </cell>
        </row>
        <row r="575">
          <cell r="A575" t="str">
            <v>石志远</v>
          </cell>
          <cell r="B575" t="str">
            <v>兰迪雅-QTF1-001</v>
          </cell>
        </row>
        <row r="576">
          <cell r="A576" t="str">
            <v>石志远</v>
          </cell>
          <cell r="B576" t="str">
            <v>兰迪雅-QTF1-001</v>
          </cell>
        </row>
        <row r="577">
          <cell r="A577" t="str">
            <v>宋光福</v>
          </cell>
          <cell r="B577" t="str">
            <v>网红炒饭</v>
          </cell>
        </row>
        <row r="578">
          <cell r="A578" t="str">
            <v>孙叶芹</v>
          </cell>
          <cell r="B578" t="str">
            <v>Senlinniao森林鸟</v>
          </cell>
        </row>
        <row r="579">
          <cell r="A579" t="str">
            <v>孙叶芹</v>
          </cell>
          <cell r="B579" t="str">
            <v>Senlinniao森林鸟</v>
          </cell>
        </row>
        <row r="580">
          <cell r="A580" t="str">
            <v>孙叶芹</v>
          </cell>
          <cell r="B580" t="str">
            <v>Senlinniao森林鸟</v>
          </cell>
        </row>
        <row r="581">
          <cell r="A581" t="str">
            <v>孙叶芹</v>
          </cell>
          <cell r="B581" t="str">
            <v>森林鸟-1016</v>
          </cell>
        </row>
        <row r="582">
          <cell r="A582" t="str">
            <v>孙叶芹</v>
          </cell>
          <cell r="B582" t="str">
            <v>森林鸟-1016</v>
          </cell>
        </row>
        <row r="583">
          <cell r="A583" t="str">
            <v>孙叶芹</v>
          </cell>
          <cell r="B583" t="str">
            <v>森林鸟-1016</v>
          </cell>
        </row>
        <row r="584">
          <cell r="A584" t="str">
            <v>孙叶芹</v>
          </cell>
          <cell r="B584" t="str">
            <v>森林鸟-1016</v>
          </cell>
        </row>
        <row r="585">
          <cell r="A585" t="str">
            <v>孙叶芹</v>
          </cell>
          <cell r="B585" t="str">
            <v>森林鸟-1016</v>
          </cell>
        </row>
        <row r="586">
          <cell r="A586" t="str">
            <v>孙叶芹</v>
          </cell>
          <cell r="B586" t="str">
            <v>森林鸟-1016</v>
          </cell>
        </row>
        <row r="587">
          <cell r="A587" t="str">
            <v>孙叶芹</v>
          </cell>
          <cell r="B587" t="str">
            <v>森林鸟-1016</v>
          </cell>
        </row>
        <row r="588">
          <cell r="A588" t="str">
            <v>孙叶芹</v>
          </cell>
          <cell r="B588" t="str">
            <v>森林鸟-1016</v>
          </cell>
        </row>
        <row r="589">
          <cell r="A589" t="str">
            <v>孙叶芹</v>
          </cell>
          <cell r="B589" t="str">
            <v>孙叶芹，Senlinniao森林鸟 抽成租金（销售额69446，抽成12%）</v>
          </cell>
        </row>
        <row r="590">
          <cell r="A590" t="str">
            <v>谭超</v>
          </cell>
          <cell r="B590" t="str">
            <v>章鱼小丸子</v>
          </cell>
        </row>
        <row r="591">
          <cell r="A591" t="str">
            <v>徐海峰</v>
          </cell>
          <cell r="B591" t="str">
            <v>夏日玛莉</v>
          </cell>
        </row>
        <row r="592">
          <cell r="A592" t="str">
            <v>徐海峰</v>
          </cell>
          <cell r="B592" t="str">
            <v>夏日玛莉</v>
          </cell>
        </row>
        <row r="593">
          <cell r="A593" t="str">
            <v>徐海峰</v>
          </cell>
          <cell r="B593" t="str">
            <v>夏日玛莉</v>
          </cell>
        </row>
        <row r="594">
          <cell r="A594" t="str">
            <v>徐海峰</v>
          </cell>
          <cell r="B594" t="str">
            <v>夏日玛莉</v>
          </cell>
        </row>
        <row r="595">
          <cell r="A595" t="str">
            <v>徐海峰</v>
          </cell>
          <cell r="B595" t="str">
            <v>夏日玛莉</v>
          </cell>
        </row>
        <row r="596">
          <cell r="A596" t="str">
            <v>徐海峰</v>
          </cell>
          <cell r="B596" t="str">
            <v>夏日玛莉</v>
          </cell>
        </row>
        <row r="597">
          <cell r="A597" t="str">
            <v>徐海峰</v>
          </cell>
          <cell r="B597" t="str">
            <v>夏日玛莉</v>
          </cell>
        </row>
        <row r="598">
          <cell r="A598" t="str">
            <v>徐海峰</v>
          </cell>
          <cell r="B598" t="str">
            <v>夏日玛莉-5021A</v>
          </cell>
        </row>
        <row r="599">
          <cell r="A599" t="str">
            <v>徐海峰</v>
          </cell>
          <cell r="B599" t="str">
            <v>夏日玛莉-5021A</v>
          </cell>
        </row>
        <row r="600">
          <cell r="A600" t="str">
            <v>徐海峰</v>
          </cell>
          <cell r="B600" t="str">
            <v>夏日玛莉-5021A</v>
          </cell>
        </row>
        <row r="601">
          <cell r="A601" t="str">
            <v>徐海峰</v>
          </cell>
          <cell r="B601" t="str">
            <v>夏日玛莉-5021A</v>
          </cell>
        </row>
        <row r="602">
          <cell r="A602" t="str">
            <v>徐海峰</v>
          </cell>
          <cell r="B602" t="str">
            <v>夏日玛莉-5021A</v>
          </cell>
        </row>
        <row r="603">
          <cell r="A603" t="str">
            <v>徐海峰</v>
          </cell>
          <cell r="B603" t="str">
            <v>夏日玛莉-5021A</v>
          </cell>
        </row>
        <row r="604">
          <cell r="A604" t="str">
            <v>徐海峰</v>
          </cell>
          <cell r="B604" t="str">
            <v>夏日玛莉-5021A</v>
          </cell>
        </row>
        <row r="605">
          <cell r="A605" t="str">
            <v>徐海峰</v>
          </cell>
          <cell r="B605" t="str">
            <v>夏日玛莉-5021A</v>
          </cell>
        </row>
        <row r="606">
          <cell r="A606" t="str">
            <v>谭娜</v>
          </cell>
          <cell r="B606" t="str">
            <v>沅柒洞石锅拌饭</v>
          </cell>
        </row>
        <row r="607">
          <cell r="A607" t="str">
            <v>谭娜</v>
          </cell>
          <cell r="B607" t="str">
            <v>沅柒洞石锅拌饭</v>
          </cell>
        </row>
        <row r="608">
          <cell r="A608" t="str">
            <v>谭娜</v>
          </cell>
          <cell r="B608" t="str">
            <v>沅柒洞石锅拌饭</v>
          </cell>
        </row>
        <row r="609">
          <cell r="A609" t="str">
            <v>谭娜</v>
          </cell>
          <cell r="B609" t="str">
            <v>沅柒洞石锅拌饭</v>
          </cell>
        </row>
        <row r="610">
          <cell r="A610" t="str">
            <v>谭娜</v>
          </cell>
          <cell r="B610" t="str">
            <v>沅柒洞石锅拌饭</v>
          </cell>
        </row>
        <row r="611">
          <cell r="A611" t="str">
            <v>谭娜</v>
          </cell>
          <cell r="B611" t="str">
            <v>沅柒洞石锅拌饭</v>
          </cell>
        </row>
        <row r="612">
          <cell r="A612" t="str">
            <v>谭娜</v>
          </cell>
          <cell r="B612" t="str">
            <v>沅柒洞石锅拌饭</v>
          </cell>
        </row>
        <row r="613">
          <cell r="A613" t="str">
            <v>谭娜</v>
          </cell>
          <cell r="B613" t="str">
            <v>沅柒洞石锅拌饭</v>
          </cell>
        </row>
        <row r="614">
          <cell r="A614" t="str">
            <v>谭娜</v>
          </cell>
          <cell r="B614" t="str">
            <v>沅柒洞石锅拌饭-5011</v>
          </cell>
        </row>
        <row r="615">
          <cell r="A615" t="str">
            <v>谭娜</v>
          </cell>
          <cell r="B615" t="str">
            <v>沅柒洞石锅拌饭-5011</v>
          </cell>
        </row>
        <row r="616">
          <cell r="A616" t="str">
            <v>谭娜</v>
          </cell>
          <cell r="B616" t="str">
            <v>沅柒洞石锅拌饭意向金</v>
          </cell>
        </row>
        <row r="617">
          <cell r="A617" t="str">
            <v>汤国权</v>
          </cell>
          <cell r="B617" t="str">
            <v>滚球de店</v>
          </cell>
        </row>
        <row r="618">
          <cell r="A618" t="str">
            <v>汤国权</v>
          </cell>
          <cell r="B618" t="str">
            <v>滚球De店-1029</v>
          </cell>
        </row>
        <row r="619">
          <cell r="A619" t="str">
            <v>汤国权</v>
          </cell>
          <cell r="B619" t="str">
            <v>滚球De店-1029</v>
          </cell>
        </row>
        <row r="620">
          <cell r="A620" t="str">
            <v>汤国权</v>
          </cell>
          <cell r="B620" t="str">
            <v>滚球De店-1029</v>
          </cell>
        </row>
        <row r="621">
          <cell r="A621" t="str">
            <v>汤国权</v>
          </cell>
          <cell r="B621" t="str">
            <v>滚球De店-1029</v>
          </cell>
        </row>
        <row r="622">
          <cell r="A622" t="str">
            <v>汤国权</v>
          </cell>
          <cell r="B622" t="str">
            <v>滚球De店-1029</v>
          </cell>
        </row>
        <row r="623">
          <cell r="A623" t="str">
            <v>汤国权</v>
          </cell>
          <cell r="B623" t="str">
            <v>滚球De店-1029</v>
          </cell>
        </row>
        <row r="624">
          <cell r="A624" t="str">
            <v>汤国权</v>
          </cell>
          <cell r="B624" t="str">
            <v>商户:滚球De店-1029 </v>
          </cell>
        </row>
        <row r="625">
          <cell r="A625" t="str">
            <v>汤国权</v>
          </cell>
          <cell r="B625" t="str">
            <v>商户:滚球De店-1029 </v>
          </cell>
        </row>
        <row r="626">
          <cell r="A626" t="str">
            <v>汤菊</v>
          </cell>
          <cell r="B626" t="str">
            <v>民间小炊烟</v>
          </cell>
        </row>
        <row r="627">
          <cell r="A627" t="str">
            <v>汤菊</v>
          </cell>
          <cell r="B627" t="str">
            <v>民间小炊烟</v>
          </cell>
        </row>
        <row r="628">
          <cell r="A628" t="str">
            <v>汤菊（诚意金）</v>
          </cell>
          <cell r="B628" t="str">
            <v>民间小炊烟</v>
          </cell>
        </row>
        <row r="629">
          <cell r="A629" t="str">
            <v>唐斌</v>
          </cell>
          <cell r="B629" t="str">
            <v>一元寿司</v>
          </cell>
        </row>
        <row r="630">
          <cell r="A630" t="str">
            <v>唐靖</v>
          </cell>
          <cell r="B630" t="str">
            <v>鲜榨果汁，鸡蛋仔，链子胡</v>
          </cell>
        </row>
        <row r="631">
          <cell r="A631" t="str">
            <v>唐文文</v>
          </cell>
          <cell r="B631" t="str">
            <v>开心哈乐-2021</v>
          </cell>
        </row>
        <row r="632">
          <cell r="A632" t="str">
            <v>唐文文</v>
          </cell>
          <cell r="B632" t="str">
            <v>开心哈乐-2021</v>
          </cell>
        </row>
        <row r="633">
          <cell r="A633" t="str">
            <v>唐文文</v>
          </cell>
          <cell r="B633" t="str">
            <v>开心哈乐-2021</v>
          </cell>
        </row>
        <row r="634">
          <cell r="A634" t="str">
            <v>唐文文</v>
          </cell>
          <cell r="B634" t="str">
            <v>开心哈乐-2021</v>
          </cell>
        </row>
        <row r="635">
          <cell r="A635" t="str">
            <v>唐文文</v>
          </cell>
          <cell r="B635" t="str">
            <v>开心哈乐-2021</v>
          </cell>
        </row>
        <row r="636">
          <cell r="A636" t="str">
            <v>唐文文</v>
          </cell>
          <cell r="B636" t="str">
            <v>开心哈乐亲子乐园</v>
          </cell>
        </row>
        <row r="637">
          <cell r="A637" t="str">
            <v>唐向群</v>
          </cell>
          <cell r="B637" t="str">
            <v>大锤配镜</v>
          </cell>
        </row>
        <row r="638">
          <cell r="A638" t="str">
            <v>唐向群</v>
          </cell>
          <cell r="B638" t="str">
            <v>大锤配镜</v>
          </cell>
        </row>
        <row r="639">
          <cell r="A639" t="str">
            <v>唐向群</v>
          </cell>
          <cell r="B639" t="str">
            <v>大锤配镜</v>
          </cell>
        </row>
        <row r="640">
          <cell r="A640" t="str">
            <v>唐向群</v>
          </cell>
          <cell r="B640" t="str">
            <v>大锤配镜-2009A</v>
          </cell>
        </row>
        <row r="641">
          <cell r="A641" t="str">
            <v>唐向群</v>
          </cell>
          <cell r="B641" t="str">
            <v>大锤配镜-2009A</v>
          </cell>
        </row>
        <row r="642">
          <cell r="A642" t="str">
            <v>唐向群</v>
          </cell>
          <cell r="B642" t="str">
            <v>大锤配镜-2009A</v>
          </cell>
        </row>
        <row r="643">
          <cell r="A643" t="str">
            <v>唐向群</v>
          </cell>
          <cell r="B643" t="str">
            <v>大锤配镜-2009A</v>
          </cell>
        </row>
        <row r="644">
          <cell r="A644" t="str">
            <v>唐向群</v>
          </cell>
          <cell r="B644" t="str">
            <v>大锤配镜-2009A</v>
          </cell>
        </row>
        <row r="645">
          <cell r="A645" t="str">
            <v>唐向群</v>
          </cell>
          <cell r="B645" t="str">
            <v>大锤配镜-2009A</v>
          </cell>
        </row>
        <row r="646">
          <cell r="A646" t="str">
            <v>唐向群</v>
          </cell>
          <cell r="B646" t="str">
            <v>大锤配镜-2009A</v>
          </cell>
        </row>
        <row r="647">
          <cell r="A647" t="str">
            <v>唐向群</v>
          </cell>
          <cell r="B647" t="str">
            <v>大锤配镜-2009A</v>
          </cell>
        </row>
        <row r="648">
          <cell r="A648" t="str">
            <v>唐向群</v>
          </cell>
          <cell r="B648" t="str">
            <v>大锤配镜-2009A</v>
          </cell>
        </row>
        <row r="649">
          <cell r="A649" t="str">
            <v>唐向群</v>
          </cell>
          <cell r="B649" t="str">
            <v>大锤配镜-2009A</v>
          </cell>
        </row>
        <row r="650">
          <cell r="A650" t="str">
            <v>唐向群</v>
          </cell>
          <cell r="B650" t="str">
            <v>大锤配镜-2009A</v>
          </cell>
        </row>
        <row r="651">
          <cell r="A651" t="str">
            <v>唐向群</v>
          </cell>
          <cell r="B651" t="str">
            <v>大锤配镜-2009A</v>
          </cell>
        </row>
        <row r="652">
          <cell r="A652" t="str">
            <v>唐向群</v>
          </cell>
          <cell r="B652" t="str">
            <v>大锤配镜-2009A</v>
          </cell>
        </row>
        <row r="653">
          <cell r="A653" t="str">
            <v>唐向群</v>
          </cell>
          <cell r="B653" t="str">
            <v>大锤配镜-2009A</v>
          </cell>
        </row>
        <row r="654">
          <cell r="A654" t="str">
            <v>唐向群</v>
          </cell>
          <cell r="B654" t="str">
            <v>大锤配镜-2009A</v>
          </cell>
        </row>
        <row r="655">
          <cell r="A655" t="str">
            <v>唐向群</v>
          </cell>
          <cell r="B655" t="str">
            <v>大锤配镜-2009A</v>
          </cell>
        </row>
        <row r="656">
          <cell r="A656" t="str">
            <v>唐向群</v>
          </cell>
          <cell r="B656" t="str">
            <v>大锤配镜-2009A</v>
          </cell>
        </row>
        <row r="657">
          <cell r="A657" t="str">
            <v>唐向群</v>
          </cell>
          <cell r="B657" t="str">
            <v>大锤配镜-2009A</v>
          </cell>
        </row>
        <row r="658">
          <cell r="A658" t="str">
            <v>唐向群</v>
          </cell>
          <cell r="B658" t="str">
            <v>大锤配镜-2009A</v>
          </cell>
        </row>
        <row r="659">
          <cell r="A659" t="str">
            <v>唐向群</v>
          </cell>
          <cell r="B659" t="str">
            <v>大锤配镜-2009A</v>
          </cell>
        </row>
        <row r="660">
          <cell r="A660" t="str">
            <v>唐向群</v>
          </cell>
          <cell r="B660" t="str">
            <v>大锤配镜-2009A</v>
          </cell>
        </row>
        <row r="661">
          <cell r="A661" t="str">
            <v>唐向群</v>
          </cell>
          <cell r="B661" t="str">
            <v>大锤配镜-2009A</v>
          </cell>
        </row>
        <row r="662">
          <cell r="A662" t="str">
            <v>唐向群</v>
          </cell>
          <cell r="B662" t="str">
            <v>大锤配镜-2009A</v>
          </cell>
        </row>
        <row r="663">
          <cell r="A663" t="str">
            <v>唐向群</v>
          </cell>
          <cell r="B663" t="str">
            <v>大锤配镜-2009A</v>
          </cell>
        </row>
        <row r="664">
          <cell r="A664" t="str">
            <v>唐向群</v>
          </cell>
          <cell r="B664" t="str">
            <v>大锤配镜-2009A</v>
          </cell>
        </row>
        <row r="665">
          <cell r="A665" t="str">
            <v>唐向群</v>
          </cell>
          <cell r="B665" t="str">
            <v>大锤配镜-2009A</v>
          </cell>
        </row>
        <row r="666">
          <cell r="A666" t="str">
            <v>唐向群</v>
          </cell>
          <cell r="B666" t="str">
            <v>大锤配镜-2009A</v>
          </cell>
        </row>
        <row r="667">
          <cell r="A667" t="str">
            <v>唐向群</v>
          </cell>
          <cell r="B667" t="str">
            <v>大锤配镜-2009A</v>
          </cell>
        </row>
        <row r="668">
          <cell r="A668" t="str">
            <v>唐向群</v>
          </cell>
          <cell r="B668" t="str">
            <v>大锤配镜-2009A</v>
          </cell>
        </row>
        <row r="669">
          <cell r="A669" t="str">
            <v>唐向群</v>
          </cell>
          <cell r="B669" t="str">
            <v>大锤配镜-2009A</v>
          </cell>
        </row>
        <row r="670">
          <cell r="A670" t="str">
            <v>唐向群</v>
          </cell>
          <cell r="B670" t="str">
            <v>大锤眼镜工厂店水费</v>
          </cell>
        </row>
        <row r="671">
          <cell r="A671" t="str">
            <v>唐向群</v>
          </cell>
          <cell r="B671" t="str">
            <v>商户:大锤配镜-2009A</v>
          </cell>
        </row>
        <row r="672">
          <cell r="A672" t="str">
            <v>唐歆</v>
          </cell>
          <cell r="B672" t="str">
            <v>融艺舞蹈</v>
          </cell>
        </row>
        <row r="673">
          <cell r="A673" t="str">
            <v>唐歆</v>
          </cell>
          <cell r="B673" t="str">
            <v>融艺舞蹈</v>
          </cell>
        </row>
        <row r="674">
          <cell r="A674" t="str">
            <v>唐歆</v>
          </cell>
          <cell r="B674" t="str">
            <v>融艺舞蹈</v>
          </cell>
        </row>
        <row r="675">
          <cell r="A675" t="str">
            <v>唐歆</v>
          </cell>
          <cell r="B675" t="str">
            <v>融艺舞蹈</v>
          </cell>
        </row>
        <row r="676">
          <cell r="A676" t="str">
            <v>唐歆</v>
          </cell>
          <cell r="B676" t="str">
            <v>融艺舞蹈-4011</v>
          </cell>
        </row>
        <row r="677">
          <cell r="A677" t="str">
            <v>唐歆</v>
          </cell>
          <cell r="B677" t="str">
            <v>融艺舞蹈-4011</v>
          </cell>
        </row>
        <row r="678">
          <cell r="A678" t="str">
            <v>唐歆</v>
          </cell>
          <cell r="B678" t="str">
            <v>融艺舞蹈-4012</v>
          </cell>
        </row>
        <row r="679">
          <cell r="A679" t="str">
            <v>唐歆</v>
          </cell>
          <cell r="B679" t="str">
            <v>融艺舞蹈-4012</v>
          </cell>
        </row>
        <row r="680">
          <cell r="A680" t="str">
            <v>唐歆</v>
          </cell>
          <cell r="B680" t="str">
            <v>融艺舞蹈培训</v>
          </cell>
        </row>
        <row r="681">
          <cell r="A681" t="str">
            <v>唐歆</v>
          </cell>
          <cell r="B681" t="str">
            <v>融艺舞蹈培训</v>
          </cell>
        </row>
        <row r="682">
          <cell r="A682" t="str">
            <v>唐歆</v>
          </cell>
          <cell r="B682" t="str">
            <v>融艺舞蹈培训</v>
          </cell>
        </row>
        <row r="683">
          <cell r="A683" t="str">
            <v>唐歆</v>
          </cell>
          <cell r="B683" t="str">
            <v>歆融艺</v>
          </cell>
        </row>
        <row r="684">
          <cell r="A684" t="str">
            <v>滕招锦</v>
          </cell>
          <cell r="B684" t="str">
            <v>朝花汐食</v>
          </cell>
        </row>
        <row r="685">
          <cell r="A685" t="str">
            <v>滕招锦</v>
          </cell>
          <cell r="B685" t="str">
            <v>朝花汐食</v>
          </cell>
        </row>
        <row r="686">
          <cell r="A686" t="str">
            <v>滕招锦</v>
          </cell>
          <cell r="B686" t="str">
            <v>朝花汐食</v>
          </cell>
        </row>
        <row r="687">
          <cell r="A687" t="str">
            <v>滕招锦</v>
          </cell>
          <cell r="B687" t="str">
            <v>朝花汐食</v>
          </cell>
        </row>
        <row r="688">
          <cell r="A688" t="str">
            <v>滕招锦</v>
          </cell>
          <cell r="B688" t="str">
            <v>朝花汐食</v>
          </cell>
        </row>
        <row r="689">
          <cell r="A689" t="str">
            <v>滕招锦</v>
          </cell>
          <cell r="B689" t="str">
            <v>弘阳朝花汐食仓库年租金</v>
          </cell>
        </row>
        <row r="690">
          <cell r="A690" t="str">
            <v>涂小兰</v>
          </cell>
          <cell r="B690" t="str">
            <v>炊牛大烩-5002A</v>
          </cell>
        </row>
        <row r="691">
          <cell r="A691" t="str">
            <v>涂小兰</v>
          </cell>
          <cell r="B691" t="str">
            <v>炊牛大烩-5002A</v>
          </cell>
        </row>
        <row r="692">
          <cell r="A692" t="str">
            <v>涂小兰</v>
          </cell>
          <cell r="B692" t="str">
            <v>炊牛大烩-5002A</v>
          </cell>
        </row>
        <row r="693">
          <cell r="A693" t="str">
            <v>涂小兰</v>
          </cell>
          <cell r="B693" t="str">
            <v>炊牛大烩-5002A</v>
          </cell>
        </row>
        <row r="694">
          <cell r="A694" t="str">
            <v>涂小兰</v>
          </cell>
          <cell r="B694" t="str">
            <v>炊牛大烩-5002A</v>
          </cell>
        </row>
        <row r="695">
          <cell r="A695" t="str">
            <v>涂小兰</v>
          </cell>
          <cell r="B695" t="str">
            <v>炊牛大烩-5002A</v>
          </cell>
        </row>
        <row r="696">
          <cell r="A696" t="str">
            <v>涂小兰</v>
          </cell>
          <cell r="B696" t="str">
            <v>炊牛大烩-5002A</v>
          </cell>
        </row>
        <row r="697">
          <cell r="A697" t="str">
            <v>涂小兰</v>
          </cell>
          <cell r="B697" t="str">
            <v>炊牛大烩-5002A </v>
          </cell>
        </row>
        <row r="698">
          <cell r="A698" t="str">
            <v>涂小兰</v>
          </cell>
          <cell r="B698" t="str">
            <v>炊牛大烩-5002A和5002B各充1500元</v>
          </cell>
        </row>
        <row r="699">
          <cell r="A699" t="str">
            <v>涂小兰</v>
          </cell>
          <cell r="B699" t="str">
            <v>炊牛大烩-5002B</v>
          </cell>
        </row>
        <row r="700">
          <cell r="A700" t="str">
            <v>涂小兰</v>
          </cell>
          <cell r="B700" t="str">
            <v>炊牛大烩-5002B</v>
          </cell>
        </row>
        <row r="701">
          <cell r="A701" t="str">
            <v>涂小兰</v>
          </cell>
          <cell r="B701" t="str">
            <v>炊牛大烩-5002B</v>
          </cell>
        </row>
        <row r="702">
          <cell r="A702" t="str">
            <v>涂小兰</v>
          </cell>
          <cell r="B702" t="str">
            <v>炊牛大烩-5002B</v>
          </cell>
        </row>
        <row r="703">
          <cell r="A703" t="str">
            <v>涂小兰</v>
          </cell>
          <cell r="B703" t="str">
            <v>炊牛大烩-5002B</v>
          </cell>
        </row>
        <row r="704">
          <cell r="A704" t="str">
            <v>涂小兰</v>
          </cell>
          <cell r="B704" t="str">
            <v>炊牛大烩-5002B</v>
          </cell>
        </row>
        <row r="705">
          <cell r="A705" t="str">
            <v>涂小兰</v>
          </cell>
          <cell r="B705" t="str">
            <v>炊牛大烩-5002B </v>
          </cell>
        </row>
        <row r="706">
          <cell r="A706" t="str">
            <v>涂小兰</v>
          </cell>
          <cell r="B706" t="str">
            <v>炊牛大烩8月仓库租金</v>
          </cell>
        </row>
        <row r="707">
          <cell r="A707" t="str">
            <v>涂小兰</v>
          </cell>
          <cell r="B707" t="str">
            <v>兰江溪</v>
          </cell>
        </row>
        <row r="708">
          <cell r="A708" t="str">
            <v>涂小兰</v>
          </cell>
          <cell r="B708" t="str">
            <v>兰江溪.鲜辣江西菜</v>
          </cell>
        </row>
        <row r="709">
          <cell r="A709" t="str">
            <v>汪天皓</v>
          </cell>
          <cell r="B709" t="str">
            <v>许府牛</v>
          </cell>
        </row>
        <row r="710">
          <cell r="A710" t="str">
            <v>汪天皓</v>
          </cell>
          <cell r="B710" t="str">
            <v>许府牛</v>
          </cell>
        </row>
        <row r="711">
          <cell r="A711" t="str">
            <v>汪天皓</v>
          </cell>
          <cell r="B711" t="str">
            <v>许府牛-5003</v>
          </cell>
        </row>
        <row r="712">
          <cell r="A712" t="str">
            <v>汪天皓</v>
          </cell>
          <cell r="B712" t="str">
            <v>许府牛-5003</v>
          </cell>
        </row>
        <row r="713">
          <cell r="A713" t="str">
            <v>汪天皓</v>
          </cell>
          <cell r="B713" t="str">
            <v>许府牛-5003</v>
          </cell>
        </row>
        <row r="714">
          <cell r="A714" t="str">
            <v>汪天皓</v>
          </cell>
          <cell r="B714" t="str">
            <v>许府牛-5003</v>
          </cell>
        </row>
        <row r="715">
          <cell r="A715" t="str">
            <v>汪天皓</v>
          </cell>
          <cell r="B715" t="str">
            <v>许府牛-5003</v>
          </cell>
        </row>
        <row r="716">
          <cell r="A716" t="str">
            <v>汪天皓</v>
          </cell>
          <cell r="B716" t="str">
            <v>许府牛-5003</v>
          </cell>
        </row>
        <row r="717">
          <cell r="A717" t="str">
            <v>汪天皓</v>
          </cell>
          <cell r="B717" t="str">
            <v>许府牛-5003</v>
          </cell>
        </row>
        <row r="718">
          <cell r="A718" t="str">
            <v>汪天皓</v>
          </cell>
          <cell r="B718" t="str">
            <v>许府牛-5003</v>
          </cell>
        </row>
        <row r="719">
          <cell r="A719" t="str">
            <v>汪天皓</v>
          </cell>
          <cell r="B719" t="str">
            <v>许府牛-5003</v>
          </cell>
        </row>
        <row r="720">
          <cell r="A720" t="str">
            <v>汪天皓</v>
          </cell>
          <cell r="B720" t="str">
            <v>许府牛-5003</v>
          </cell>
        </row>
        <row r="721">
          <cell r="A721" t="str">
            <v>汪天皓</v>
          </cell>
          <cell r="B721" t="str">
            <v>许府牛-5003</v>
          </cell>
        </row>
        <row r="722">
          <cell r="A722" t="str">
            <v>汪天皓</v>
          </cell>
          <cell r="B722" t="str">
            <v>许府牛-5003</v>
          </cell>
        </row>
        <row r="723">
          <cell r="A723" t="str">
            <v>汪天皓</v>
          </cell>
          <cell r="B723" t="str">
            <v>许府牛-5003</v>
          </cell>
        </row>
        <row r="724">
          <cell r="A724" t="str">
            <v>汪天皓</v>
          </cell>
          <cell r="B724" t="str">
            <v>许府牛-5003</v>
          </cell>
        </row>
        <row r="725">
          <cell r="A725" t="str">
            <v>汪天皓</v>
          </cell>
          <cell r="B725" t="str">
            <v>许府牛-5003</v>
          </cell>
        </row>
        <row r="726">
          <cell r="A726" t="str">
            <v>汪天皓</v>
          </cell>
          <cell r="B726" t="str">
            <v>许府牛-5003</v>
          </cell>
        </row>
        <row r="727">
          <cell r="A727" t="str">
            <v>汪天皓</v>
          </cell>
          <cell r="B727" t="str">
            <v>许府牛-5003</v>
          </cell>
        </row>
        <row r="728">
          <cell r="A728" t="str">
            <v>汪天皓</v>
          </cell>
          <cell r="B728" t="str">
            <v>许府牛-5003</v>
          </cell>
        </row>
        <row r="729">
          <cell r="A729" t="str">
            <v>汪天皓</v>
          </cell>
          <cell r="B729" t="str">
            <v>许府牛-5003</v>
          </cell>
        </row>
        <row r="730">
          <cell r="A730" t="str">
            <v>汪天皓</v>
          </cell>
          <cell r="B730" t="str">
            <v>许府牛-5003</v>
          </cell>
        </row>
        <row r="731">
          <cell r="A731" t="str">
            <v>汪天皓</v>
          </cell>
          <cell r="B731" t="str">
            <v>许府牛-5003</v>
          </cell>
        </row>
        <row r="732">
          <cell r="A732" t="str">
            <v>汪天皓</v>
          </cell>
          <cell r="B732" t="str">
            <v>许府牛-5003 </v>
          </cell>
        </row>
        <row r="733">
          <cell r="A733" t="str">
            <v>汪天皓</v>
          </cell>
          <cell r="B733" t="str">
            <v>许府牛-5003-1</v>
          </cell>
        </row>
        <row r="734">
          <cell r="A734" t="str">
            <v>汪天皓</v>
          </cell>
          <cell r="B734" t="str">
            <v>许府牛-5003-1</v>
          </cell>
        </row>
        <row r="735">
          <cell r="A735" t="str">
            <v>汪天皓</v>
          </cell>
          <cell r="B735" t="str">
            <v>许府牛-5003-1</v>
          </cell>
        </row>
        <row r="736">
          <cell r="A736" t="str">
            <v>汪天皓</v>
          </cell>
          <cell r="B736" t="str">
            <v>许府牛-5003-1</v>
          </cell>
        </row>
        <row r="737">
          <cell r="A737" t="str">
            <v>汪天皓</v>
          </cell>
          <cell r="B737" t="str">
            <v>许府牛-5003-1</v>
          </cell>
        </row>
        <row r="738">
          <cell r="A738" t="str">
            <v>汪天皓</v>
          </cell>
          <cell r="B738" t="str">
            <v>许府牛-5003-1</v>
          </cell>
        </row>
        <row r="739">
          <cell r="A739" t="str">
            <v>汪天皓</v>
          </cell>
          <cell r="B739" t="str">
            <v>许府牛-5003-1</v>
          </cell>
        </row>
        <row r="740">
          <cell r="A740" t="str">
            <v>汪天皓</v>
          </cell>
          <cell r="B740" t="str">
            <v>许府牛-5003-1</v>
          </cell>
        </row>
        <row r="741">
          <cell r="A741" t="str">
            <v>汪天皓</v>
          </cell>
          <cell r="B741" t="str">
            <v>许府牛-5003-1</v>
          </cell>
        </row>
        <row r="742">
          <cell r="A742" t="str">
            <v>汪天皓</v>
          </cell>
          <cell r="B742" t="str">
            <v>许府牛-5003-1</v>
          </cell>
        </row>
        <row r="743">
          <cell r="A743" t="str">
            <v>汪天皓</v>
          </cell>
          <cell r="B743" t="str">
            <v>许府牛-5003-1</v>
          </cell>
        </row>
        <row r="744">
          <cell r="A744" t="str">
            <v>汪天皓</v>
          </cell>
          <cell r="B744" t="str">
            <v>许府牛-5003-1</v>
          </cell>
        </row>
        <row r="745">
          <cell r="A745" t="str">
            <v>汪天皓</v>
          </cell>
          <cell r="B745" t="str">
            <v>许府牛-5003-1</v>
          </cell>
        </row>
        <row r="746">
          <cell r="A746" t="str">
            <v>汪天皓</v>
          </cell>
          <cell r="B746" t="str">
            <v>许府牛-5003-1</v>
          </cell>
        </row>
        <row r="747">
          <cell r="A747" t="str">
            <v>王斌诚</v>
          </cell>
          <cell r="B747" t="str">
            <v>梅故事</v>
          </cell>
        </row>
        <row r="748">
          <cell r="A748" t="str">
            <v>王斌诚</v>
          </cell>
          <cell r="B748" t="str">
            <v>梅故事</v>
          </cell>
        </row>
        <row r="749">
          <cell r="A749" t="str">
            <v>王成宁</v>
          </cell>
          <cell r="B749" t="str">
            <v>VS主机游戏-3035</v>
          </cell>
        </row>
        <row r="750">
          <cell r="A750" t="str">
            <v>王成宁</v>
          </cell>
          <cell r="B750" t="str">
            <v>趣玩时空</v>
          </cell>
        </row>
        <row r="751">
          <cell r="A751" t="str">
            <v>王成宁</v>
          </cell>
          <cell r="B751" t="str">
            <v>趣玩时空</v>
          </cell>
        </row>
        <row r="752">
          <cell r="A752" t="str">
            <v>王成宁</v>
          </cell>
          <cell r="B752" t="str">
            <v>趣玩时空</v>
          </cell>
        </row>
        <row r="753">
          <cell r="A753" t="str">
            <v>王成宁</v>
          </cell>
          <cell r="B753" t="str">
            <v>趣玩时空</v>
          </cell>
        </row>
        <row r="754">
          <cell r="A754" t="str">
            <v>王成宁</v>
          </cell>
          <cell r="B754" t="str">
            <v>趣玩时空 </v>
          </cell>
        </row>
        <row r="755">
          <cell r="A755" t="str">
            <v>王成宁</v>
          </cell>
          <cell r="B755" t="str">
            <v>趣玩时空（新租户）</v>
          </cell>
        </row>
        <row r="756">
          <cell r="A756" t="str">
            <v>王慧霞</v>
          </cell>
          <cell r="B756" t="str">
            <v>珂妮莎蔓特卖费用10.21-10.31</v>
          </cell>
        </row>
        <row r="757">
          <cell r="A757" t="str">
            <v>王慧霞</v>
          </cell>
          <cell r="B757" t="str">
            <v>珂尼莎蔓</v>
          </cell>
        </row>
        <row r="758">
          <cell r="A758" t="str">
            <v>王慧霞</v>
          </cell>
          <cell r="B758" t="str">
            <v>珂尼莎蔓-2011B</v>
          </cell>
        </row>
        <row r="759">
          <cell r="A759" t="str">
            <v>王慧霞</v>
          </cell>
          <cell r="B759" t="str">
            <v>珂尼莎蔓-2011B</v>
          </cell>
        </row>
        <row r="760">
          <cell r="A760" t="str">
            <v>王慧霞</v>
          </cell>
          <cell r="B760" t="str">
            <v>珂尼莎蔓-2011B</v>
          </cell>
        </row>
        <row r="761">
          <cell r="A761" t="str">
            <v>王慧霞</v>
          </cell>
          <cell r="B761" t="str">
            <v>珂尼莎蔓-2011B</v>
          </cell>
        </row>
        <row r="762">
          <cell r="A762" t="str">
            <v>王慧霞</v>
          </cell>
          <cell r="B762" t="str">
            <v>珂尼莎蔓-2011B</v>
          </cell>
        </row>
        <row r="763">
          <cell r="A763" t="str">
            <v>王慧霞</v>
          </cell>
          <cell r="B763" t="str">
            <v>珂尼莎蔓-2011B</v>
          </cell>
        </row>
        <row r="764">
          <cell r="A764" t="str">
            <v>王慧霞</v>
          </cell>
          <cell r="B764" t="str">
            <v>珂尼莎蔓-2011B</v>
          </cell>
        </row>
        <row r="765">
          <cell r="A765" t="str">
            <v>王林燕</v>
          </cell>
          <cell r="B765" t="str">
            <v>2楼多经点诚意金</v>
          </cell>
        </row>
        <row r="766">
          <cell r="A766" t="str">
            <v>王美男</v>
          </cell>
          <cell r="B766" t="str">
            <v>老凤祥</v>
          </cell>
        </row>
        <row r="767">
          <cell r="A767" t="str">
            <v>王美男</v>
          </cell>
          <cell r="B767" t="str">
            <v>老凤祥</v>
          </cell>
        </row>
        <row r="768">
          <cell r="A768" t="str">
            <v>王美男</v>
          </cell>
          <cell r="B768" t="str">
            <v>老凤祥柜台交电费</v>
          </cell>
        </row>
        <row r="769">
          <cell r="A769" t="str">
            <v>王美男</v>
          </cell>
          <cell r="B769" t="str">
            <v>老凤祥柜台交电费</v>
          </cell>
        </row>
        <row r="770">
          <cell r="A770" t="str">
            <v>王明军</v>
          </cell>
          <cell r="B770" t="str">
            <v>冰淇淋，紫米饭团，柠檬茶</v>
          </cell>
        </row>
        <row r="771">
          <cell r="A771" t="str">
            <v>王秋燕</v>
          </cell>
          <cell r="B771" t="str">
            <v>乔克叔叔</v>
          </cell>
        </row>
        <row r="772">
          <cell r="A772" t="str">
            <v>王秋燕</v>
          </cell>
          <cell r="B772" t="str">
            <v>乔克叔叔-3029B</v>
          </cell>
        </row>
        <row r="773">
          <cell r="A773" t="str">
            <v>王秋燕</v>
          </cell>
          <cell r="B773" t="str">
            <v>乔克叔叔-3029B</v>
          </cell>
        </row>
        <row r="774">
          <cell r="A774" t="str">
            <v>王秋燕</v>
          </cell>
          <cell r="B774" t="str">
            <v>乔克叔叔-3029B</v>
          </cell>
        </row>
        <row r="775">
          <cell r="A775" t="str">
            <v>王秋燕</v>
          </cell>
          <cell r="B775" t="str">
            <v>乔克叔叔-3029B</v>
          </cell>
        </row>
        <row r="776">
          <cell r="A776" t="str">
            <v>王湘钰</v>
          </cell>
          <cell r="B776" t="str">
            <v>特步-1031</v>
          </cell>
        </row>
        <row r="777">
          <cell r="A777" t="str">
            <v>王湘钰</v>
          </cell>
          <cell r="B777" t="str">
            <v>特步-1031</v>
          </cell>
        </row>
        <row r="778">
          <cell r="A778" t="str">
            <v>王湘钰</v>
          </cell>
          <cell r="B778" t="str">
            <v>特步-1031</v>
          </cell>
        </row>
        <row r="779">
          <cell r="A779" t="str">
            <v>王湘钰</v>
          </cell>
          <cell r="B779" t="str">
            <v>特步-1031</v>
          </cell>
        </row>
        <row r="780">
          <cell r="A780" t="str">
            <v>王湘钰</v>
          </cell>
          <cell r="B780" t="str">
            <v>特步XTEP</v>
          </cell>
        </row>
        <row r="781">
          <cell r="A781" t="str">
            <v>王湘钰</v>
          </cell>
          <cell r="B781" t="str">
            <v>特步特卖品牌特卖场地费用</v>
          </cell>
        </row>
        <row r="782">
          <cell r="A782" t="str">
            <v>邹德峰</v>
          </cell>
          <cell r="B782" t="str">
            <v>藤野造型-4002</v>
          </cell>
        </row>
        <row r="783">
          <cell r="A783" t="str">
            <v>王钇淇</v>
          </cell>
          <cell r="B783" t="str">
            <v>伶俐</v>
          </cell>
        </row>
        <row r="784">
          <cell r="A784" t="str">
            <v>王钇淇</v>
          </cell>
          <cell r="B784" t="str">
            <v>伶俐-1018</v>
          </cell>
        </row>
        <row r="785">
          <cell r="A785" t="str">
            <v>王钇淇</v>
          </cell>
          <cell r="B785" t="str">
            <v>伶俐-1018</v>
          </cell>
        </row>
        <row r="786">
          <cell r="A786" t="str">
            <v>王钇淇</v>
          </cell>
          <cell r="B786" t="str">
            <v>伶俐-1018</v>
          </cell>
        </row>
        <row r="787">
          <cell r="A787" t="str">
            <v>王钇淇</v>
          </cell>
          <cell r="B787" t="str">
            <v>伶俐-1018</v>
          </cell>
        </row>
        <row r="788">
          <cell r="A788" t="str">
            <v>韦土花</v>
          </cell>
          <cell r="B788" t="str">
            <v>粤式牛杂</v>
          </cell>
        </row>
        <row r="789">
          <cell r="A789" t="str">
            <v>潍坊壳满满商贸有限公司</v>
          </cell>
          <cell r="B789" t="str">
            <v>手机虾</v>
          </cell>
        </row>
        <row r="790">
          <cell r="A790" t="str">
            <v>潍坊壳满满商贸有限公司</v>
          </cell>
          <cell r="B790" t="str">
            <v>手机虾</v>
          </cell>
        </row>
        <row r="791">
          <cell r="A791" t="str">
            <v>潍坊壳满满商贸有限公司</v>
          </cell>
          <cell r="B791" t="str">
            <v>手机虾</v>
          </cell>
        </row>
        <row r="792">
          <cell r="A792" t="str">
            <v>潍坊壳满满商贸有限公司</v>
          </cell>
          <cell r="B792" t="str">
            <v>手机虾（一楼屈臣氏门口）</v>
          </cell>
        </row>
        <row r="793">
          <cell r="A793" t="str">
            <v>魏莲花</v>
          </cell>
          <cell r="B793" t="str">
            <v>好集乐</v>
          </cell>
        </row>
        <row r="794">
          <cell r="A794" t="str">
            <v>魏莲花</v>
          </cell>
          <cell r="B794" t="str">
            <v>好集乐</v>
          </cell>
        </row>
        <row r="795">
          <cell r="A795" t="str">
            <v>魏莲花</v>
          </cell>
          <cell r="B795" t="str">
            <v>好集乐</v>
          </cell>
        </row>
        <row r="796">
          <cell r="A796" t="str">
            <v>魏莲花</v>
          </cell>
          <cell r="B796" t="str">
            <v>好集乐</v>
          </cell>
        </row>
        <row r="797">
          <cell r="A797" t="str">
            <v>魏莲花</v>
          </cell>
          <cell r="B797" t="str">
            <v>好集乐</v>
          </cell>
        </row>
        <row r="798">
          <cell r="A798" t="str">
            <v>魏香英</v>
          </cell>
          <cell r="B798" t="str">
            <v>欧路艾米</v>
          </cell>
        </row>
        <row r="799">
          <cell r="A799" t="str">
            <v>魏香英</v>
          </cell>
          <cell r="B799" t="str">
            <v>欧路艾米</v>
          </cell>
        </row>
        <row r="800">
          <cell r="A800" t="str">
            <v>魏香英</v>
          </cell>
          <cell r="B800" t="str">
            <v>欧路艾米</v>
          </cell>
        </row>
        <row r="801">
          <cell r="A801" t="str">
            <v>魏香英</v>
          </cell>
          <cell r="B801" t="str">
            <v>欧路艾米</v>
          </cell>
        </row>
        <row r="802">
          <cell r="A802" t="str">
            <v>魏小玉</v>
          </cell>
          <cell r="B802" t="str">
            <v>诚意金2012A</v>
          </cell>
        </row>
        <row r="803">
          <cell r="A803" t="str">
            <v>吴革民</v>
          </cell>
          <cell r="B803" t="str">
            <v>遇上饼</v>
          </cell>
        </row>
        <row r="804">
          <cell r="A804" t="str">
            <v>吴革民</v>
          </cell>
          <cell r="B804" t="str">
            <v>遇尚饼</v>
          </cell>
        </row>
        <row r="805">
          <cell r="A805" t="str">
            <v>吴革民</v>
          </cell>
          <cell r="B805" t="str">
            <v>遇尚饼</v>
          </cell>
        </row>
        <row r="806">
          <cell r="A806" t="str">
            <v>吴革民</v>
          </cell>
          <cell r="B806" t="str">
            <v>遇尚饼</v>
          </cell>
        </row>
        <row r="807">
          <cell r="A807" t="str">
            <v>吴革民</v>
          </cell>
          <cell r="B807" t="str">
            <v>遇尚饼</v>
          </cell>
        </row>
        <row r="808">
          <cell r="A808" t="str">
            <v>吴革民</v>
          </cell>
          <cell r="B808" t="str">
            <v>遇尚饼10月1日至12月</v>
          </cell>
        </row>
        <row r="809">
          <cell r="A809" t="str">
            <v>吴革民</v>
          </cell>
          <cell r="B809" t="str">
            <v>遇尚饼-5018</v>
          </cell>
        </row>
        <row r="810">
          <cell r="A810" t="str">
            <v>吴革民</v>
          </cell>
          <cell r="B810" t="str">
            <v>遇尚饼-5018</v>
          </cell>
        </row>
        <row r="811">
          <cell r="A811" t="str">
            <v>吴革民</v>
          </cell>
          <cell r="B811" t="str">
            <v>遇尚饼-5018</v>
          </cell>
        </row>
        <row r="812">
          <cell r="A812" t="str">
            <v>吴利敏</v>
          </cell>
          <cell r="B812" t="str">
            <v>华南虎</v>
          </cell>
        </row>
        <row r="813">
          <cell r="A813" t="str">
            <v>吴利敏</v>
          </cell>
          <cell r="B813" t="str">
            <v>华南虎</v>
          </cell>
        </row>
        <row r="814">
          <cell r="A814" t="str">
            <v>吴利敏</v>
          </cell>
          <cell r="B814" t="str">
            <v>华南虎</v>
          </cell>
        </row>
        <row r="815">
          <cell r="A815" t="str">
            <v>吴利敏</v>
          </cell>
          <cell r="B815" t="str">
            <v>华南虎</v>
          </cell>
        </row>
        <row r="816">
          <cell r="A816" t="str">
            <v>吴利敏</v>
          </cell>
          <cell r="B816" t="str">
            <v>华南虎-2025</v>
          </cell>
        </row>
        <row r="817">
          <cell r="A817" t="str">
            <v>吴利敏</v>
          </cell>
          <cell r="B817" t="str">
            <v>华南虎-2025</v>
          </cell>
        </row>
        <row r="818">
          <cell r="A818" t="str">
            <v>吴利敏</v>
          </cell>
          <cell r="B818" t="str">
            <v>华南虎-2025</v>
          </cell>
        </row>
        <row r="819">
          <cell r="A819" t="str">
            <v>吴利敏</v>
          </cell>
          <cell r="B819" t="str">
            <v>华南虎-2025</v>
          </cell>
        </row>
        <row r="820">
          <cell r="A820" t="str">
            <v>吴利敏</v>
          </cell>
          <cell r="B820" t="str">
            <v>华南虎特卖费用8.17-21</v>
          </cell>
        </row>
        <row r="821">
          <cell r="A821" t="str">
            <v>吴利敏</v>
          </cell>
          <cell r="B821" t="str">
            <v>华南虎特卖费用9.12-15</v>
          </cell>
        </row>
        <row r="822">
          <cell r="A822" t="str">
            <v>吴赛博</v>
          </cell>
          <cell r="B822" t="str">
            <v>夜包子</v>
          </cell>
        </row>
        <row r="823">
          <cell r="A823" t="str">
            <v>伍兰</v>
          </cell>
          <cell r="B823" t="str">
            <v>AIAL</v>
          </cell>
        </row>
        <row r="824">
          <cell r="A824" t="str">
            <v>伍兰</v>
          </cell>
          <cell r="B824" t="str">
            <v>AIAL</v>
          </cell>
        </row>
        <row r="825">
          <cell r="A825" t="str">
            <v>伍兰</v>
          </cell>
          <cell r="B825" t="str">
            <v>AIAL</v>
          </cell>
        </row>
        <row r="826">
          <cell r="A826" t="str">
            <v>蒋晶</v>
          </cell>
          <cell r="B826" t="str">
            <v>WYII XH-1039</v>
          </cell>
        </row>
        <row r="827">
          <cell r="A827" t="str">
            <v>伍珍贵</v>
          </cell>
          <cell r="B827" t="str">
            <v>科大讯飞</v>
          </cell>
        </row>
        <row r="828">
          <cell r="A828" t="str">
            <v>武汉聚腾鑫飞体育科技有限公司</v>
          </cell>
          <cell r="B828" t="str">
            <v>新百伦领跑-2016AA</v>
          </cell>
        </row>
        <row r="829">
          <cell r="A829" t="str">
            <v>武汉聚腾鑫飞体育科技有限公司</v>
          </cell>
          <cell r="B829" t="str">
            <v>新百伦领跑-2016AA</v>
          </cell>
        </row>
        <row r="830">
          <cell r="A830" t="str">
            <v>武汉聚腾鑫飞体育科技有限公司</v>
          </cell>
          <cell r="B830" t="str">
            <v>新百伦领跑-2016AA</v>
          </cell>
        </row>
        <row r="831">
          <cell r="A831" t="str">
            <v>武汉聚腾鑫飞体育科技有限公司</v>
          </cell>
          <cell r="B831" t="str">
            <v>新百伦领跑-2016AA</v>
          </cell>
        </row>
        <row r="832">
          <cell r="A832" t="str">
            <v>肖超杰</v>
          </cell>
          <cell r="B832" t="str">
            <v>书亦烧仙草</v>
          </cell>
        </row>
        <row r="833">
          <cell r="A833" t="str">
            <v>肖超杰</v>
          </cell>
          <cell r="B833" t="str">
            <v>书亦烧仙草</v>
          </cell>
        </row>
        <row r="834">
          <cell r="A834" t="str">
            <v>肖超杰</v>
          </cell>
          <cell r="B834" t="str">
            <v>书亦烧仙草</v>
          </cell>
        </row>
        <row r="835">
          <cell r="A835" t="str">
            <v>肖超杰</v>
          </cell>
          <cell r="B835" t="str">
            <v>书亦烧仙草</v>
          </cell>
        </row>
        <row r="836">
          <cell r="A836" t="str">
            <v>肖超杰</v>
          </cell>
          <cell r="B836" t="str">
            <v>书亦烧仙草-5022</v>
          </cell>
        </row>
        <row r="837">
          <cell r="A837" t="str">
            <v>肖超杰</v>
          </cell>
          <cell r="B837" t="str">
            <v>书亦烧仙草-5022</v>
          </cell>
        </row>
        <row r="838">
          <cell r="A838" t="str">
            <v>肖超杰</v>
          </cell>
          <cell r="B838" t="str">
            <v>书亦烧仙草-5022</v>
          </cell>
        </row>
        <row r="839">
          <cell r="A839" t="str">
            <v>肖超杰</v>
          </cell>
          <cell r="B839" t="str">
            <v>书亦烧仙草-5022 </v>
          </cell>
        </row>
        <row r="840">
          <cell r="A840" t="str">
            <v>肖精艺</v>
          </cell>
          <cell r="B840" t="str">
            <v>商户:衣木迪恩-1005 </v>
          </cell>
        </row>
        <row r="841">
          <cell r="A841" t="str">
            <v>肖精艺</v>
          </cell>
          <cell r="B841" t="str">
            <v>衣木迪恩-1005</v>
          </cell>
        </row>
        <row r="842">
          <cell r="A842" t="str">
            <v>肖精艺</v>
          </cell>
          <cell r="B842" t="str">
            <v>衣木迪恩-1005</v>
          </cell>
        </row>
        <row r="843">
          <cell r="A843" t="str">
            <v>肖巨广</v>
          </cell>
          <cell r="B843" t="str">
            <v>谷之星</v>
          </cell>
        </row>
        <row r="844">
          <cell r="A844" t="str">
            <v>肖巨广</v>
          </cell>
          <cell r="B844" t="str">
            <v>谷之星</v>
          </cell>
        </row>
        <row r="845">
          <cell r="A845" t="str">
            <v>肖巨广</v>
          </cell>
          <cell r="B845" t="str">
            <v>谷之星-1053</v>
          </cell>
        </row>
        <row r="846">
          <cell r="A846" t="str">
            <v>肖巨广</v>
          </cell>
          <cell r="B846" t="str">
            <v>谷之星电费（1053和1055各充1000元）</v>
          </cell>
        </row>
        <row r="847">
          <cell r="A847" t="str">
            <v>肖珍珍</v>
          </cell>
          <cell r="B847" t="str">
            <v>赖胖子肉蟹煲定金</v>
          </cell>
        </row>
        <row r="848">
          <cell r="A848" t="str">
            <v>谢曼丽</v>
          </cell>
          <cell r="B848" t="str">
            <v>七匹狼-2038</v>
          </cell>
        </row>
        <row r="849">
          <cell r="A849" t="str">
            <v>谢曼丽</v>
          </cell>
          <cell r="B849" t="str">
            <v>七匹狼-2038</v>
          </cell>
        </row>
        <row r="850">
          <cell r="A850" t="str">
            <v>谢曼丽</v>
          </cell>
          <cell r="B850" t="str">
            <v>七匹狼-2038</v>
          </cell>
        </row>
        <row r="851">
          <cell r="A851" t="str">
            <v>谢曼丽</v>
          </cell>
          <cell r="B851" t="str">
            <v>七匹狼特卖费用10.9-18</v>
          </cell>
        </row>
        <row r="852">
          <cell r="A852" t="str">
            <v>谢涛</v>
          </cell>
          <cell r="B852" t="str">
            <v>糖水</v>
          </cell>
        </row>
        <row r="853">
          <cell r="A853" t="str">
            <v>熊美容</v>
          </cell>
          <cell r="B853" t="str">
            <v>波比艾斯</v>
          </cell>
        </row>
        <row r="854">
          <cell r="A854" t="str">
            <v>熊美容</v>
          </cell>
          <cell r="B854" t="str">
            <v>波比艾斯-5019</v>
          </cell>
        </row>
        <row r="855">
          <cell r="A855" t="str">
            <v>熊美容</v>
          </cell>
          <cell r="B855" t="str">
            <v>波比艾斯-5019</v>
          </cell>
        </row>
        <row r="856">
          <cell r="A856" t="str">
            <v>熊美容</v>
          </cell>
          <cell r="B856" t="str">
            <v>波比艾斯-5019</v>
          </cell>
        </row>
        <row r="857">
          <cell r="A857" t="str">
            <v>熊美容</v>
          </cell>
          <cell r="B857" t="str">
            <v>波比艾斯-5019</v>
          </cell>
        </row>
        <row r="858">
          <cell r="A858" t="str">
            <v>熊美容</v>
          </cell>
          <cell r="B858" t="str">
            <v>波比艾斯-5019</v>
          </cell>
        </row>
        <row r="859">
          <cell r="A859" t="str">
            <v>许春</v>
          </cell>
          <cell r="B859" t="str">
            <v>嘎嘎客</v>
          </cell>
        </row>
        <row r="860">
          <cell r="A860" t="str">
            <v>许春</v>
          </cell>
          <cell r="B860" t="str">
            <v>友唱机</v>
          </cell>
        </row>
        <row r="861">
          <cell r="A861" t="str">
            <v>许春</v>
          </cell>
          <cell r="B861" t="str">
            <v>友唱机</v>
          </cell>
        </row>
        <row r="862">
          <cell r="A862" t="str">
            <v>许春</v>
          </cell>
          <cell r="B862" t="str">
            <v>友唱机</v>
          </cell>
        </row>
        <row r="863">
          <cell r="A863" t="str">
            <v>许翠敏</v>
          </cell>
          <cell r="B863" t="str">
            <v>4031空气美甲8至10月铺租</v>
          </cell>
        </row>
        <row r="864">
          <cell r="A864" t="str">
            <v>许翠敏</v>
          </cell>
          <cell r="B864" t="str">
            <v>美甲美睫-4031</v>
          </cell>
        </row>
        <row r="865">
          <cell r="A865" t="str">
            <v>许翠敏</v>
          </cell>
          <cell r="B865" t="str">
            <v>美甲美睫-4031</v>
          </cell>
        </row>
        <row r="866">
          <cell r="A866" t="str">
            <v>许翠敏</v>
          </cell>
          <cell r="B866" t="str">
            <v>美甲美睫-4031</v>
          </cell>
        </row>
        <row r="867">
          <cell r="A867" t="str">
            <v>许翠敏</v>
          </cell>
          <cell r="B867" t="str">
            <v>美甲美睫-4031</v>
          </cell>
        </row>
        <row r="868">
          <cell r="A868" t="str">
            <v>许翠敏</v>
          </cell>
          <cell r="B868" t="str">
            <v>美甲美睫-4031</v>
          </cell>
        </row>
        <row r="869">
          <cell r="A869" t="str">
            <v>许翠敏</v>
          </cell>
          <cell r="B869" t="str">
            <v>美甲美睫-4031</v>
          </cell>
        </row>
        <row r="870">
          <cell r="A870" t="str">
            <v>阳小华</v>
          </cell>
          <cell r="B870" t="str">
            <v>岱燊+忆扬亦可</v>
          </cell>
        </row>
        <row r="871">
          <cell r="A871" t="str">
            <v>阳小华</v>
          </cell>
          <cell r="B871" t="str">
            <v>岱燊+忆扬亦可</v>
          </cell>
        </row>
        <row r="872">
          <cell r="A872" t="str">
            <v>阳小华</v>
          </cell>
          <cell r="B872" t="str">
            <v>岱燊+忆扬亦可，2009B电费1000元，10天特卖1000元</v>
          </cell>
        </row>
        <row r="873">
          <cell r="A873" t="str">
            <v>阳小华</v>
          </cell>
          <cell r="B873" t="str">
            <v>二楼岱燊 忆扬亦可特卖场费用</v>
          </cell>
        </row>
        <row r="874">
          <cell r="A874" t="str">
            <v>阳小华</v>
          </cell>
          <cell r="B874" t="str">
            <v>忆扬亦可-2009B</v>
          </cell>
        </row>
        <row r="875">
          <cell r="A875" t="str">
            <v>阳小华</v>
          </cell>
          <cell r="B875" t="str">
            <v>忆扬亦可-2009B</v>
          </cell>
        </row>
        <row r="876">
          <cell r="A876" t="str">
            <v>阳小华</v>
          </cell>
          <cell r="B876" t="str">
            <v>忆扬亦可-2009B</v>
          </cell>
        </row>
        <row r="877">
          <cell r="A877" t="str">
            <v>阳小华</v>
          </cell>
          <cell r="B877" t="str">
            <v>忆扬亦可-2009B</v>
          </cell>
        </row>
        <row r="878">
          <cell r="A878" t="str">
            <v>阳小华</v>
          </cell>
          <cell r="B878" t="str">
            <v>忆扬亦可-2009B</v>
          </cell>
        </row>
        <row r="879">
          <cell r="A879" t="str">
            <v>阳小华</v>
          </cell>
          <cell r="B879" t="str">
            <v>忆扬亦可-2009B</v>
          </cell>
        </row>
        <row r="880">
          <cell r="A880" t="str">
            <v>阳小华</v>
          </cell>
          <cell r="B880" t="str">
            <v>忆扬亦可-2009B</v>
          </cell>
        </row>
        <row r="881">
          <cell r="A881" t="str">
            <v>阳小华</v>
          </cell>
          <cell r="B881" t="str">
            <v>忆扬亦可-2009B</v>
          </cell>
        </row>
        <row r="882">
          <cell r="A882" t="str">
            <v>阳小华</v>
          </cell>
          <cell r="B882" t="str">
            <v>忆扬亦可-2009B</v>
          </cell>
        </row>
        <row r="883">
          <cell r="A883" t="str">
            <v>阳小华</v>
          </cell>
          <cell r="B883" t="str">
            <v>忆扬亦可-2009B</v>
          </cell>
        </row>
        <row r="884">
          <cell r="A884" t="str">
            <v>阳小华</v>
          </cell>
          <cell r="B884" t="str">
            <v>忆扬亦可-2009B</v>
          </cell>
        </row>
        <row r="885">
          <cell r="A885" t="str">
            <v>阳小华</v>
          </cell>
          <cell r="B885" t="str">
            <v>忆扬亦可-2009B</v>
          </cell>
        </row>
        <row r="886">
          <cell r="A886" t="str">
            <v>阳小华</v>
          </cell>
          <cell r="B886" t="str">
            <v>忆扬亦可-2009B</v>
          </cell>
        </row>
        <row r="887">
          <cell r="A887" t="str">
            <v>阳小华</v>
          </cell>
          <cell r="B887" t="str">
            <v>忆扬亦可-2009B</v>
          </cell>
        </row>
        <row r="888">
          <cell r="A888" t="str">
            <v>阳小华</v>
          </cell>
          <cell r="B888" t="str">
            <v>忆扬亦可-2009B</v>
          </cell>
        </row>
        <row r="889">
          <cell r="A889" t="str">
            <v>阳小华</v>
          </cell>
          <cell r="B889" t="str">
            <v>忆扬亦可-2009B</v>
          </cell>
        </row>
        <row r="890">
          <cell r="A890" t="str">
            <v>阳小华</v>
          </cell>
          <cell r="B890" t="str">
            <v>忆扬亦可-2009B</v>
          </cell>
        </row>
        <row r="891">
          <cell r="A891" t="str">
            <v>阳小华</v>
          </cell>
          <cell r="B891" t="str">
            <v>忆扬亦可-2009B</v>
          </cell>
        </row>
        <row r="892">
          <cell r="A892" t="str">
            <v>阳小华</v>
          </cell>
          <cell r="B892" t="str">
            <v>忆扬亦可-2009B</v>
          </cell>
        </row>
        <row r="893">
          <cell r="A893" t="str">
            <v>阳小华</v>
          </cell>
          <cell r="B893" t="str">
            <v>忆扬亦可-2009B</v>
          </cell>
        </row>
        <row r="894">
          <cell r="A894" t="str">
            <v>阳小华</v>
          </cell>
          <cell r="B894" t="str">
            <v>忆扬亦可-2009B </v>
          </cell>
        </row>
        <row r="895">
          <cell r="A895" t="str">
            <v>阳小华</v>
          </cell>
          <cell r="B895" t="str">
            <v>忆扬亦可9.26-10.8特卖费</v>
          </cell>
        </row>
        <row r="896">
          <cell r="A896" t="str">
            <v>杨芳</v>
          </cell>
          <cell r="B896" t="str">
            <v>香酥炸鸡，鸭</v>
          </cell>
        </row>
        <row r="897">
          <cell r="A897" t="str">
            <v>杨杰</v>
          </cell>
          <cell r="B897" t="str">
            <v>南沫</v>
          </cell>
        </row>
        <row r="898">
          <cell r="A898" t="str">
            <v>杨杰</v>
          </cell>
          <cell r="B898" t="str">
            <v>南沫-JYF3-006</v>
          </cell>
        </row>
        <row r="899">
          <cell r="A899" t="str">
            <v>杨杰</v>
          </cell>
          <cell r="B899" t="str">
            <v>南沫-JYF3-006</v>
          </cell>
        </row>
        <row r="900">
          <cell r="A900" t="str">
            <v>杨杰</v>
          </cell>
          <cell r="B900" t="str">
            <v>南沫-JYF3-006</v>
          </cell>
        </row>
        <row r="901">
          <cell r="A901" t="str">
            <v>杨杰</v>
          </cell>
          <cell r="B901" t="str">
            <v>南沫-JYF3-006</v>
          </cell>
        </row>
        <row r="902">
          <cell r="A902" t="str">
            <v>杨杰</v>
          </cell>
          <cell r="B902" t="str">
            <v>南沫-JYF3-006</v>
          </cell>
        </row>
        <row r="903">
          <cell r="A903" t="str">
            <v>杨杰</v>
          </cell>
          <cell r="B903" t="str">
            <v>南沫-JYF3-006</v>
          </cell>
        </row>
        <row r="904">
          <cell r="A904" t="str">
            <v>杨杰</v>
          </cell>
          <cell r="B904" t="str">
            <v>商户:南沫-JYF3-006</v>
          </cell>
        </row>
        <row r="905">
          <cell r="A905" t="str">
            <v>杨美丽</v>
          </cell>
          <cell r="B905" t="str">
            <v>老长沙店铺电费（湘下佬）</v>
          </cell>
        </row>
        <row r="906">
          <cell r="A906" t="str">
            <v>杨美丽</v>
          </cell>
          <cell r="B906" t="str">
            <v>湘下佬</v>
          </cell>
        </row>
        <row r="907">
          <cell r="A907" t="str">
            <v>杨美丽</v>
          </cell>
          <cell r="B907" t="str">
            <v>湘下佬（老长沙）</v>
          </cell>
        </row>
        <row r="908">
          <cell r="A908" t="str">
            <v>杨美丽</v>
          </cell>
          <cell r="B908" t="str">
            <v>湘下佬（老长沙）</v>
          </cell>
        </row>
        <row r="909">
          <cell r="A909" t="str">
            <v>杨美丽</v>
          </cell>
          <cell r="B909" t="str">
            <v>湘下佬（老长沙）</v>
          </cell>
        </row>
        <row r="910">
          <cell r="A910" t="str">
            <v>杨美丽</v>
          </cell>
          <cell r="B910" t="str">
            <v>湘下佬（老长沙）</v>
          </cell>
        </row>
        <row r="911">
          <cell r="A911" t="str">
            <v>杨美丽</v>
          </cell>
          <cell r="B911" t="str">
            <v>湘下佬（老长沙店铺电费）</v>
          </cell>
        </row>
        <row r="912">
          <cell r="A912" t="str">
            <v>杨美丽</v>
          </cell>
          <cell r="B912" t="str">
            <v>湘下佬-5006</v>
          </cell>
        </row>
        <row r="913">
          <cell r="A913" t="str">
            <v>杨帅</v>
          </cell>
          <cell r="B913" t="str">
            <v>尼采文心</v>
          </cell>
        </row>
        <row r="914">
          <cell r="A914" t="str">
            <v>杨帅</v>
          </cell>
          <cell r="B914" t="str">
            <v>尼彩文心</v>
          </cell>
        </row>
        <row r="915">
          <cell r="A915" t="str">
            <v>杨帅</v>
          </cell>
          <cell r="B915" t="str">
            <v>尼彩文心-3023</v>
          </cell>
        </row>
        <row r="916">
          <cell r="A916" t="str">
            <v>杨帅</v>
          </cell>
          <cell r="B916" t="str">
            <v>尼彩文心-3023</v>
          </cell>
        </row>
        <row r="917">
          <cell r="A917" t="str">
            <v>杨帅</v>
          </cell>
          <cell r="B917" t="str">
            <v>尼彩文心-3023</v>
          </cell>
        </row>
        <row r="918">
          <cell r="A918" t="str">
            <v>杨帅</v>
          </cell>
          <cell r="B918" t="str">
            <v>尼彩文心-3023</v>
          </cell>
        </row>
        <row r="919">
          <cell r="A919" t="str">
            <v>杨帅</v>
          </cell>
          <cell r="B919" t="str">
            <v>尼彩文心-3023</v>
          </cell>
        </row>
        <row r="920">
          <cell r="A920" t="str">
            <v>杨帅</v>
          </cell>
          <cell r="B920" t="str">
            <v>尼彩文心-3023 </v>
          </cell>
        </row>
        <row r="921">
          <cell r="A921" t="str">
            <v>叶坚</v>
          </cell>
          <cell r="B921" t="str">
            <v>AMXS</v>
          </cell>
        </row>
        <row r="922">
          <cell r="A922" t="str">
            <v>叶坚</v>
          </cell>
          <cell r="B922" t="str">
            <v>AMXS</v>
          </cell>
        </row>
        <row r="923">
          <cell r="A923" t="str">
            <v>叶坚</v>
          </cell>
          <cell r="B923" t="str">
            <v>AMXS</v>
          </cell>
        </row>
        <row r="924">
          <cell r="A924" t="str">
            <v>叶坚</v>
          </cell>
          <cell r="B924" t="str">
            <v>AMXS</v>
          </cell>
        </row>
        <row r="925">
          <cell r="A925" t="str">
            <v>叶坚</v>
          </cell>
          <cell r="B925" t="str">
            <v>AMXS</v>
          </cell>
        </row>
        <row r="926">
          <cell r="A926" t="str">
            <v>叶坚</v>
          </cell>
          <cell r="B926" t="str">
            <v>AMXS</v>
          </cell>
        </row>
        <row r="927">
          <cell r="A927" t="str">
            <v>叶坚</v>
          </cell>
          <cell r="B927" t="str">
            <v>AMXS</v>
          </cell>
        </row>
        <row r="928">
          <cell r="A928" t="str">
            <v>叶坚</v>
          </cell>
          <cell r="B928" t="str">
            <v>AMXS-1019-BA</v>
          </cell>
        </row>
        <row r="929">
          <cell r="A929" t="str">
            <v>叶坚</v>
          </cell>
          <cell r="B929" t="str">
            <v>AMXS-1019-BA</v>
          </cell>
        </row>
        <row r="930">
          <cell r="A930" t="str">
            <v>叶坚</v>
          </cell>
          <cell r="B930" t="str">
            <v>AMXS-1019-BA</v>
          </cell>
        </row>
        <row r="931">
          <cell r="A931" t="str">
            <v>叶坚</v>
          </cell>
          <cell r="B931" t="str">
            <v>AMXS-1019-BA</v>
          </cell>
        </row>
        <row r="932">
          <cell r="A932" t="str">
            <v>叶坚</v>
          </cell>
          <cell r="B932" t="str">
            <v>AMXS-1019-BA</v>
          </cell>
        </row>
        <row r="933">
          <cell r="A933" t="str">
            <v>叶坚</v>
          </cell>
          <cell r="B933" t="str">
            <v>AMXS-1019-BA</v>
          </cell>
        </row>
        <row r="934">
          <cell r="A934" t="str">
            <v>叶坚</v>
          </cell>
          <cell r="B934" t="str">
            <v>AMXS-1019-BA</v>
          </cell>
        </row>
        <row r="935">
          <cell r="A935" t="str">
            <v>叶坚</v>
          </cell>
          <cell r="B935" t="str">
            <v>AMXS-1019-BA</v>
          </cell>
        </row>
        <row r="936">
          <cell r="A936" t="str">
            <v>叶丽娟</v>
          </cell>
          <cell r="B936" t="str">
            <v>商户:张万福-JYF1-007 </v>
          </cell>
        </row>
        <row r="937">
          <cell r="A937" t="str">
            <v>叶丽娟</v>
          </cell>
          <cell r="B937" t="str">
            <v>商户:周大生-1035 </v>
          </cell>
        </row>
        <row r="938">
          <cell r="A938" t="str">
            <v>叶丽娟</v>
          </cell>
          <cell r="B938" t="str">
            <v>张万福（先用后付）</v>
          </cell>
        </row>
        <row r="939">
          <cell r="A939" t="str">
            <v>叶丽娟</v>
          </cell>
          <cell r="B939" t="str">
            <v>张万福-JYF1-007</v>
          </cell>
        </row>
        <row r="940">
          <cell r="A940" t="str">
            <v>叶丽娟</v>
          </cell>
          <cell r="B940" t="str">
            <v>张万福-JYF1-007</v>
          </cell>
        </row>
        <row r="941">
          <cell r="A941" t="str">
            <v>叶丽娟</v>
          </cell>
          <cell r="B941" t="str">
            <v>张万福-JYF1-007</v>
          </cell>
        </row>
        <row r="942">
          <cell r="A942" t="str">
            <v>叶丽娟</v>
          </cell>
          <cell r="B942" t="str">
            <v>张万福-JYF1-007</v>
          </cell>
        </row>
        <row r="943">
          <cell r="A943" t="str">
            <v>叶丽娟</v>
          </cell>
          <cell r="B943" t="str">
            <v>周大生</v>
          </cell>
        </row>
        <row r="944">
          <cell r="A944" t="str">
            <v>叶丽娟</v>
          </cell>
          <cell r="B944" t="str">
            <v>周大生（中国珠宝）</v>
          </cell>
        </row>
        <row r="945">
          <cell r="A945" t="str">
            <v>叶丽娟</v>
          </cell>
          <cell r="B945" t="str">
            <v>周大生（中国珠宝）</v>
          </cell>
        </row>
        <row r="946">
          <cell r="A946" t="str">
            <v>叶丽娟</v>
          </cell>
          <cell r="B946" t="str">
            <v>周大生-1035</v>
          </cell>
        </row>
        <row r="947">
          <cell r="A947" t="str">
            <v>叶丽娟</v>
          </cell>
          <cell r="B947" t="str">
            <v>周大生-1035</v>
          </cell>
        </row>
        <row r="948">
          <cell r="A948" t="str">
            <v>叶丽娟</v>
          </cell>
          <cell r="B948" t="str">
            <v>周大生-1035</v>
          </cell>
        </row>
        <row r="949">
          <cell r="A949" t="str">
            <v>叶丽娟</v>
          </cell>
          <cell r="B949" t="str">
            <v>周大生-1035</v>
          </cell>
        </row>
        <row r="950">
          <cell r="A950" t="str">
            <v>叶丽娟</v>
          </cell>
          <cell r="B950" t="str">
            <v>周大生-1035</v>
          </cell>
        </row>
        <row r="951">
          <cell r="A951" t="str">
            <v>游惠莲</v>
          </cell>
          <cell r="B951" t="str">
            <v>UAU</v>
          </cell>
        </row>
        <row r="952">
          <cell r="A952" t="str">
            <v>游惠莲</v>
          </cell>
          <cell r="B952" t="str">
            <v>UAU-1050B</v>
          </cell>
        </row>
        <row r="953">
          <cell r="A953" t="str">
            <v>游惠莲</v>
          </cell>
          <cell r="B953" t="str">
            <v>UAU-1050B</v>
          </cell>
        </row>
        <row r="954">
          <cell r="A954" t="str">
            <v>游惠莲</v>
          </cell>
          <cell r="B954" t="str">
            <v>UAU-1050B </v>
          </cell>
        </row>
        <row r="955">
          <cell r="A955" t="str">
            <v>于长江</v>
          </cell>
          <cell r="B955" t="str">
            <v>虾健健</v>
          </cell>
        </row>
        <row r="956">
          <cell r="A956" t="str">
            <v>于长江</v>
          </cell>
          <cell r="B956" t="str">
            <v>虾健健</v>
          </cell>
        </row>
        <row r="957">
          <cell r="A957" t="str">
            <v>于长江</v>
          </cell>
          <cell r="B957" t="str">
            <v>虾健健</v>
          </cell>
        </row>
        <row r="958">
          <cell r="A958" t="str">
            <v>于长江</v>
          </cell>
          <cell r="B958" t="str">
            <v>虾健健</v>
          </cell>
        </row>
        <row r="959">
          <cell r="A959" t="str">
            <v>于长江</v>
          </cell>
          <cell r="B959" t="str">
            <v>虾健健</v>
          </cell>
        </row>
        <row r="960">
          <cell r="A960" t="str">
            <v>于长江</v>
          </cell>
          <cell r="B960" t="str">
            <v>虾健健</v>
          </cell>
        </row>
        <row r="961">
          <cell r="A961" t="str">
            <v>于长江</v>
          </cell>
          <cell r="B961" t="str">
            <v>虾健健定金</v>
          </cell>
        </row>
        <row r="962">
          <cell r="A962" t="str">
            <v>袁岫峰</v>
          </cell>
          <cell r="B962" t="str">
            <v>商户:蜘蛛王-2006 </v>
          </cell>
        </row>
        <row r="963">
          <cell r="A963" t="str">
            <v>袁岫峰</v>
          </cell>
          <cell r="B963" t="str">
            <v>商户:蜘蛛王-2006 </v>
          </cell>
        </row>
        <row r="964">
          <cell r="A964" t="str">
            <v>袁岫峰</v>
          </cell>
          <cell r="B964" t="str">
            <v>蜘蛛王</v>
          </cell>
        </row>
        <row r="965">
          <cell r="A965" t="str">
            <v>袁岫峰</v>
          </cell>
          <cell r="B965" t="str">
            <v>蜘蛛王-2006</v>
          </cell>
        </row>
        <row r="966">
          <cell r="A966" t="str">
            <v>袁岫峰</v>
          </cell>
          <cell r="B966" t="str">
            <v>蜘蛛王-2006</v>
          </cell>
        </row>
        <row r="967">
          <cell r="A967" t="str">
            <v>袁岫峰</v>
          </cell>
          <cell r="B967" t="str">
            <v>蜘蛛王-2006</v>
          </cell>
        </row>
        <row r="968">
          <cell r="A968" t="str">
            <v>袁岫峰</v>
          </cell>
          <cell r="B968" t="str">
            <v>蜘蛛王-2006</v>
          </cell>
        </row>
        <row r="969">
          <cell r="A969" t="str">
            <v>袁岫峰</v>
          </cell>
          <cell r="B969" t="str">
            <v>蜘蛛王-2006</v>
          </cell>
        </row>
        <row r="970">
          <cell r="A970" t="str">
            <v>袁岫峰</v>
          </cell>
          <cell r="B970" t="str">
            <v>蜘蛛王特卖费用11.1-11.10  </v>
          </cell>
        </row>
        <row r="971">
          <cell r="A971" t="str">
            <v>袁岫峰</v>
          </cell>
          <cell r="B971" t="str">
            <v>蜘蛛王特卖费用9.8-9.17</v>
          </cell>
        </row>
        <row r="972">
          <cell r="A972" t="str">
            <v>张成菊</v>
          </cell>
          <cell r="B972" t="str">
            <v>胖大厨</v>
          </cell>
        </row>
        <row r="973">
          <cell r="A973" t="str">
            <v>张成菊</v>
          </cell>
          <cell r="B973" t="str">
            <v>胖大厨肉蟹煲</v>
          </cell>
        </row>
        <row r="974">
          <cell r="A974" t="str">
            <v>张成菊</v>
          </cell>
          <cell r="B974" t="str">
            <v>胖大厨肉蟹煲-5017</v>
          </cell>
        </row>
        <row r="975">
          <cell r="A975" t="str">
            <v>张成菊</v>
          </cell>
          <cell r="B975" t="str">
            <v>胖大厨肉蟹煲-5017</v>
          </cell>
        </row>
        <row r="976">
          <cell r="A976" t="str">
            <v>张成菊</v>
          </cell>
          <cell r="B976" t="str">
            <v>胖大厨肉蟹煲-5017</v>
          </cell>
        </row>
        <row r="977">
          <cell r="A977" t="str">
            <v>张成菊</v>
          </cell>
          <cell r="B977" t="str">
            <v>胖大厨肉蟹煲-5017</v>
          </cell>
        </row>
        <row r="978">
          <cell r="A978" t="str">
            <v>张成菊</v>
          </cell>
          <cell r="B978" t="str">
            <v>胖大厨肉蟹煲-5017</v>
          </cell>
        </row>
        <row r="979">
          <cell r="A979" t="str">
            <v>张成菊</v>
          </cell>
          <cell r="B979" t="str">
            <v>胖大厨肉蟹煲-5017</v>
          </cell>
        </row>
        <row r="980">
          <cell r="A980" t="str">
            <v>张成菊</v>
          </cell>
          <cell r="B980" t="str">
            <v>胖大厨肉蟹煲-5017</v>
          </cell>
        </row>
        <row r="981">
          <cell r="A981" t="str">
            <v>张成菊</v>
          </cell>
          <cell r="B981" t="str">
            <v>胖大厨肉蟹煲-5017</v>
          </cell>
        </row>
        <row r="982">
          <cell r="A982" t="str">
            <v>张成菊</v>
          </cell>
          <cell r="B982" t="str">
            <v>胖大厨肉蟹煲-5017</v>
          </cell>
        </row>
        <row r="983">
          <cell r="A983" t="str">
            <v>张成菊</v>
          </cell>
          <cell r="B983" t="str">
            <v>胖大厨肉蟹煲-5017</v>
          </cell>
        </row>
        <row r="984">
          <cell r="A984" t="str">
            <v>张成菊</v>
          </cell>
          <cell r="B984" t="str">
            <v>胖大厨肉蟹煲-5017</v>
          </cell>
        </row>
        <row r="985">
          <cell r="A985" t="str">
            <v>张成菊</v>
          </cell>
          <cell r="B985" t="str">
            <v>胖大厨肉蟹煲-5017</v>
          </cell>
        </row>
        <row r="986">
          <cell r="A986" t="str">
            <v>张成菊</v>
          </cell>
          <cell r="B986" t="str">
            <v>胖大厨肉蟹煲-5017</v>
          </cell>
        </row>
        <row r="987">
          <cell r="A987" t="str">
            <v>张伟林</v>
          </cell>
          <cell r="B987" t="str">
            <v>名创优品</v>
          </cell>
        </row>
        <row r="988">
          <cell r="A988" t="str">
            <v>张伟林</v>
          </cell>
          <cell r="B988" t="str">
            <v>名创优品-1059</v>
          </cell>
        </row>
        <row r="989">
          <cell r="A989" t="str">
            <v>张伟林</v>
          </cell>
          <cell r="B989" t="str">
            <v>名创优品-1059</v>
          </cell>
        </row>
        <row r="990">
          <cell r="A990" t="str">
            <v>张伟林</v>
          </cell>
          <cell r="B990" t="str">
            <v>名创优品-1059</v>
          </cell>
        </row>
        <row r="991">
          <cell r="A991" t="str">
            <v>张伟林</v>
          </cell>
          <cell r="B991" t="str">
            <v>名创优品-1059</v>
          </cell>
        </row>
        <row r="992">
          <cell r="A992" t="str">
            <v>张伟林</v>
          </cell>
          <cell r="B992" t="str">
            <v>名创优品仓库电费</v>
          </cell>
        </row>
        <row r="993">
          <cell r="A993" t="str">
            <v>张先涛</v>
          </cell>
          <cell r="B993" t="str">
            <v>JUST.FOTO</v>
          </cell>
        </row>
        <row r="994">
          <cell r="A994" t="str">
            <v>张先涛</v>
          </cell>
          <cell r="B994" t="str">
            <v>JUST.FOTO</v>
          </cell>
        </row>
        <row r="995">
          <cell r="A995" t="str">
            <v>张先涛</v>
          </cell>
          <cell r="B995" t="str">
            <v>JUST.FOTO</v>
          </cell>
        </row>
        <row r="996">
          <cell r="A996" t="str">
            <v>长沙奥龙鞋业销售有限公司</v>
          </cell>
          <cell r="B996" t="str">
            <v>2029奥康，特卖费用8.22-8.31</v>
          </cell>
        </row>
        <row r="997">
          <cell r="A997" t="str">
            <v>长沙奥龙鞋业销售有限公司</v>
          </cell>
          <cell r="B997" t="str">
            <v>9.22-10.8奥康特卖费用</v>
          </cell>
        </row>
        <row r="998">
          <cell r="A998" t="str">
            <v>长沙奥龙鞋业销售有限公司</v>
          </cell>
          <cell r="B998" t="str">
            <v>AOKANG奥康</v>
          </cell>
        </row>
        <row r="999">
          <cell r="A999" t="str">
            <v>长沙奥龙鞋业销售有限公司</v>
          </cell>
          <cell r="B999" t="str">
            <v>奥康</v>
          </cell>
        </row>
        <row r="1000">
          <cell r="A1000" t="str">
            <v>长沙奥龙鞋业销售有限公司</v>
          </cell>
          <cell r="B1000" t="str">
            <v>奥康-2029</v>
          </cell>
        </row>
        <row r="1001">
          <cell r="A1001" t="str">
            <v>长沙奥龙鞋业销售有限公司</v>
          </cell>
          <cell r="B1001" t="str">
            <v>奥康-2029</v>
          </cell>
        </row>
        <row r="1002">
          <cell r="A1002" t="str">
            <v>长沙奥龙鞋业销售有限公司</v>
          </cell>
          <cell r="B1002" t="str">
            <v>奥康-2029</v>
          </cell>
        </row>
        <row r="1003">
          <cell r="A1003" t="str">
            <v>长沙奥龙鞋业销售有限公司</v>
          </cell>
          <cell r="B1003" t="str">
            <v>奥康-2029</v>
          </cell>
        </row>
        <row r="1004">
          <cell r="A1004" t="str">
            <v>长沙福洲体育用品有限公司</v>
          </cell>
          <cell r="B1004" t="str">
            <v>艾力斯特，JYF2-003,JYF3-005,QTF4-001</v>
          </cell>
        </row>
        <row r="1005">
          <cell r="A1005" t="str">
            <v>长沙君优美电子有限公司</v>
          </cell>
          <cell r="B1005" t="str">
            <v>OPPO</v>
          </cell>
        </row>
        <row r="1006">
          <cell r="A1006" t="str">
            <v>长沙君优美电子有限公司</v>
          </cell>
          <cell r="B1006" t="str">
            <v>OPPO</v>
          </cell>
        </row>
        <row r="1007">
          <cell r="A1007" t="str">
            <v>长沙君优美电子有限公司</v>
          </cell>
          <cell r="B1007" t="str">
            <v>OPPO</v>
          </cell>
        </row>
        <row r="1008">
          <cell r="A1008" t="str">
            <v>长沙君优美电子有限公司</v>
          </cell>
          <cell r="B1008" t="str">
            <v>OPPO</v>
          </cell>
        </row>
        <row r="1009">
          <cell r="A1009" t="str">
            <v>长沙君优美电子有限公司</v>
          </cell>
          <cell r="B1009" t="str">
            <v>OPPO</v>
          </cell>
        </row>
        <row r="1010">
          <cell r="A1010" t="str">
            <v>长沙君优美电子有限公司</v>
          </cell>
          <cell r="B1010" t="str">
            <v>OPPO</v>
          </cell>
        </row>
        <row r="1011">
          <cell r="A1011" t="str">
            <v>长沙君优美电子有限公司</v>
          </cell>
          <cell r="B1011" t="str">
            <v>OPPO</v>
          </cell>
        </row>
        <row r="1012">
          <cell r="A1012" t="str">
            <v>长沙君优美电子有限公司</v>
          </cell>
          <cell r="B1012" t="str">
            <v>OPPO</v>
          </cell>
        </row>
        <row r="1013">
          <cell r="A1013" t="str">
            <v>长沙君优美电子有限公司</v>
          </cell>
          <cell r="B1013" t="str">
            <v>OPPO</v>
          </cell>
        </row>
        <row r="1014">
          <cell r="A1014" t="str">
            <v>长沙肯德基有限公司</v>
          </cell>
          <cell r="B1014" t="str">
            <v>肯德基</v>
          </cell>
        </row>
        <row r="1015">
          <cell r="A1015" t="str">
            <v>长沙肯德基有限公司</v>
          </cell>
          <cell r="B1015" t="str">
            <v>肯德基</v>
          </cell>
        </row>
        <row r="1016">
          <cell r="A1016" t="str">
            <v>长沙肯德基有限公司</v>
          </cell>
          <cell r="B1016" t="str">
            <v>肯德基</v>
          </cell>
        </row>
        <row r="1017">
          <cell r="A1017" t="str">
            <v>长沙肯德基有限公司</v>
          </cell>
          <cell r="B1017" t="str">
            <v>肯德基</v>
          </cell>
        </row>
        <row r="1018">
          <cell r="A1018" t="str">
            <v>长沙肯德基有限公司</v>
          </cell>
          <cell r="B1018" t="str">
            <v>肯德基</v>
          </cell>
        </row>
        <row r="1019">
          <cell r="A1019" t="str">
            <v>长沙肯德基有限公司</v>
          </cell>
          <cell r="B1019" t="str">
            <v>肯德基</v>
          </cell>
        </row>
        <row r="1020">
          <cell r="A1020" t="str">
            <v>长沙肯德基有限公司</v>
          </cell>
          <cell r="B1020" t="str">
            <v>肯德基</v>
          </cell>
        </row>
        <row r="1021">
          <cell r="A1021" t="str">
            <v>长沙肯德基有限公司</v>
          </cell>
          <cell r="B1021" t="str">
            <v>肯德基</v>
          </cell>
        </row>
        <row r="1022">
          <cell r="A1022" t="str">
            <v>长沙肯德基有限公司</v>
          </cell>
          <cell r="B1022" t="str">
            <v>肯德基</v>
          </cell>
        </row>
        <row r="1023">
          <cell r="A1023" t="str">
            <v>长沙肯德基有限公司</v>
          </cell>
          <cell r="B1023" t="str">
            <v>肯德基</v>
          </cell>
        </row>
        <row r="1024">
          <cell r="A1024" t="str">
            <v>长沙七匹狼服装销售有
限公司</v>
          </cell>
          <cell r="B1024" t="str">
            <v>七匹狼</v>
          </cell>
        </row>
        <row r="1025">
          <cell r="A1025" t="str">
            <v>长沙七匹狼服装销售有
限公司</v>
          </cell>
          <cell r="B1025" t="str">
            <v>七匹狼-2038</v>
          </cell>
        </row>
        <row r="1026">
          <cell r="A1026" t="str">
            <v>长沙七匹狼服装销售有限公司</v>
          </cell>
          <cell r="B1026" t="str">
            <v>七匹狼-2038</v>
          </cell>
        </row>
        <row r="1027">
          <cell r="A1027" t="str">
            <v>长沙七匹狼服装销售有限公司</v>
          </cell>
          <cell r="B1027" t="str">
            <v>七匹狼特卖费用8.23-9.1</v>
          </cell>
        </row>
        <row r="1028">
          <cell r="A1028" t="str">
            <v>长沙屈臣氏个人用品商店有限公司</v>
          </cell>
          <cell r="B1028" t="str">
            <v>Watsons屈臣氏</v>
          </cell>
        </row>
        <row r="1029">
          <cell r="A1029" t="str">
            <v>长沙屈臣氏个人用品商店有限公司</v>
          </cell>
          <cell r="B1029" t="str">
            <v>Watsons屈臣氏</v>
          </cell>
        </row>
        <row r="1030">
          <cell r="A1030" t="str">
            <v>长沙屈臣氏个人用品商店有限公司</v>
          </cell>
          <cell r="B1030" t="str">
            <v>Watsons屈臣氏</v>
          </cell>
        </row>
        <row r="1031">
          <cell r="A1031" t="str">
            <v>长沙屈臣氏个人用品商店有限公司</v>
          </cell>
          <cell r="B1031" t="str">
            <v>Watsons屈臣氏</v>
          </cell>
        </row>
        <row r="1032">
          <cell r="A1032" t="str">
            <v>长沙屈臣氏个人用品商店有限公司</v>
          </cell>
          <cell r="B1032" t="str">
            <v>Watsons屈臣氏</v>
          </cell>
        </row>
        <row r="1033">
          <cell r="A1033" t="str">
            <v>长沙屈臣氏个人用品商店有限公司</v>
          </cell>
          <cell r="B1033" t="str">
            <v>屈臣氏</v>
          </cell>
        </row>
        <row r="1034">
          <cell r="A1034" t="str">
            <v>长沙屈臣氏个人用品商店有限公司</v>
          </cell>
          <cell r="B1034" t="str">
            <v>屈臣氏管理费/租金（抽成租金）</v>
          </cell>
        </row>
        <row r="1035">
          <cell r="A1035" t="str">
            <v>长沙市乐点通讯设备贸易有限公司</v>
          </cell>
          <cell r="B1035" t="str">
            <v>爱回收</v>
          </cell>
        </row>
        <row r="1036">
          <cell r="A1036" t="str">
            <v>长沙市乐点通讯设备贸易有限公司</v>
          </cell>
          <cell r="B1036" t="str">
            <v>爱回收</v>
          </cell>
        </row>
        <row r="1037">
          <cell r="A1037" t="str">
            <v>长沙市乐点通讯设备贸易有限公司</v>
          </cell>
          <cell r="B1037" t="str">
            <v>爱回收</v>
          </cell>
        </row>
        <row r="1038">
          <cell r="A1038" t="str">
            <v>长沙众乐乐体育用品有限公司</v>
          </cell>
          <cell r="B1038" t="str">
            <v>摩享时光按摩椅</v>
          </cell>
        </row>
        <row r="1039">
          <cell r="A1039" t="str">
            <v>长沙紫荆花商贸有限公司</v>
          </cell>
          <cell r="B1039" t="str">
            <v>自然堂</v>
          </cell>
        </row>
        <row r="1040">
          <cell r="A1040" t="str">
            <v>长沙紫荆花商贸有限公司</v>
          </cell>
          <cell r="B1040" t="str">
            <v>自然堂</v>
          </cell>
        </row>
        <row r="1041">
          <cell r="A1041" t="str">
            <v>长沙紫荆花商贸有限公司</v>
          </cell>
          <cell r="B1041" t="str">
            <v>自然堂</v>
          </cell>
        </row>
        <row r="1042">
          <cell r="A1042" t="str">
            <v>长沙紫荆花商贸有限公司</v>
          </cell>
          <cell r="B1042" t="str">
            <v>自然堂</v>
          </cell>
        </row>
        <row r="1043">
          <cell r="A1043" t="str">
            <v>长沙紫荆花商贸有限公司</v>
          </cell>
          <cell r="B1043" t="str">
            <v>自然堂临时柜台租金</v>
          </cell>
        </row>
        <row r="1044">
          <cell r="A1044" t="str">
            <v>赵水和</v>
          </cell>
          <cell r="B1044" t="str">
            <v>费斯</v>
          </cell>
        </row>
        <row r="1045">
          <cell r="A1045" t="str">
            <v>赵水和</v>
          </cell>
          <cell r="B1045" t="str">
            <v>费斯</v>
          </cell>
        </row>
        <row r="1046">
          <cell r="A1046" t="str">
            <v>赵水和</v>
          </cell>
          <cell r="B1046" t="str">
            <v>费斯</v>
          </cell>
        </row>
        <row r="1047">
          <cell r="A1047" t="str">
            <v>赵水和</v>
          </cell>
          <cell r="B1047" t="str">
            <v>费斯</v>
          </cell>
        </row>
        <row r="1048">
          <cell r="A1048" t="str">
            <v>赵水和</v>
          </cell>
          <cell r="B1048" t="str">
            <v>费斯轮滑</v>
          </cell>
        </row>
        <row r="1049">
          <cell r="A1049" t="str">
            <v>赵水和</v>
          </cell>
          <cell r="B1049" t="str">
            <v>费斯轮滑</v>
          </cell>
        </row>
        <row r="1050">
          <cell r="A1050" t="str">
            <v>赵水和</v>
          </cell>
          <cell r="B1050" t="str">
            <v>费斯轮滑</v>
          </cell>
        </row>
        <row r="1051">
          <cell r="A1051" t="str">
            <v>郑雪娟</v>
          </cell>
          <cell r="B1051" t="str">
            <v>杰米熊</v>
          </cell>
        </row>
        <row r="1052">
          <cell r="A1052" t="str">
            <v>郑雪娟</v>
          </cell>
          <cell r="B1052" t="str">
            <v>杰米熊-3028</v>
          </cell>
        </row>
        <row r="1053">
          <cell r="A1053" t="str">
            <v>郑雪娟</v>
          </cell>
          <cell r="B1053" t="str">
            <v>杰米熊-3028</v>
          </cell>
        </row>
        <row r="1054">
          <cell r="A1054" t="str">
            <v>郑雪娟</v>
          </cell>
          <cell r="B1054" t="str">
            <v>杰米熊-3028</v>
          </cell>
        </row>
        <row r="1055">
          <cell r="A1055" t="str">
            <v>中国联合网络通信有限公司湖南省分公司</v>
          </cell>
          <cell r="B1055" t="str">
            <v>配电房抄表后付电费</v>
          </cell>
        </row>
        <row r="1056">
          <cell r="A1056" t="str">
            <v>中通快递驿站</v>
          </cell>
          <cell r="B1056" t="str">
            <v>兔喜快递超市</v>
          </cell>
        </row>
        <row r="1057">
          <cell r="A1057" t="str">
            <v>中通快递驿站</v>
          </cell>
          <cell r="B1057" t="str">
            <v>兔喜快递超市</v>
          </cell>
        </row>
        <row r="1058">
          <cell r="A1058" t="str">
            <v>周更新（衡阳市新顺电器有限公司）</v>
          </cell>
          <cell r="B1058" t="str">
            <v>国美电器-2013</v>
          </cell>
        </row>
        <row r="1059">
          <cell r="A1059" t="str">
            <v>周更新（衡阳市新顺电器有限公司）</v>
          </cell>
          <cell r="B1059" t="str">
            <v>国美电器-2013</v>
          </cell>
        </row>
        <row r="1060">
          <cell r="A1060" t="str">
            <v>周更新（衡阳市新顺电器有限公司）</v>
          </cell>
          <cell r="B1060" t="str">
            <v>国美电器-2013</v>
          </cell>
        </row>
        <row r="1061">
          <cell r="A1061" t="str">
            <v>周更新（衡阳市新顺电器有限公司）</v>
          </cell>
          <cell r="B1061" t="str">
            <v>国美电器-2013</v>
          </cell>
        </row>
        <row r="1062">
          <cell r="A1062" t="str">
            <v>周更新（衡阳市新顺电器有限公司）</v>
          </cell>
          <cell r="B1062" t="str">
            <v>国美电器-2013</v>
          </cell>
        </row>
        <row r="1063">
          <cell r="A1063" t="str">
            <v>周更新（衡阳市新顺电器有限公司）</v>
          </cell>
          <cell r="B1063" t="str">
            <v>国美电器-2013 </v>
          </cell>
        </row>
        <row r="1064">
          <cell r="A1064" t="str">
            <v>周建华</v>
          </cell>
          <cell r="B1064" t="str">
            <v>蛙赛牛蛙</v>
          </cell>
        </row>
        <row r="1065">
          <cell r="A1065" t="str">
            <v>周建华</v>
          </cell>
          <cell r="B1065" t="str">
            <v>蛙赛牛蛙-5009</v>
          </cell>
        </row>
        <row r="1066">
          <cell r="A1066" t="str">
            <v>周建华</v>
          </cell>
          <cell r="B1066" t="str">
            <v>蛙赛牛蛙-5009</v>
          </cell>
        </row>
        <row r="1067">
          <cell r="A1067" t="str">
            <v>周建华</v>
          </cell>
          <cell r="B1067" t="str">
            <v>蛙赛牛蛙-5009</v>
          </cell>
        </row>
        <row r="1068">
          <cell r="A1068" t="str">
            <v>周建华</v>
          </cell>
          <cell r="B1068" t="str">
            <v>蛙赛牛蛙-5009</v>
          </cell>
        </row>
        <row r="1069">
          <cell r="A1069" t="str">
            <v>周建华</v>
          </cell>
          <cell r="B1069" t="str">
            <v>蛙赛牛蛙-5009</v>
          </cell>
        </row>
        <row r="1070">
          <cell r="A1070" t="str">
            <v>周建华</v>
          </cell>
          <cell r="B1070" t="str">
            <v>蛙赛牛蛙-5009</v>
          </cell>
        </row>
        <row r="1071">
          <cell r="A1071" t="str">
            <v>周建华</v>
          </cell>
          <cell r="B1071" t="str">
            <v>蛙赛牛蛙-5009</v>
          </cell>
        </row>
        <row r="1072">
          <cell r="A1072" t="str">
            <v>周建华</v>
          </cell>
          <cell r="B1072" t="str">
            <v>蛙赛牛蛙-5009</v>
          </cell>
        </row>
        <row r="1073">
          <cell r="A1073" t="str">
            <v>周建华</v>
          </cell>
          <cell r="B1073" t="str">
            <v>蛙赛牛蛙-5009</v>
          </cell>
        </row>
        <row r="1074">
          <cell r="A1074" t="str">
            <v>周建华</v>
          </cell>
          <cell r="B1074" t="str">
            <v>蛙赛牛蛙-5009</v>
          </cell>
        </row>
        <row r="1075">
          <cell r="A1075" t="str">
            <v>周建华</v>
          </cell>
          <cell r="B1075" t="str">
            <v>蛙赛牛蛙-5009</v>
          </cell>
        </row>
        <row r="1076">
          <cell r="A1076" t="str">
            <v>周建华</v>
          </cell>
          <cell r="B1076" t="str">
            <v>蛙赛牛蛙-5009</v>
          </cell>
        </row>
        <row r="1077">
          <cell r="A1077" t="str">
            <v>周建华</v>
          </cell>
          <cell r="B1077" t="str">
            <v>蛙赛牛蛙-5009</v>
          </cell>
        </row>
        <row r="1078">
          <cell r="A1078" t="str">
            <v>周建华</v>
          </cell>
          <cell r="B1078" t="str">
            <v>蛙赛牛蛙-5009</v>
          </cell>
        </row>
        <row r="1079">
          <cell r="A1079" t="str">
            <v>周建华</v>
          </cell>
          <cell r="B1079" t="str">
            <v>蛙赛牛蛙-5009</v>
          </cell>
        </row>
        <row r="1080">
          <cell r="A1080" t="str">
            <v>周建华</v>
          </cell>
          <cell r="B1080" t="str">
            <v>蛙赛牛蛙-5009</v>
          </cell>
        </row>
        <row r="1081">
          <cell r="A1081" t="str">
            <v>周建华</v>
          </cell>
          <cell r="B1081" t="str">
            <v>蛙赛牛蛙-5009</v>
          </cell>
        </row>
        <row r="1082">
          <cell r="A1082" t="str">
            <v>周建华</v>
          </cell>
          <cell r="B1082" t="str">
            <v>蛙赛牛蛙-5009</v>
          </cell>
        </row>
        <row r="1083">
          <cell r="A1083" t="str">
            <v>周建华</v>
          </cell>
          <cell r="B1083" t="str">
            <v>蛙赛牛蛙-5009</v>
          </cell>
        </row>
        <row r="1084">
          <cell r="A1084" t="str">
            <v>周建华</v>
          </cell>
          <cell r="B1084" t="str">
            <v>蛙赛牛蛙-5009</v>
          </cell>
        </row>
        <row r="1085">
          <cell r="A1085" t="str">
            <v>周建华</v>
          </cell>
          <cell r="B1085" t="str">
            <v>蛙赛牛蛙-5009</v>
          </cell>
        </row>
        <row r="1086">
          <cell r="A1086" t="str">
            <v>周建华</v>
          </cell>
          <cell r="B1086" t="str">
            <v>蛙赛牛蛙-5009</v>
          </cell>
        </row>
        <row r="1087">
          <cell r="A1087" t="str">
            <v>周建华</v>
          </cell>
          <cell r="B1087" t="str">
            <v>蛙赛牛蛙-5009</v>
          </cell>
        </row>
        <row r="1088">
          <cell r="A1088" t="str">
            <v>周建华</v>
          </cell>
          <cell r="B1088" t="str">
            <v>蛙赛牛蛙-5009</v>
          </cell>
        </row>
        <row r="1089">
          <cell r="A1089" t="str">
            <v>周建华</v>
          </cell>
          <cell r="B1089" t="str">
            <v>蛙赛牛蛙-5009</v>
          </cell>
        </row>
        <row r="1090">
          <cell r="A1090" t="str">
            <v>周建华</v>
          </cell>
          <cell r="B1090" t="str">
            <v>蛙赛牛蛙-5009</v>
          </cell>
        </row>
        <row r="1091">
          <cell r="A1091" t="str">
            <v>周建华</v>
          </cell>
          <cell r="B1091" t="str">
            <v>蛙赛牛蛙-5009 </v>
          </cell>
        </row>
        <row r="1092">
          <cell r="A1092" t="str">
            <v>周建华</v>
          </cell>
          <cell r="B1092" t="str">
            <v>蛙赛牛蛙-5009A</v>
          </cell>
        </row>
        <row r="1093">
          <cell r="A1093" t="str">
            <v>周建华</v>
          </cell>
          <cell r="B1093" t="str">
            <v>蛙赛牛蛙-5009A</v>
          </cell>
        </row>
        <row r="1094">
          <cell r="A1094" t="str">
            <v>周建华</v>
          </cell>
          <cell r="B1094" t="str">
            <v>蛙赛牛蛙-5009A</v>
          </cell>
        </row>
        <row r="1095">
          <cell r="A1095" t="str">
            <v>周建华</v>
          </cell>
          <cell r="B1095" t="str">
            <v>蛙赛牛蛙-5009A</v>
          </cell>
        </row>
        <row r="1096">
          <cell r="A1096" t="str">
            <v>周建华</v>
          </cell>
          <cell r="B1096" t="str">
            <v>蛙赛牛蛙-5009A</v>
          </cell>
        </row>
        <row r="1097">
          <cell r="A1097" t="str">
            <v>周健虎</v>
          </cell>
          <cell r="B1097" t="str">
            <v>5020牧司烤肉预交电费</v>
          </cell>
        </row>
        <row r="1098">
          <cell r="A1098" t="str">
            <v>周健虎</v>
          </cell>
          <cell r="B1098" t="str">
            <v>5020牧司烤肉预交电费</v>
          </cell>
        </row>
        <row r="1099">
          <cell r="A1099" t="str">
            <v>周健虎</v>
          </cell>
          <cell r="B1099" t="str">
            <v>牧司烤肉</v>
          </cell>
        </row>
        <row r="1100">
          <cell r="A1100" t="str">
            <v>周健虎</v>
          </cell>
          <cell r="B1100" t="str">
            <v>牧司烤肉</v>
          </cell>
        </row>
        <row r="1101">
          <cell r="A1101" t="str">
            <v>周健虎</v>
          </cell>
          <cell r="B1101" t="str">
            <v>牧司烤肉</v>
          </cell>
        </row>
        <row r="1102">
          <cell r="A1102" t="str">
            <v>周健虎</v>
          </cell>
          <cell r="B1102" t="str">
            <v>牧司烤肉</v>
          </cell>
        </row>
        <row r="1103">
          <cell r="A1103" t="str">
            <v>周军</v>
          </cell>
          <cell r="B1103" t="str">
            <v>KL6月租金</v>
          </cell>
        </row>
        <row r="1104">
          <cell r="A1104" t="str">
            <v>周军</v>
          </cell>
          <cell r="B1104" t="str">
            <v>NIKE</v>
          </cell>
        </row>
        <row r="1105">
          <cell r="A1105" t="str">
            <v>周军</v>
          </cell>
          <cell r="B1105" t="str">
            <v>NIKE</v>
          </cell>
        </row>
        <row r="1106">
          <cell r="A1106" t="str">
            <v>周军</v>
          </cell>
          <cell r="B1106" t="str">
            <v>NIKE</v>
          </cell>
        </row>
        <row r="1107">
          <cell r="A1107" t="str">
            <v>周军</v>
          </cell>
          <cell r="B1107" t="str">
            <v>NIKE KICKS LOUNG</v>
          </cell>
        </row>
        <row r="1108">
          <cell r="A1108" t="str">
            <v>周军</v>
          </cell>
          <cell r="B1108" t="str">
            <v>NIKE KICKS LOUNG</v>
          </cell>
        </row>
        <row r="1109">
          <cell r="A1109" t="str">
            <v>周军</v>
          </cell>
          <cell r="B1109" t="str">
            <v>NIKE KICKS LOUNG</v>
          </cell>
        </row>
        <row r="1110">
          <cell r="A1110" t="str">
            <v>周军</v>
          </cell>
          <cell r="B1110" t="str">
            <v>NIKE-1002</v>
          </cell>
        </row>
        <row r="1111">
          <cell r="A1111" t="str">
            <v>周军</v>
          </cell>
          <cell r="B1111" t="str">
            <v>NIKE-1002</v>
          </cell>
        </row>
        <row r="1112">
          <cell r="A1112" t="str">
            <v>周军</v>
          </cell>
          <cell r="B1112" t="str">
            <v>NIKE-1002</v>
          </cell>
        </row>
        <row r="1113">
          <cell r="A1113" t="str">
            <v>周军</v>
          </cell>
          <cell r="B1113" t="str">
            <v>NIKE-1002</v>
          </cell>
        </row>
        <row r="1114">
          <cell r="A1114" t="str">
            <v>周军</v>
          </cell>
          <cell r="B1114" t="str">
            <v>NIKE-KL-1010</v>
          </cell>
        </row>
        <row r="1115">
          <cell r="A1115" t="str">
            <v>周军</v>
          </cell>
          <cell r="B1115" t="str">
            <v>NIKE-KL-1010</v>
          </cell>
        </row>
        <row r="1116">
          <cell r="A1116" t="str">
            <v>周军</v>
          </cell>
          <cell r="B1116" t="str">
            <v>NIKE-KL-1010</v>
          </cell>
        </row>
        <row r="1117">
          <cell r="A1117" t="str">
            <v>周军</v>
          </cell>
          <cell r="B1117" t="str">
            <v>NIKE特卖场地费10.11-20</v>
          </cell>
        </row>
        <row r="1118">
          <cell r="A1118" t="str">
            <v>周军伟</v>
          </cell>
          <cell r="B1118" t="str">
            <v>优学派-3032</v>
          </cell>
        </row>
        <row r="1119">
          <cell r="A1119" t="str">
            <v>周军伟</v>
          </cell>
          <cell r="B1119" t="str">
            <v>优学派-3032</v>
          </cell>
        </row>
        <row r="1120">
          <cell r="A1120" t="str">
            <v>周军伟</v>
          </cell>
          <cell r="B1120" t="str">
            <v>优学派-3032</v>
          </cell>
        </row>
        <row r="1121">
          <cell r="A1121" t="str">
            <v>周军伟</v>
          </cell>
          <cell r="B1121" t="str">
            <v>优学派-3032</v>
          </cell>
        </row>
        <row r="1122">
          <cell r="A1122" t="str">
            <v>周军伟</v>
          </cell>
          <cell r="B1122" t="str">
            <v>优学派-3032</v>
          </cell>
        </row>
        <row r="1123">
          <cell r="A1123" t="str">
            <v>周军伟</v>
          </cell>
          <cell r="B1123" t="str">
            <v>优学派-3032</v>
          </cell>
        </row>
        <row r="1124">
          <cell r="A1124" t="str">
            <v>周军伟</v>
          </cell>
          <cell r="B1124" t="str">
            <v>优学派-3032</v>
          </cell>
        </row>
        <row r="1125">
          <cell r="A1125" t="str">
            <v>周军伟</v>
          </cell>
          <cell r="B1125" t="str">
            <v>优学派-3032</v>
          </cell>
        </row>
        <row r="1126">
          <cell r="A1126" t="str">
            <v>周军伟</v>
          </cell>
          <cell r="B1126" t="str">
            <v>优学派-3032</v>
          </cell>
        </row>
        <row r="1127">
          <cell r="A1127" t="str">
            <v>周军伟</v>
          </cell>
          <cell r="B1127" t="str">
            <v>优学派-3032</v>
          </cell>
        </row>
        <row r="1128">
          <cell r="A1128" t="str">
            <v>周军伟</v>
          </cell>
          <cell r="B1128" t="str">
            <v>优学派-3032</v>
          </cell>
        </row>
        <row r="1129">
          <cell r="A1129" t="str">
            <v>周军伟</v>
          </cell>
          <cell r="B1129" t="str">
            <v>优学派-3032</v>
          </cell>
        </row>
        <row r="1130">
          <cell r="A1130" t="str">
            <v>周军伟</v>
          </cell>
          <cell r="B1130" t="str">
            <v>优学派-3032</v>
          </cell>
        </row>
        <row r="1131">
          <cell r="A1131" t="str">
            <v>周军伟</v>
          </cell>
          <cell r="B1131" t="str">
            <v>优学派-3032</v>
          </cell>
        </row>
        <row r="1132">
          <cell r="A1132" t="str">
            <v>周军伟</v>
          </cell>
          <cell r="B1132" t="str">
            <v>优学派-3032</v>
          </cell>
        </row>
        <row r="1133">
          <cell r="A1133" t="str">
            <v>周军伟</v>
          </cell>
          <cell r="B1133" t="str">
            <v>优学派-3032</v>
          </cell>
        </row>
        <row r="1134">
          <cell r="A1134" t="str">
            <v>周军伟</v>
          </cell>
          <cell r="B1134" t="str">
            <v>优学派-3032</v>
          </cell>
        </row>
        <row r="1135">
          <cell r="A1135" t="str">
            <v>周军伟</v>
          </cell>
          <cell r="B1135" t="str">
            <v>优学派-3032</v>
          </cell>
        </row>
        <row r="1136">
          <cell r="A1136" t="str">
            <v>周军伟</v>
          </cell>
          <cell r="B1136" t="str">
            <v>优学派-3032</v>
          </cell>
        </row>
        <row r="1137">
          <cell r="A1137" t="str">
            <v>周军伟</v>
          </cell>
          <cell r="B1137" t="str">
            <v>优学派-3032</v>
          </cell>
        </row>
        <row r="1138">
          <cell r="A1138" t="str">
            <v>周军伟</v>
          </cell>
          <cell r="B1138" t="str">
            <v>优学派-3032</v>
          </cell>
        </row>
        <row r="1139">
          <cell r="A1139" t="str">
            <v>周军伟</v>
          </cell>
          <cell r="B1139" t="str">
            <v>优学派-3032</v>
          </cell>
        </row>
        <row r="1140">
          <cell r="A1140" t="str">
            <v>周军伟</v>
          </cell>
          <cell r="B1140" t="str">
            <v>优学派-3032</v>
          </cell>
        </row>
        <row r="1141">
          <cell r="A1141" t="str">
            <v>周克林</v>
          </cell>
          <cell r="B1141" t="str">
            <v>幻影星空</v>
          </cell>
        </row>
        <row r="1142">
          <cell r="A1142" t="str">
            <v>周克林</v>
          </cell>
          <cell r="B1142" t="str">
            <v>幻影星空2025年7月份电费</v>
          </cell>
        </row>
        <row r="1143">
          <cell r="A1143" t="str">
            <v>周克林</v>
          </cell>
          <cell r="B1143" t="str">
            <v>幻影星空2025年8月份电费</v>
          </cell>
        </row>
        <row r="1144">
          <cell r="A1144" t="str">
            <v>周乐群</v>
          </cell>
          <cell r="B1144" t="str">
            <v>衡阳市蒸湘区向荣拳击健身馆</v>
          </cell>
        </row>
        <row r="1145">
          <cell r="A1145" t="str">
            <v>周乐群</v>
          </cell>
          <cell r="B1145" t="str">
            <v>向荣拳击-4025</v>
          </cell>
        </row>
        <row r="1146">
          <cell r="A1146" t="str">
            <v>周睿盛</v>
          </cell>
          <cell r="B1146" t="str">
            <v>南山大熊</v>
          </cell>
        </row>
        <row r="1147">
          <cell r="A1147" t="str">
            <v>周睿盛</v>
          </cell>
          <cell r="B1147" t="str">
            <v>南山大熊</v>
          </cell>
        </row>
        <row r="1148">
          <cell r="A1148" t="str">
            <v>周睿盛</v>
          </cell>
          <cell r="B1148" t="str">
            <v>南山大熊</v>
          </cell>
        </row>
        <row r="1149">
          <cell r="A1149" t="str">
            <v>周睿盛</v>
          </cell>
          <cell r="B1149" t="str">
            <v>南山大熊1年推广费</v>
          </cell>
        </row>
        <row r="1150">
          <cell r="A1150" t="str">
            <v>周睿盛</v>
          </cell>
          <cell r="B1150" t="str">
            <v>南山大熊-5012</v>
          </cell>
        </row>
        <row r="1151">
          <cell r="A1151" t="str">
            <v>周睿盛</v>
          </cell>
          <cell r="B1151" t="str">
            <v>南山大熊鲜牛烤肉</v>
          </cell>
        </row>
        <row r="1152">
          <cell r="A1152" t="str">
            <v>周文文</v>
          </cell>
          <cell r="B1152" t="str">
            <v>飞科-JYF2-004</v>
          </cell>
        </row>
        <row r="1153">
          <cell r="A1153" t="str">
            <v>周喜</v>
          </cell>
          <cell r="B1153" t="str">
            <v>M&amp;A</v>
          </cell>
        </row>
        <row r="1154">
          <cell r="A1154" t="str">
            <v>周小舟</v>
          </cell>
          <cell r="B1154" t="str">
            <v>童年衣柜-3029A</v>
          </cell>
        </row>
        <row r="1155">
          <cell r="A1155" t="str">
            <v>朱为星</v>
          </cell>
          <cell r="B1155" t="str">
            <v>吧啦啦-JYF5-004</v>
          </cell>
        </row>
        <row r="1156">
          <cell r="A1156" t="str">
            <v>祝芳艳</v>
          </cell>
          <cell r="B1156" t="str">
            <v>手工酱汁饼，凉皮凉面</v>
          </cell>
        </row>
        <row r="1157">
          <cell r="A1157" t="str">
            <v>邹德峰</v>
          </cell>
          <cell r="B1157" t="str">
            <v>藤野造型</v>
          </cell>
        </row>
        <row r="1158">
          <cell r="A1158" t="str">
            <v>邹丽</v>
          </cell>
          <cell r="B1158" t="str">
            <v>魅港国际</v>
          </cell>
        </row>
        <row r="1159">
          <cell r="A1159" t="str">
            <v>邹文超</v>
          </cell>
          <cell r="B1159" t="str">
            <v>保罗奥德赛</v>
          </cell>
        </row>
        <row r="1160">
          <cell r="A1160" t="str">
            <v>邓家顺</v>
          </cell>
          <cell r="B1160" t="str">
            <v>湘约绿草地-5008</v>
          </cell>
        </row>
        <row r="1161">
          <cell r="A1161" t="str">
            <v>邓家顺</v>
          </cell>
          <cell r="B1161" t="str">
            <v>绿草地</v>
          </cell>
        </row>
        <row r="1162">
          <cell r="A1162" t="str">
            <v>左家雁</v>
          </cell>
          <cell r="B1162" t="str">
            <v>长沙臭豆腐</v>
          </cell>
        </row>
        <row r="1163">
          <cell r="A1163" t="str">
            <v>充值</v>
          </cell>
          <cell r="B1163" t="str">
            <v>停车费充值</v>
          </cell>
        </row>
        <row r="1164">
          <cell r="A1164" t="str">
            <v>临时</v>
          </cell>
          <cell r="B1164" t="str">
            <v>停车费临时</v>
          </cell>
        </row>
        <row r="1165">
          <cell r="A1165" t="str">
            <v>周建华</v>
          </cell>
          <cell r="B1165" t="str">
            <v>冰果哆</v>
          </cell>
        </row>
        <row r="1166">
          <cell r="A1166" t="str">
            <v>湖南亮点体育文化发展有限公司</v>
          </cell>
          <cell r="B1166" t="str">
            <v>发发桌球-4009</v>
          </cell>
        </row>
        <row r="1167">
          <cell r="A1167" t="str">
            <v>湖南亮点体育文化发展有限公司</v>
          </cell>
          <cell r="B1167" t="str">
            <v>发发桌球制冰设备-4010-2</v>
          </cell>
        </row>
        <row r="1168">
          <cell r="A1168" t="str">
            <v>屈玉莲</v>
          </cell>
          <cell r="B1168" t="str">
            <v>弹珠有名-JYF3-008</v>
          </cell>
        </row>
        <row r="1169">
          <cell r="A1169" t="str">
            <v>全梅芳</v>
          </cell>
          <cell r="B1169" t="str">
            <v>劲选男装&amp;完美口袋</v>
          </cell>
        </row>
        <row r="1170">
          <cell r="A1170" t="str">
            <v>李君英</v>
          </cell>
          <cell r="B1170" t="str">
            <v>哈森、星期六</v>
          </cell>
        </row>
        <row r="1171">
          <cell r="A1171" t="str">
            <v>邓文震</v>
          </cell>
          <cell r="B1171" t="str">
            <v>紫色花语-1019A</v>
          </cell>
        </row>
        <row r="1172">
          <cell r="A1172" t="str">
            <v>王成宁</v>
          </cell>
          <cell r="B1172" t="str">
            <v>币币之家-3035</v>
          </cell>
        </row>
        <row r="1173">
          <cell r="A1173" t="str">
            <v>衡阳市蒸湘区润福榕服饰有限公司</v>
          </cell>
          <cell r="B1173" t="str">
            <v>三福</v>
          </cell>
        </row>
        <row r="1174">
          <cell r="A1174" t="str">
            <v>曾田春</v>
          </cell>
          <cell r="B1174" t="str">
            <v>趣捞鱼</v>
          </cell>
        </row>
        <row r="1175">
          <cell r="A1175" t="str">
            <v>马黎平</v>
          </cell>
          <cell r="B1175" t="str">
            <v>瞄一瞄（新铺）</v>
          </cell>
        </row>
        <row r="1176">
          <cell r="A1176" t="str">
            <v>衡阳市蒸湘区快乐街区动漫电玩中心</v>
          </cell>
          <cell r="B1176" t="str">
            <v>快乐街区</v>
          </cell>
        </row>
        <row r="1177">
          <cell r="A1177" t="str">
            <v>衡阳市蒸湘区快乐街区动漫电玩中心</v>
          </cell>
          <cell r="B1177" t="str">
            <v>快乐街区-3002</v>
          </cell>
        </row>
        <row r="1178">
          <cell r="A1178" t="str">
            <v>许春</v>
          </cell>
          <cell r="B1178" t="str">
            <v>友唱机</v>
          </cell>
        </row>
        <row r="1179">
          <cell r="A1179" t="str">
            <v>湖南亮点体育文化发展有限公司</v>
          </cell>
          <cell r="B1179" t="str">
            <v>水费+发发桌球1楼电梯前室电费</v>
          </cell>
        </row>
        <row r="1180">
          <cell r="A1180" t="str">
            <v>邹德峰</v>
          </cell>
          <cell r="B1180" t="str">
            <v>滕野造型</v>
          </cell>
        </row>
        <row r="1181">
          <cell r="A1181" t="str">
            <v>韦土花</v>
          </cell>
          <cell r="B1181" t="str">
            <v>粤式牛杂</v>
          </cell>
        </row>
        <row r="1182">
          <cell r="A1182" t="str">
            <v>李予</v>
          </cell>
          <cell r="B1182" t="str">
            <v>鸡翅包饭</v>
          </cell>
        </row>
        <row r="1183">
          <cell r="A1183" t="str">
            <v>莫品</v>
          </cell>
          <cell r="B1183" t="str">
            <v>串串麻辣烫</v>
          </cell>
        </row>
        <row r="1184">
          <cell r="A1184" t="str">
            <v>莫品</v>
          </cell>
          <cell r="B1184" t="str">
            <v>烧烤，鱿鱼，烤面筋</v>
          </cell>
        </row>
        <row r="1185">
          <cell r="A1185" t="str">
            <v>邓超</v>
          </cell>
          <cell r="B1185" t="str">
            <v>鲜肉饼</v>
          </cell>
        </row>
        <row r="1186">
          <cell r="A1186" t="str">
            <v>邓超</v>
          </cell>
          <cell r="B1186" t="str">
            <v>冰豆花、芝士烤榴莲</v>
          </cell>
        </row>
        <row r="1187">
          <cell r="A1187" t="str">
            <v>宋光福</v>
          </cell>
          <cell r="B1187" t="str">
            <v>网红炒饭/炒面</v>
          </cell>
        </row>
        <row r="1188">
          <cell r="A1188" t="str">
            <v>陈兵虎</v>
          </cell>
          <cell r="B1188" t="str">
            <v>烤冷面、手抓饼</v>
          </cell>
        </row>
        <row r="1189">
          <cell r="A1189" t="str">
            <v>左家雁</v>
          </cell>
          <cell r="B1189" t="str">
            <v>臭豆腐</v>
          </cell>
        </row>
        <row r="1190">
          <cell r="A1190" t="str">
            <v>王明军</v>
          </cell>
          <cell r="B1190" t="str">
            <v>糖葫芦，紫米饭团，柠檬茶</v>
          </cell>
        </row>
        <row r="1191">
          <cell r="A1191" t="str">
            <v>唐靖</v>
          </cell>
          <cell r="B1191" t="str">
            <v>鲜榨果汁，鸡蛋仔，链子胡</v>
          </cell>
        </row>
        <row r="1192">
          <cell r="A1192" t="str">
            <v>谢涛</v>
          </cell>
          <cell r="B1192" t="str">
            <v>暖冬古法烤梨，糖水</v>
          </cell>
        </row>
        <row r="1193">
          <cell r="A1193" t="str">
            <v>杨芳</v>
          </cell>
          <cell r="B1193" t="str">
            <v>香酥炸鸡，鸭</v>
          </cell>
        </row>
        <row r="1194">
          <cell r="A1194" t="str">
            <v>唐斌</v>
          </cell>
          <cell r="B1194" t="str">
            <v>一元寿司</v>
          </cell>
        </row>
        <row r="1195">
          <cell r="A1195" t="str">
            <v>刘德聪</v>
          </cell>
          <cell r="B1195" t="str">
            <v>奥尔良烤鸡腿，煎饼果子</v>
          </cell>
        </row>
        <row r="1196">
          <cell r="A1196" t="str">
            <v>何伟伟</v>
          </cell>
          <cell r="B1196" t="str">
            <v>烈火牛肉，铁板鱿鱼</v>
          </cell>
        </row>
        <row r="1197">
          <cell r="A1197" t="str">
            <v>贺卿云</v>
          </cell>
          <cell r="B1197" t="str">
            <v>烤生蚝</v>
          </cell>
        </row>
        <row r="1198">
          <cell r="A1198" t="str">
            <v>吴赛博</v>
          </cell>
          <cell r="B1198" t="str">
            <v>夜包子</v>
          </cell>
        </row>
        <row r="1199">
          <cell r="A1199" t="str">
            <v>祝芳艳</v>
          </cell>
          <cell r="B1199" t="str">
            <v>凉皮、拌粉、卤肉卷</v>
          </cell>
        </row>
        <row r="1200">
          <cell r="A1200" t="str">
            <v>陈霞</v>
          </cell>
          <cell r="B1200" t="str">
            <v>一元一串起现捞鸭脖</v>
          </cell>
        </row>
        <row r="1201">
          <cell r="A1201" t="str">
            <v>谭超</v>
          </cell>
          <cell r="B1201" t="str">
            <v>章鱼小丸子、奶酪麻糍</v>
          </cell>
        </row>
        <row r="1202">
          <cell r="A1202" t="str">
            <v>傅娇</v>
          </cell>
          <cell r="B1202" t="str">
            <v>福鼎肉片，酸辣粉</v>
          </cell>
        </row>
        <row r="1203">
          <cell r="A1203" t="str">
            <v>魏香英</v>
          </cell>
          <cell r="B1203" t="str">
            <v>欧露艾米-2012A</v>
          </cell>
        </row>
        <row r="1204">
          <cell r="A1204" t="str">
            <v>莫靖凡</v>
          </cell>
          <cell r="B1204" t="str">
            <v>星辰弓射箭馆A-3026</v>
          </cell>
        </row>
        <row r="1205">
          <cell r="A1205" t="str">
            <v>吴利敏</v>
          </cell>
          <cell r="B1205" t="str">
            <v>临榆炸鸡集装箱</v>
          </cell>
        </row>
        <row r="1206">
          <cell r="A1206" t="str">
            <v>唐慧</v>
          </cell>
          <cell r="B1206" t="str">
            <v>幸运咖 集装箱</v>
          </cell>
        </row>
        <row r="1207">
          <cell r="A1207" t="str">
            <v>周涛涛</v>
          </cell>
          <cell r="B1207" t="str">
            <v>玖铭家炸鸡</v>
          </cell>
        </row>
        <row r="1208">
          <cell r="A1208" t="str">
            <v>徐洪水</v>
          </cell>
          <cell r="B1208" t="str">
            <v>夏埠村糕点</v>
          </cell>
        </row>
        <row r="1209">
          <cell r="A1209" t="str">
            <v>涂宇翔</v>
          </cell>
          <cell r="B1209" t="str">
            <v>先锋少儿篮球</v>
          </cell>
        </row>
        <row r="1210">
          <cell r="A1210" t="str">
            <v>谭娜</v>
          </cell>
          <cell r="B1210" t="str">
            <v>沅柒洞拌饭</v>
          </cell>
        </row>
        <row r="1211">
          <cell r="A1211" t="str">
            <v>周军伟</v>
          </cell>
          <cell r="B1211" t="str">
            <v>作业帮/优学派/小天才</v>
          </cell>
        </row>
        <row r="1212">
          <cell r="A1212" t="str">
            <v>封旭</v>
          </cell>
          <cell r="B1212" t="str">
            <v>美思</v>
          </cell>
        </row>
        <row r="1213">
          <cell r="A1213" t="str">
            <v>魏香英</v>
          </cell>
          <cell r="B1213" t="str">
            <v>欧路艾米-2012A</v>
          </cell>
        </row>
        <row r="1214">
          <cell r="A1214" t="str">
            <v>叶丽娟</v>
          </cell>
          <cell r="B1214" t="str">
            <v>周大生（中国珠宝）</v>
          </cell>
        </row>
        <row r="1215">
          <cell r="A1215" t="str">
            <v>王冬林</v>
          </cell>
          <cell r="B1215" t="str">
            <v>星聚会</v>
          </cell>
        </row>
        <row r="1216">
          <cell r="A1216" t="str">
            <v>刘桃</v>
          </cell>
          <cell r="B1216" t="str">
            <v>百变城</v>
          </cell>
        </row>
        <row r="1217">
          <cell r="A1217" t="str">
            <v>方钧可</v>
          </cell>
          <cell r="B1217" t="str">
            <v>2楼回力</v>
          </cell>
        </row>
        <row r="1218">
          <cell r="A1218" t="str">
            <v>周军</v>
          </cell>
          <cell r="B1218" t="str">
            <v>NIKE耐克</v>
          </cell>
        </row>
        <row r="1219">
          <cell r="A1219" t="str">
            <v>衡阳博纳影院管理有限公司</v>
          </cell>
          <cell r="B1219" t="str">
            <v>博纳国际影城</v>
          </cell>
        </row>
        <row r="1220">
          <cell r="A1220" t="str">
            <v>周小舟</v>
          </cell>
          <cell r="B1220" t="str">
            <v>童年衣柜</v>
          </cell>
        </row>
        <row r="1221">
          <cell r="A1221" t="str">
            <v>莫德明</v>
          </cell>
          <cell r="B1221" t="str">
            <v>欣椰遇</v>
          </cell>
        </row>
        <row r="1222">
          <cell r="A1222" t="str">
            <v>丁海军</v>
          </cell>
          <cell r="B1222" t="str">
            <v>香蜜闺秀-2019</v>
          </cell>
        </row>
        <row r="1223">
          <cell r="A1223" t="str">
            <v>李雪亮</v>
          </cell>
          <cell r="B1223" t="str">
            <v>伊那古</v>
          </cell>
        </row>
        <row r="1224">
          <cell r="A1224" t="str">
            <v>李辉</v>
          </cell>
          <cell r="B1224" t="str">
            <v>番茄小兜</v>
          </cell>
        </row>
        <row r="1225">
          <cell r="A1225" t="str">
            <v>陈芳</v>
          </cell>
          <cell r="B1225" t="str">
            <v>芭妮瑞丝</v>
          </cell>
        </row>
        <row r="1226">
          <cell r="A1226" t="str">
            <v>衡阳市蒸湘区锦源首饰经营部（个体工商户）</v>
          </cell>
          <cell r="B1226" t="str">
            <v>六福珠宝</v>
          </cell>
        </row>
        <row r="1227">
          <cell r="A1227" t="str">
            <v>谭娜</v>
          </cell>
          <cell r="B1227" t="str">
            <v>沅柒铜石锅拌饭</v>
          </cell>
        </row>
        <row r="1228">
          <cell r="A1228" t="str">
            <v>衡阳虾健健伍拾捌号健身有限公司</v>
          </cell>
          <cell r="B1228" t="str">
            <v>虾健健</v>
          </cell>
        </row>
        <row r="1229">
          <cell r="A1229" t="str">
            <v>胡嘉熙</v>
          </cell>
          <cell r="B1229" t="str">
            <v>衡晨文体潮玩社</v>
          </cell>
        </row>
        <row r="1230">
          <cell r="A1230" t="str">
            <v>衡阳瑞汐珠宝有限公司</v>
          </cell>
          <cell r="B1230" t="str">
            <v>潮宏基珠宝</v>
          </cell>
        </row>
        <row r="1231">
          <cell r="A1231" t="str">
            <v>长沙众乐乐体育用品有限公司</v>
          </cell>
          <cell r="B1231" t="str">
            <v>摩享时光</v>
          </cell>
        </row>
        <row r="1232">
          <cell r="A1232" t="str">
            <v>周克林</v>
          </cell>
          <cell r="B1232" t="str">
            <v>幻影星空</v>
          </cell>
        </row>
        <row r="1233">
          <cell r="A1233" t="str">
            <v>屈姣</v>
          </cell>
          <cell r="B1233" t="str">
            <v>潮玩空间</v>
          </cell>
        </row>
        <row r="1234">
          <cell r="A1234" t="str">
            <v>沈妙娟-衡阳市蒸湘区金果果饰品经营部（个体工商户）</v>
          </cell>
          <cell r="B1234" t="str">
            <v>周六福</v>
          </cell>
        </row>
        <row r="1235">
          <cell r="A1235" t="str">
            <v>王冬林</v>
          </cell>
          <cell r="B1235" t="str">
            <v>星聚汇KTV</v>
          </cell>
        </row>
        <row r="1236">
          <cell r="A1236" t="str">
            <v>邹文超</v>
          </cell>
          <cell r="B1236" t="str">
            <v>保罗奥德赛-2010</v>
          </cell>
        </row>
        <row r="1237">
          <cell r="A1237" t="str">
            <v>宁小兰</v>
          </cell>
          <cell r="B1237" t="str">
            <v>卓诗尼</v>
          </cell>
        </row>
        <row r="1238">
          <cell r="A1238" t="str">
            <v>伍兰</v>
          </cell>
          <cell r="B1238" t="str">
            <v>AIAL-1039</v>
          </cell>
        </row>
        <row r="1239">
          <cell r="A1239" t="str">
            <v>罗谋</v>
          </cell>
          <cell r="B1239" t="str">
            <v>银点</v>
          </cell>
        </row>
        <row r="1240">
          <cell r="A1240" t="str">
            <v>谢标</v>
          </cell>
          <cell r="B1240" t="str">
            <v>泡泡机</v>
          </cell>
        </row>
        <row r="1241">
          <cell r="A1241" t="str">
            <v>衡阳市春迎饮品有限公司</v>
          </cell>
          <cell r="B1241" t="str">
            <v>茶颜悦色-1009AA</v>
          </cell>
        </row>
        <row r="1242">
          <cell r="A1242" t="str">
            <v>封旭</v>
          </cell>
          <cell r="B1242" t="str">
            <v>美思-2039</v>
          </cell>
        </row>
        <row r="1243">
          <cell r="A1243" t="str">
            <v>谢标</v>
          </cell>
          <cell r="B1243" t="str">
            <v>礼品机</v>
          </cell>
        </row>
        <row r="1244">
          <cell r="A1244" t="str">
            <v>周喜</v>
          </cell>
          <cell r="B1244" t="str">
            <v>MA-2031</v>
          </cell>
        </row>
        <row r="1245">
          <cell r="A1245" t="str">
            <v>叶丽娟</v>
          </cell>
          <cell r="B1245" t="str">
            <v>张万福</v>
          </cell>
        </row>
        <row r="1246">
          <cell r="A1246" t="str">
            <v>叶丽娟</v>
          </cell>
          <cell r="B1246" t="str">
            <v>周大生（中国珠宝）</v>
          </cell>
        </row>
        <row r="1247">
          <cell r="A1247" t="str">
            <v>汪天皓</v>
          </cell>
          <cell r="B1247" t="str">
            <v>超鸡魔王-5021B</v>
          </cell>
        </row>
        <row r="1248">
          <cell r="A1248" t="str">
            <v>衡阳瑞汐珠宝有限公司</v>
          </cell>
          <cell r="B1248" t="str">
            <v>潮宏基</v>
          </cell>
        </row>
        <row r="1249">
          <cell r="A1249" t="str">
            <v>徐建雷</v>
          </cell>
          <cell r="B1249" t="str">
            <v>宝贝都星梦境</v>
          </cell>
        </row>
        <row r="1250">
          <cell r="A1250" t="str">
            <v>封旭</v>
          </cell>
          <cell r="B1250" t="str">
            <v>美思-2039</v>
          </cell>
        </row>
        <row r="1251">
          <cell r="A1251" t="str">
            <v>伍一文</v>
          </cell>
          <cell r="B1251" t="str">
            <v>几多全</v>
          </cell>
        </row>
        <row r="1252">
          <cell r="A1252" t="str">
            <v>徐建雷</v>
          </cell>
          <cell r="B1252" t="str">
            <v>宝贝都星梦境</v>
          </cell>
        </row>
        <row r="1253">
          <cell r="A1253" t="str">
            <v>彭思佳</v>
          </cell>
          <cell r="B1253" t="str">
            <v>INX吾限舞蹈-4019</v>
          </cell>
        </row>
        <row r="1254">
          <cell r="A1254" t="str">
            <v>王冬林</v>
          </cell>
          <cell r="B1254" t="str">
            <v>星聚会</v>
          </cell>
        </row>
        <row r="1255">
          <cell r="A1255" t="str">
            <v>刘盼</v>
          </cell>
          <cell r="B1255" t="str">
            <v>七度银饰-JYF1-003</v>
          </cell>
        </row>
        <row r="1256">
          <cell r="A1256" t="str">
            <v>蔡林峰</v>
          </cell>
          <cell r="B1256" t="str">
            <v>瞄一瞄集采新铺</v>
          </cell>
        </row>
        <row r="1257">
          <cell r="A1257" t="str">
            <v>王冬林</v>
          </cell>
          <cell r="B1257" t="str">
            <v>星聚会-4001</v>
          </cell>
        </row>
        <row r="1258">
          <cell r="A1258" t="str">
            <v>衡阳市蒸湘区锦源首饰经营部（个体工商户）</v>
          </cell>
          <cell r="B1258" t="str">
            <v>六福珠宝-1036</v>
          </cell>
        </row>
        <row r="1259">
          <cell r="A1259" t="str">
            <v>胡嘉熙</v>
          </cell>
          <cell r="B1259" t="str">
            <v>衡晨文体-3025</v>
          </cell>
        </row>
        <row r="1260">
          <cell r="A1260" t="str">
            <v>汪天皓</v>
          </cell>
          <cell r="B1260" t="str">
            <v>超鸡魔王</v>
          </cell>
        </row>
        <row r="1261">
          <cell r="A1261" t="str">
            <v>屈姣</v>
          </cell>
          <cell r="B1261" t="str">
            <v>潮玩空间</v>
          </cell>
        </row>
        <row r="1262">
          <cell r="A1262" t="str">
            <v>屈姣</v>
          </cell>
          <cell r="B1262" t="str">
            <v>潮玩空间-1020</v>
          </cell>
        </row>
        <row r="1263">
          <cell r="A1263" t="str">
            <v>汪天皓</v>
          </cell>
          <cell r="B1263" t="str">
            <v>许府牛-5003</v>
          </cell>
        </row>
        <row r="1264">
          <cell r="A1264" t="str">
            <v>李雪亮</v>
          </cell>
          <cell r="B1264" t="str">
            <v>伊那古</v>
          </cell>
        </row>
        <row r="1265">
          <cell r="A1265" t="str">
            <v>徐建雷</v>
          </cell>
          <cell r="B1265" t="str">
            <v>宝贝都星梦镜</v>
          </cell>
        </row>
        <row r="1266">
          <cell r="A1266" t="str">
            <v>徐建雷</v>
          </cell>
          <cell r="B1266" t="str">
            <v>宝贝都星梦镜-3010</v>
          </cell>
        </row>
        <row r="1267">
          <cell r="A1267" t="str">
            <v>徐梓宸</v>
          </cell>
          <cell r="B1267" t="str">
            <v>果宝妈咪-JYF3-001</v>
          </cell>
        </row>
        <row r="1268">
          <cell r="A1268" t="str">
            <v>林祥富</v>
          </cell>
          <cell r="B1268" t="str">
            <v>昨美女装</v>
          </cell>
        </row>
        <row r="1269">
          <cell r="A1269" t="str">
            <v>罗研</v>
          </cell>
          <cell r="B1269" t="str">
            <v>樊文花</v>
          </cell>
        </row>
        <row r="1270">
          <cell r="A1270" t="str">
            <v>贺妃</v>
          </cell>
          <cell r="B1270" t="str">
            <v>依沐裳</v>
          </cell>
        </row>
        <row r="1271">
          <cell r="A1271" t="str">
            <v>袁玲</v>
          </cell>
          <cell r="B1271" t="str">
            <v>AMXS-1003</v>
          </cell>
        </row>
        <row r="1272">
          <cell r="A1272" t="str">
            <v>凌海洋</v>
          </cell>
          <cell r="B1272" t="str">
            <v>花语集洋装馆</v>
          </cell>
        </row>
        <row r="1273">
          <cell r="A1273" t="str">
            <v>吴艳芳</v>
          </cell>
          <cell r="B1273" t="str">
            <v>熊兮兮</v>
          </cell>
        </row>
        <row r="1274">
          <cell r="A1274" t="str">
            <v>林祥富</v>
          </cell>
          <cell r="B1274" t="str">
            <v>昨美女装-1015</v>
          </cell>
        </row>
        <row r="1275">
          <cell r="A1275" t="str">
            <v>周佳</v>
          </cell>
          <cell r="B1275" t="str">
            <v>佳丽鼓舞</v>
          </cell>
        </row>
        <row r="1276">
          <cell r="A1276" t="str">
            <v>凌海洋</v>
          </cell>
          <cell r="B1276" t="str">
            <v>花语集洋装馆-1030</v>
          </cell>
        </row>
        <row r="1277">
          <cell r="A1277" t="str">
            <v>尹德新</v>
          </cell>
          <cell r="B1277" t="str">
            <v>星速度轮滑</v>
          </cell>
        </row>
        <row r="1278">
          <cell r="A1278" t="str">
            <v>尹娟</v>
          </cell>
          <cell r="B1278" t="str">
            <v>臻品伊选</v>
          </cell>
        </row>
        <row r="1279">
          <cell r="A1279" t="str">
            <v>衡阳市蒸湘区雁之地舞元素艺术培训学校有限公司</v>
          </cell>
          <cell r="B1279" t="str">
            <v>地舞元素</v>
          </cell>
        </row>
        <row r="1280">
          <cell r="A1280" t="str">
            <v>袁玲</v>
          </cell>
          <cell r="B1280" t="str">
            <v>AMXS爱慕斯-1003</v>
          </cell>
        </row>
        <row r="1281">
          <cell r="A1281" t="str">
            <v>胡雪平</v>
          </cell>
          <cell r="B1281" t="str">
            <v>猿辅导、读书郎AI智能学习机-JYF3-006</v>
          </cell>
        </row>
        <row r="1282">
          <cell r="A1282" t="str">
            <v>长沙君优美电子有限公司</v>
          </cell>
          <cell r="B1282" t="str">
            <v>OPPO-1005</v>
          </cell>
        </row>
        <row r="1283">
          <cell r="A1283" t="str">
            <v>涂小兰</v>
          </cell>
          <cell r="B1283" t="str">
            <v>柴煲煲</v>
          </cell>
        </row>
        <row r="1284">
          <cell r="A1284" t="str">
            <v>孙洪君</v>
          </cell>
          <cell r="B1284" t="str">
            <v>绿色春天四季养生</v>
          </cell>
        </row>
        <row r="1285">
          <cell r="A1285" t="str">
            <v>伍一文</v>
          </cell>
          <cell r="B1285" t="str">
            <v>几多全-1010</v>
          </cell>
        </row>
        <row r="1286">
          <cell r="A1286" t="str">
            <v>蔡林峰</v>
          </cell>
          <cell r="B1286" t="str">
            <v>瞄一瞄-1032</v>
          </cell>
        </row>
        <row r="1287">
          <cell r="A1287" t="str">
            <v>戴露</v>
          </cell>
          <cell r="B1287" t="str">
            <v>1楼回力</v>
          </cell>
        </row>
        <row r="1288">
          <cell r="A1288" t="str">
            <v>匡飞</v>
          </cell>
          <cell r="B1288" t="str">
            <v>鑫潮乐玩</v>
          </cell>
        </row>
        <row r="1289">
          <cell r="A1289" t="str">
            <v>罗研</v>
          </cell>
          <cell r="B1289" t="str">
            <v>樊文花-2033</v>
          </cell>
        </row>
        <row r="1290">
          <cell r="A1290" t="str">
            <v>方钧可</v>
          </cell>
          <cell r="B1290" t="str">
            <v>2楼回力-2030</v>
          </cell>
        </row>
        <row r="1291">
          <cell r="A1291" t="str">
            <v>衡阳市新顺电器有限公司</v>
          </cell>
          <cell r="B1291" t="str">
            <v>京东家电-2013</v>
          </cell>
        </row>
        <row r="1292">
          <cell r="A1292" t="str">
            <v>钟振中</v>
          </cell>
          <cell r="B1292" t="str">
            <v>俪索</v>
          </cell>
        </row>
        <row r="1293">
          <cell r="A1293" t="str">
            <v>湖南大碗先生餐饮连锁管理有限公司</v>
          </cell>
          <cell r="B1293" t="str">
            <v>大碗先生</v>
          </cell>
        </row>
        <row r="1294">
          <cell r="A1294" t="str">
            <v>李雪亮</v>
          </cell>
          <cell r="B1294" t="str">
            <v>伊拉古</v>
          </cell>
        </row>
        <row r="1295">
          <cell r="A1295" t="str">
            <v>姚卓</v>
          </cell>
          <cell r="B1295" t="str">
            <v>德势Bluff</v>
          </cell>
        </row>
        <row r="1296">
          <cell r="A1296" t="str">
            <v>涂小兰</v>
          </cell>
          <cell r="B1296" t="str">
            <v>柴煲煲-5002A</v>
          </cell>
        </row>
        <row r="1297">
          <cell r="A1297" t="str">
            <v>涂小兰</v>
          </cell>
          <cell r="B1297" t="str">
            <v>柴煲煲-5002B</v>
          </cell>
        </row>
        <row r="1298">
          <cell r="A1298" t="str">
            <v>钟振中</v>
          </cell>
          <cell r="B1298" t="str">
            <v>俪索-1026</v>
          </cell>
        </row>
        <row r="1299">
          <cell r="A1299" t="str">
            <v>吴艳芳</v>
          </cell>
          <cell r="B1299" t="str">
            <v>熊兮兮-3009</v>
          </cell>
        </row>
        <row r="1300">
          <cell r="A1300" t="str">
            <v>钟振中</v>
          </cell>
          <cell r="B1300" t="str">
            <v>俪索-1028</v>
          </cell>
        </row>
        <row r="1301">
          <cell r="A1301" t="str">
            <v>匡飞</v>
          </cell>
          <cell r="B1301" t="str">
            <v>鑫潮乐玩-3019</v>
          </cell>
        </row>
        <row r="1302">
          <cell r="A1302" t="str">
            <v>周佳</v>
          </cell>
          <cell r="B1302" t="str">
            <v>佳丽舞蹈-6003</v>
          </cell>
        </row>
        <row r="1303">
          <cell r="A1303" t="str">
            <v>贺妃</v>
          </cell>
          <cell r="B1303" t="str">
            <v>依沐裳-1019-BA</v>
          </cell>
        </row>
        <row r="1304">
          <cell r="A1304" t="str">
            <v>陈冠</v>
          </cell>
          <cell r="B1304" t="str">
            <v>太空历险3楼</v>
          </cell>
        </row>
        <row r="1305">
          <cell r="A1305" t="str">
            <v>周军伟</v>
          </cell>
          <cell r="B1305" t="str">
            <v>作业帮/小天才/优学派</v>
          </cell>
        </row>
        <row r="1306">
          <cell r="A1306" t="str">
            <v>金一品</v>
          </cell>
          <cell r="B1306" t="str">
            <v>酷点点</v>
          </cell>
        </row>
        <row r="1307">
          <cell r="A1307" t="str">
            <v>易建群</v>
          </cell>
          <cell r="B1307" t="str">
            <v>潮哆乐</v>
          </cell>
        </row>
        <row r="1308">
          <cell r="A1308" t="str">
            <v>姚卓</v>
          </cell>
          <cell r="B1308" t="str">
            <v>德势bluff-6009</v>
          </cell>
        </row>
        <row r="1309">
          <cell r="A1309" t="str">
            <v>曾田春</v>
          </cell>
          <cell r="B1309" t="str">
            <v>趣捞渔</v>
          </cell>
        </row>
        <row r="1310">
          <cell r="A1310" t="str">
            <v>黄小兵</v>
          </cell>
          <cell r="B1310" t="str">
            <v>弹珠小达</v>
          </cell>
        </row>
        <row r="1311">
          <cell r="A1311" t="str">
            <v>钟振中</v>
          </cell>
          <cell r="B1311" t="str">
            <v>俪索-1027</v>
          </cell>
        </row>
        <row r="1312">
          <cell r="A1312" t="str">
            <v>颜琪峰</v>
          </cell>
          <cell r="B1312" t="str">
            <v>坚果小酒馆-4026</v>
          </cell>
        </row>
        <row r="1313">
          <cell r="A1313" t="str">
            <v>祝和超</v>
          </cell>
          <cell r="B1313" t="str">
            <v>型色造型</v>
          </cell>
        </row>
        <row r="1314">
          <cell r="A1314" t="str">
            <v>莫靖凡</v>
          </cell>
          <cell r="B1314" t="str">
            <v>星辰弓射箭馆</v>
          </cell>
        </row>
        <row r="1315">
          <cell r="A1315" t="str">
            <v>莫靖凡</v>
          </cell>
          <cell r="B1315" t="str">
            <v>星辰手作</v>
          </cell>
        </row>
        <row r="1316">
          <cell r="A1316" t="str">
            <v>易建群</v>
          </cell>
          <cell r="B1316" t="str">
            <v>潮哆乐-3020A</v>
          </cell>
        </row>
        <row r="1317">
          <cell r="A1317" t="str">
            <v>长沙巨大石头科技有限公司</v>
          </cell>
          <cell r="B1317" t="str">
            <v>早安攀岩</v>
          </cell>
        </row>
        <row r="1318">
          <cell r="A1318" t="str">
            <v>刘根明</v>
          </cell>
          <cell r="B1318" t="str">
            <v>市井边边旋转小火锅</v>
          </cell>
        </row>
        <row r="1319">
          <cell r="A1319" t="str">
            <v>周杰</v>
          </cell>
          <cell r="B1319" t="str">
            <v>盛香亭热卤糖水</v>
          </cell>
        </row>
        <row r="1320">
          <cell r="A1320" t="str">
            <v>陈冠</v>
          </cell>
          <cell r="B1320" t="str">
            <v>太空历险-JYF3-012</v>
          </cell>
        </row>
        <row r="1321">
          <cell r="A1321" t="str">
            <v>颜琪峰</v>
          </cell>
          <cell r="B1321" t="str">
            <v>坚果小酒馆-停车费充值</v>
          </cell>
        </row>
        <row r="1322">
          <cell r="A1322" t="str">
            <v>文丹华</v>
          </cell>
          <cell r="B1322" t="str">
            <v>汤上头板前串串</v>
          </cell>
        </row>
        <row r="1323">
          <cell r="A1323" t="str">
            <v>陈冠</v>
          </cell>
          <cell r="B1323" t="str">
            <v>玩点名堂</v>
          </cell>
        </row>
        <row r="1324">
          <cell r="A1324" t="str">
            <v>周涛</v>
          </cell>
          <cell r="B1324" t="str">
            <v>围辣小火锅</v>
          </cell>
        </row>
        <row r="1325">
          <cell r="A1325" t="str">
            <v>尹德新</v>
          </cell>
          <cell r="B1325" t="str">
            <v>星速度-3013</v>
          </cell>
        </row>
        <row r="1326">
          <cell r="A1326" t="str">
            <v>刘桃</v>
          </cell>
          <cell r="B1326" t="str">
            <v>百变城-2035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95"/>
  <sheetViews>
    <sheetView tabSelected="1" zoomScale="90" zoomScaleNormal="90" workbookViewId="0">
      <pane xSplit="9" ySplit="3" topLeftCell="J4" activePane="bottomRight" state="frozen"/>
      <selection/>
      <selection pane="topRight"/>
      <selection pane="bottomLeft"/>
      <selection pane="bottomRight" activeCell="P17" sqref="P17"/>
    </sheetView>
  </sheetViews>
  <sheetFormatPr defaultColWidth="9" defaultRowHeight="26" customHeight="1"/>
  <cols>
    <col min="1" max="1" width="7.10833333333333" style="3" customWidth="1"/>
    <col min="2" max="2" width="14" style="4" customWidth="1"/>
    <col min="3" max="3" width="15.9666666666667" style="5" customWidth="1"/>
    <col min="4" max="4" width="32.0833333333333" style="1" customWidth="1"/>
    <col min="5" max="5" width="15.8333333333333" style="6" customWidth="1"/>
    <col min="6" max="7" width="13.6666666666667" style="1" customWidth="1"/>
    <col min="8" max="9" width="11.525" style="1" customWidth="1"/>
    <col min="10" max="11" width="10.5583333333333" style="1" customWidth="1"/>
    <col min="12" max="15" width="10.3" style="1" customWidth="1"/>
    <col min="16" max="16" width="11.8083333333333" style="1" customWidth="1"/>
    <col min="17" max="17" width="10.3" style="1" customWidth="1"/>
    <col min="18" max="18" width="10.3" style="7" customWidth="1"/>
    <col min="19" max="19" width="10.3" style="8" customWidth="1"/>
    <col min="20" max="23" width="10.3" style="1" customWidth="1"/>
    <col min="24" max="24" width="10.8333333333333" style="1" customWidth="1"/>
    <col min="25" max="28" width="10.3" style="1" customWidth="1"/>
    <col min="29" max="30" width="11.5583333333333" style="1" customWidth="1"/>
    <col min="31" max="31" width="17.8833333333333" style="1" customWidth="1"/>
    <col min="32" max="32" width="24.025" style="1" customWidth="1"/>
    <col min="33" max="33" width="11.3833333333333" style="1" customWidth="1"/>
    <col min="34" max="34" width="10.3" style="1" customWidth="1"/>
    <col min="35" max="35" width="12.5" style="1" customWidth="1"/>
    <col min="36" max="16384" width="9" style="1"/>
  </cols>
  <sheetData>
    <row r="1" s="1" customFormat="1" customHeight="1" spans="1:19">
      <c r="A1" s="1" t="s">
        <v>0</v>
      </c>
      <c r="B1" s="4"/>
      <c r="C1" s="9"/>
      <c r="R1" s="7"/>
      <c r="S1" s="8"/>
    </row>
    <row r="2" s="2" customFormat="1" customHeight="1" spans="1:35">
      <c r="A2" s="10" t="s">
        <v>1</v>
      </c>
      <c r="B2" s="11"/>
      <c r="C2" s="12"/>
      <c r="D2" s="13"/>
      <c r="E2" s="13"/>
      <c r="F2" s="14">
        <f t="shared" ref="F2:AE2" si="0">SUBTOTAL(9,F4:F795)</f>
        <v>3381766.16</v>
      </c>
      <c r="G2" s="15"/>
      <c r="H2" s="16"/>
      <c r="I2" s="16"/>
      <c r="J2" s="38">
        <f t="shared" si="0"/>
        <v>854953.13</v>
      </c>
      <c r="K2" s="38">
        <f t="shared" si="0"/>
        <v>504362.75</v>
      </c>
      <c r="L2" s="38">
        <f t="shared" si="0"/>
        <v>28750</v>
      </c>
      <c r="M2" s="38">
        <f t="shared" si="0"/>
        <v>1800</v>
      </c>
      <c r="N2" s="38">
        <f t="shared" si="0"/>
        <v>1800</v>
      </c>
      <c r="O2" s="38">
        <f t="shared" si="0"/>
        <v>145293.81</v>
      </c>
      <c r="P2" s="38">
        <f t="shared" si="0"/>
        <v>8700</v>
      </c>
      <c r="Q2" s="38">
        <f t="shared" si="0"/>
        <v>23418.1</v>
      </c>
      <c r="R2" s="40">
        <f t="shared" si="0"/>
        <v>93598.62</v>
      </c>
      <c r="S2" s="38">
        <f t="shared" si="0"/>
        <v>383565</v>
      </c>
      <c r="T2" s="38">
        <f t="shared" si="0"/>
        <v>5140</v>
      </c>
      <c r="U2" s="38">
        <f t="shared" si="0"/>
        <v>3245</v>
      </c>
      <c r="V2" s="38">
        <f t="shared" si="0"/>
        <v>434</v>
      </c>
      <c r="W2" s="38">
        <f t="shared" si="0"/>
        <v>77552</v>
      </c>
      <c r="X2" s="38">
        <f t="shared" si="0"/>
        <v>176000</v>
      </c>
      <c r="Y2" s="38">
        <f t="shared" si="0"/>
        <v>60100</v>
      </c>
      <c r="Z2" s="38">
        <f t="shared" si="0"/>
        <v>110350</v>
      </c>
      <c r="AA2" s="38">
        <f t="shared" si="0"/>
        <v>807846.75</v>
      </c>
      <c r="AB2" s="38">
        <f t="shared" si="0"/>
        <v>3000</v>
      </c>
      <c r="AC2" s="38">
        <f t="shared" si="0"/>
        <v>1020</v>
      </c>
      <c r="AD2" s="38">
        <f t="shared" si="0"/>
        <v>0</v>
      </c>
      <c r="AE2" s="38">
        <f t="shared" si="0"/>
        <v>90837</v>
      </c>
      <c r="AF2" s="46"/>
      <c r="AG2" s="35"/>
      <c r="AH2" s="35"/>
      <c r="AI2" s="35"/>
    </row>
    <row r="3" s="3" customFormat="1" ht="39" customHeight="1" spans="1:35">
      <c r="A3" s="17" t="s">
        <v>2</v>
      </c>
      <c r="B3" s="17" t="s">
        <v>3</v>
      </c>
      <c r="C3" s="18" t="s">
        <v>4</v>
      </c>
      <c r="D3" s="17" t="s">
        <v>5</v>
      </c>
      <c r="E3" s="19" t="s">
        <v>6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11</v>
      </c>
      <c r="K3" s="39" t="s">
        <v>12</v>
      </c>
      <c r="L3" s="39" t="s">
        <v>13</v>
      </c>
      <c r="M3" s="39" t="s">
        <v>14</v>
      </c>
      <c r="N3" s="39" t="s">
        <v>15</v>
      </c>
      <c r="O3" s="39" t="s">
        <v>16</v>
      </c>
      <c r="P3" s="39" t="s">
        <v>17</v>
      </c>
      <c r="Q3" s="17" t="s">
        <v>18</v>
      </c>
      <c r="R3" s="41" t="s">
        <v>19</v>
      </c>
      <c r="S3" s="42" t="s">
        <v>20</v>
      </c>
      <c r="T3" s="17" t="s">
        <v>21</v>
      </c>
      <c r="U3" s="17" t="s">
        <v>22</v>
      </c>
      <c r="V3" s="17" t="s">
        <v>23</v>
      </c>
      <c r="W3" s="17" t="s">
        <v>24</v>
      </c>
      <c r="X3" s="17" t="s">
        <v>25</v>
      </c>
      <c r="Y3" s="17" t="s">
        <v>26</v>
      </c>
      <c r="Z3" s="17" t="s">
        <v>27</v>
      </c>
      <c r="AA3" s="17" t="s">
        <v>28</v>
      </c>
      <c r="AB3" s="17" t="s">
        <v>29</v>
      </c>
      <c r="AC3" s="17" t="s">
        <v>30</v>
      </c>
      <c r="AD3" s="17" t="s">
        <v>31</v>
      </c>
      <c r="AE3" s="19" t="s">
        <v>32</v>
      </c>
      <c r="AF3" s="17" t="s">
        <v>33</v>
      </c>
      <c r="AG3" s="17" t="s">
        <v>34</v>
      </c>
      <c r="AH3" s="17" t="s">
        <v>35</v>
      </c>
      <c r="AI3" s="17" t="s">
        <v>36</v>
      </c>
    </row>
    <row r="4" s="1" customFormat="1" ht="25" customHeight="1" spans="1:35">
      <c r="A4" s="17">
        <v>1</v>
      </c>
      <c r="B4" s="20">
        <v>46113</v>
      </c>
      <c r="C4" s="21" t="s">
        <v>37</v>
      </c>
      <c r="D4" s="22" t="s">
        <v>38</v>
      </c>
      <c r="E4" s="23" t="s">
        <v>39</v>
      </c>
      <c r="F4" s="24">
        <f t="shared" ref="F4:F67" si="1">SUM(J4:AE4)</f>
        <v>5636.16</v>
      </c>
      <c r="G4" s="24" t="s">
        <v>40</v>
      </c>
      <c r="H4" s="25">
        <v>45870</v>
      </c>
      <c r="I4" s="25">
        <v>45930</v>
      </c>
      <c r="J4" s="24">
        <v>9547.2</v>
      </c>
      <c r="K4" s="24"/>
      <c r="L4" s="24"/>
      <c r="M4" s="24"/>
      <c r="N4" s="24"/>
      <c r="O4" s="24"/>
      <c r="P4" s="24"/>
      <c r="Q4" s="24"/>
      <c r="R4" s="43"/>
      <c r="S4" s="24"/>
      <c r="T4" s="24"/>
      <c r="U4" s="24"/>
      <c r="V4" s="24"/>
      <c r="W4" s="24"/>
      <c r="X4" s="24"/>
      <c r="Y4" s="24"/>
      <c r="Z4" s="24"/>
      <c r="AA4" s="24">
        <v>-3911.04</v>
      </c>
      <c r="AB4" s="24"/>
      <c r="AC4" s="24"/>
      <c r="AD4" s="24"/>
      <c r="AE4" s="24"/>
      <c r="AF4" s="36"/>
      <c r="AG4" s="36"/>
      <c r="AH4" s="36"/>
      <c r="AI4" s="47"/>
    </row>
    <row r="5" s="1" customFormat="1" customHeight="1" spans="1:35">
      <c r="A5" s="17">
        <v>2</v>
      </c>
      <c r="B5" s="20">
        <v>46113</v>
      </c>
      <c r="C5" s="21" t="s">
        <v>37</v>
      </c>
      <c r="D5" s="22" t="s">
        <v>38</v>
      </c>
      <c r="E5" s="23" t="s">
        <v>39</v>
      </c>
      <c r="F5" s="24">
        <f t="shared" si="1"/>
        <v>14426.4</v>
      </c>
      <c r="G5" s="24" t="s">
        <v>40</v>
      </c>
      <c r="H5" s="25">
        <v>45931</v>
      </c>
      <c r="I5" s="25">
        <v>45961</v>
      </c>
      <c r="J5" s="24">
        <v>5444.4</v>
      </c>
      <c r="K5" s="24">
        <v>8580</v>
      </c>
      <c r="L5" s="24">
        <v>250</v>
      </c>
      <c r="M5" s="24"/>
      <c r="N5" s="24"/>
      <c r="O5" s="24"/>
      <c r="P5" s="24"/>
      <c r="Q5" s="24">
        <v>152</v>
      </c>
      <c r="R5" s="43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36"/>
      <c r="AG5" s="36"/>
      <c r="AH5" s="36"/>
      <c r="AI5" s="36"/>
    </row>
    <row r="6" s="1" customFormat="1" ht="25" customHeight="1" spans="1:35">
      <c r="A6" s="17">
        <v>3</v>
      </c>
      <c r="B6" s="20">
        <v>46113</v>
      </c>
      <c r="C6" s="21" t="s">
        <v>41</v>
      </c>
      <c r="D6" s="22" t="str" cm="1">
        <f t="array" ref="D6">INDEX([1]Sheet2!A:A,MATCH(E6,[1]Sheet2!B:B,0))</f>
        <v>衡阳博纳影院管理有限公司</v>
      </c>
      <c r="E6" s="23" t="s">
        <v>42</v>
      </c>
      <c r="F6" s="24">
        <f t="shared" si="1"/>
        <v>1240.32</v>
      </c>
      <c r="G6" s="24" t="s">
        <v>40</v>
      </c>
      <c r="H6" s="25">
        <v>46054</v>
      </c>
      <c r="I6" s="25">
        <v>46081</v>
      </c>
      <c r="J6" s="24"/>
      <c r="K6" s="24"/>
      <c r="L6" s="24"/>
      <c r="M6" s="24"/>
      <c r="N6" s="24"/>
      <c r="O6" s="24"/>
      <c r="P6" s="24"/>
      <c r="Q6" s="24">
        <v>1240.32</v>
      </c>
      <c r="R6" s="43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3"/>
      <c r="AG6" s="36"/>
      <c r="AH6" s="36"/>
      <c r="AI6" s="36"/>
    </row>
    <row r="7" s="1" customFormat="1" ht="30" customHeight="1" spans="1:35">
      <c r="A7" s="17">
        <v>4</v>
      </c>
      <c r="B7" s="20">
        <v>46113</v>
      </c>
      <c r="C7" s="21" t="s">
        <v>43</v>
      </c>
      <c r="D7" s="22" t="str" cm="1">
        <f t="array" ref="D7">INDEX([1]Sheet2!A:A,MATCH(E7,[1]Sheet2!B:B,0))</f>
        <v>衡阳博纳影院管理有限公司</v>
      </c>
      <c r="E7" s="23" t="s">
        <v>42</v>
      </c>
      <c r="F7" s="24">
        <f t="shared" si="1"/>
        <v>13111.88</v>
      </c>
      <c r="G7" s="24" t="s">
        <v>40</v>
      </c>
      <c r="H7" s="25">
        <v>46054</v>
      </c>
      <c r="I7" s="25">
        <v>46081</v>
      </c>
      <c r="J7" s="24"/>
      <c r="K7" s="24"/>
      <c r="L7" s="24"/>
      <c r="M7" s="24"/>
      <c r="N7" s="24"/>
      <c r="O7" s="24"/>
      <c r="P7" s="24"/>
      <c r="Q7" s="24"/>
      <c r="R7" s="43">
        <v>13111.88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3"/>
      <c r="AG7" s="36"/>
      <c r="AH7" s="36"/>
      <c r="AI7" s="36"/>
    </row>
    <row r="8" s="1" customFormat="1" ht="32" customHeight="1" spans="1:35">
      <c r="A8" s="17">
        <v>5</v>
      </c>
      <c r="B8" s="20">
        <v>46113</v>
      </c>
      <c r="C8" s="26" t="s">
        <v>41</v>
      </c>
      <c r="D8" s="22" t="s">
        <v>44</v>
      </c>
      <c r="E8" s="23" t="s">
        <v>45</v>
      </c>
      <c r="F8" s="24">
        <f t="shared" si="1"/>
        <v>177.3</v>
      </c>
      <c r="G8" s="24" t="s">
        <v>40</v>
      </c>
      <c r="H8" s="25">
        <v>46054</v>
      </c>
      <c r="I8" s="25">
        <v>46081</v>
      </c>
      <c r="J8" s="24"/>
      <c r="K8" s="24"/>
      <c r="L8" s="24"/>
      <c r="M8" s="24"/>
      <c r="N8" s="24"/>
      <c r="O8" s="24"/>
      <c r="P8" s="24"/>
      <c r="Q8" s="24"/>
      <c r="R8" s="43">
        <v>177.3</v>
      </c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36"/>
      <c r="AG8" s="36"/>
      <c r="AH8" s="36"/>
      <c r="AI8" s="36"/>
    </row>
    <row r="9" s="1" customFormat="1" customHeight="1" spans="1:35">
      <c r="A9" s="17">
        <v>6</v>
      </c>
      <c r="B9" s="20">
        <v>46113</v>
      </c>
      <c r="C9" s="26" t="s">
        <v>46</v>
      </c>
      <c r="D9" s="22" t="s">
        <v>47</v>
      </c>
      <c r="E9" s="23" t="s">
        <v>48</v>
      </c>
      <c r="F9" s="24">
        <f t="shared" si="1"/>
        <v>5360</v>
      </c>
      <c r="G9" s="24" t="s">
        <v>49</v>
      </c>
      <c r="H9" s="25"/>
      <c r="I9" s="25"/>
      <c r="J9" s="24"/>
      <c r="K9" s="24"/>
      <c r="L9" s="24"/>
      <c r="M9" s="24"/>
      <c r="N9" s="24"/>
      <c r="O9" s="24"/>
      <c r="P9" s="24"/>
      <c r="Q9" s="24"/>
      <c r="R9" s="43"/>
      <c r="S9" s="44"/>
      <c r="T9" s="24">
        <v>160</v>
      </c>
      <c r="U9" s="24">
        <v>160</v>
      </c>
      <c r="V9" s="24">
        <v>40</v>
      </c>
      <c r="W9" s="24"/>
      <c r="X9" s="24"/>
      <c r="Y9" s="24">
        <v>5000</v>
      </c>
      <c r="Z9" s="24"/>
      <c r="AA9" s="24"/>
      <c r="AB9" s="24"/>
      <c r="AC9" s="24"/>
      <c r="AD9" s="24"/>
      <c r="AE9" s="24"/>
      <c r="AF9" s="36"/>
      <c r="AG9" s="36" t="s">
        <v>50</v>
      </c>
      <c r="AH9" s="36">
        <v>7472880</v>
      </c>
      <c r="AI9" s="36" t="s">
        <v>51</v>
      </c>
    </row>
    <row r="10" s="1" customFormat="1" customHeight="1" spans="1:35">
      <c r="A10" s="17">
        <v>7</v>
      </c>
      <c r="B10" s="20">
        <v>46113</v>
      </c>
      <c r="C10" s="26" t="s">
        <v>52</v>
      </c>
      <c r="D10" s="22" t="s">
        <v>53</v>
      </c>
      <c r="E10" s="23" t="s">
        <v>54</v>
      </c>
      <c r="F10" s="24">
        <f t="shared" si="1"/>
        <v>5150</v>
      </c>
      <c r="G10" s="24" t="s">
        <v>49</v>
      </c>
      <c r="H10" s="25"/>
      <c r="I10" s="25"/>
      <c r="J10" s="24"/>
      <c r="K10" s="24"/>
      <c r="L10" s="24"/>
      <c r="M10" s="24"/>
      <c r="N10" s="24"/>
      <c r="O10" s="24"/>
      <c r="P10" s="24"/>
      <c r="Q10" s="24"/>
      <c r="R10" s="43"/>
      <c r="S10" s="24"/>
      <c r="T10" s="24">
        <v>100</v>
      </c>
      <c r="U10" s="24"/>
      <c r="V10" s="24">
        <v>50</v>
      </c>
      <c r="W10" s="24"/>
      <c r="X10" s="24"/>
      <c r="Y10" s="24">
        <v>5000</v>
      </c>
      <c r="Z10" s="24"/>
      <c r="AA10" s="24"/>
      <c r="AB10" s="24"/>
      <c r="AC10" s="24"/>
      <c r="AD10" s="24"/>
      <c r="AE10" s="24"/>
      <c r="AF10" s="36" t="s">
        <v>55</v>
      </c>
      <c r="AG10" s="36" t="s">
        <v>50</v>
      </c>
      <c r="AH10" s="36">
        <v>7483412</v>
      </c>
      <c r="AI10" s="36" t="s">
        <v>51</v>
      </c>
    </row>
    <row r="11" s="2" customFormat="1" customHeight="1" spans="1:35">
      <c r="A11" s="27">
        <v>8</v>
      </c>
      <c r="B11" s="28">
        <v>46113</v>
      </c>
      <c r="C11" s="29" t="s">
        <v>56</v>
      </c>
      <c r="D11" s="30" t="s">
        <v>57</v>
      </c>
      <c r="E11" s="31" t="s">
        <v>58</v>
      </c>
      <c r="F11" s="32">
        <f t="shared" si="1"/>
        <v>41656</v>
      </c>
      <c r="G11" s="32" t="s">
        <v>49</v>
      </c>
      <c r="H11" s="33">
        <v>46132</v>
      </c>
      <c r="I11" s="33">
        <v>46222</v>
      </c>
      <c r="J11" s="32">
        <v>7776</v>
      </c>
      <c r="K11" s="32">
        <v>7776</v>
      </c>
      <c r="L11" s="32"/>
      <c r="M11" s="32"/>
      <c r="N11" s="32"/>
      <c r="O11" s="32"/>
      <c r="P11" s="32"/>
      <c r="Q11" s="32"/>
      <c r="R11" s="45"/>
      <c r="S11" s="32"/>
      <c r="T11" s="32"/>
      <c r="U11" s="32"/>
      <c r="V11" s="32"/>
      <c r="W11" s="32"/>
      <c r="X11" s="32">
        <v>-5000</v>
      </c>
      <c r="Y11" s="32"/>
      <c r="Z11" s="32">
        <f>26104+5000</f>
        <v>31104</v>
      </c>
      <c r="AA11" s="32"/>
      <c r="AB11" s="32"/>
      <c r="AC11" s="32"/>
      <c r="AD11" s="32"/>
      <c r="AE11" s="32"/>
      <c r="AF11" s="35" t="s">
        <v>59</v>
      </c>
      <c r="AG11" s="35" t="s">
        <v>50</v>
      </c>
      <c r="AH11" s="35">
        <v>7483414</v>
      </c>
      <c r="AI11" s="35" t="s">
        <v>51</v>
      </c>
    </row>
    <row r="12" s="2" customFormat="1" customHeight="1" spans="1:35">
      <c r="A12" s="27">
        <v>9</v>
      </c>
      <c r="B12" s="28">
        <v>46113</v>
      </c>
      <c r="C12" s="29" t="s">
        <v>56</v>
      </c>
      <c r="D12" s="30" t="s">
        <v>57</v>
      </c>
      <c r="E12" s="31" t="s">
        <v>58</v>
      </c>
      <c r="F12" s="32">
        <f t="shared" si="1"/>
        <v>3000</v>
      </c>
      <c r="G12" s="32" t="s">
        <v>49</v>
      </c>
      <c r="H12" s="33">
        <v>46132</v>
      </c>
      <c r="I12" s="33">
        <v>46496</v>
      </c>
      <c r="J12" s="32"/>
      <c r="K12" s="32"/>
      <c r="L12" s="32">
        <v>3000</v>
      </c>
      <c r="M12" s="32"/>
      <c r="N12" s="32"/>
      <c r="O12" s="32"/>
      <c r="P12" s="32"/>
      <c r="Q12" s="32"/>
      <c r="R12" s="45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5" t="s">
        <v>60</v>
      </c>
      <c r="AG12" s="35"/>
      <c r="AH12" s="35"/>
      <c r="AI12" s="35"/>
    </row>
    <row r="13" s="2" customFormat="1" customHeight="1" spans="1:35">
      <c r="A13" s="27">
        <v>10</v>
      </c>
      <c r="B13" s="28">
        <v>46113</v>
      </c>
      <c r="C13" s="29" t="s">
        <v>61</v>
      </c>
      <c r="D13" s="30" t="s">
        <v>62</v>
      </c>
      <c r="E13" s="31" t="s">
        <v>63</v>
      </c>
      <c r="F13" s="32">
        <f t="shared" si="1"/>
        <v>2000</v>
      </c>
      <c r="G13" s="32" t="s">
        <v>49</v>
      </c>
      <c r="H13" s="33">
        <v>46082</v>
      </c>
      <c r="I13" s="33">
        <v>46112</v>
      </c>
      <c r="J13" s="32"/>
      <c r="K13" s="32"/>
      <c r="L13" s="32"/>
      <c r="M13" s="32"/>
      <c r="N13" s="32"/>
      <c r="O13" s="32"/>
      <c r="P13" s="32"/>
      <c r="Q13" s="32"/>
      <c r="R13" s="45">
        <v>2000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5" t="s">
        <v>64</v>
      </c>
      <c r="AG13" s="35"/>
      <c r="AH13" s="35"/>
      <c r="AI13" s="35"/>
    </row>
    <row r="14" s="2" customFormat="1" customHeight="1" spans="1:35">
      <c r="A14" s="27">
        <v>11</v>
      </c>
      <c r="B14" s="28">
        <v>46113</v>
      </c>
      <c r="C14" s="34" t="s">
        <v>65</v>
      </c>
      <c r="D14" s="30" t="s">
        <v>62</v>
      </c>
      <c r="E14" s="35" t="s">
        <v>66</v>
      </c>
      <c r="F14" s="32">
        <f t="shared" si="1"/>
        <v>1200</v>
      </c>
      <c r="G14" s="32" t="s">
        <v>49</v>
      </c>
      <c r="H14" s="33">
        <v>46082</v>
      </c>
      <c r="I14" s="33">
        <v>46112</v>
      </c>
      <c r="J14" s="32"/>
      <c r="K14" s="32"/>
      <c r="L14" s="32"/>
      <c r="M14" s="32"/>
      <c r="N14" s="32"/>
      <c r="O14" s="32"/>
      <c r="P14" s="32"/>
      <c r="Q14" s="32">
        <v>1200</v>
      </c>
      <c r="R14" s="45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5" t="s">
        <v>64</v>
      </c>
      <c r="AG14" s="35"/>
      <c r="AH14" s="35"/>
      <c r="AI14" s="35"/>
    </row>
    <row r="15" s="1" customFormat="1" customHeight="1" spans="1:35">
      <c r="A15" s="17">
        <v>12</v>
      </c>
      <c r="B15" s="20">
        <v>46113</v>
      </c>
      <c r="C15" s="21" t="s">
        <v>67</v>
      </c>
      <c r="D15" s="22" t="s">
        <v>68</v>
      </c>
      <c r="E15" s="36" t="s">
        <v>69</v>
      </c>
      <c r="F15" s="24">
        <f t="shared" si="1"/>
        <v>5900</v>
      </c>
      <c r="G15" s="24" t="s">
        <v>49</v>
      </c>
      <c r="H15" s="25"/>
      <c r="I15" s="25"/>
      <c r="J15" s="24"/>
      <c r="K15" s="24"/>
      <c r="L15" s="24"/>
      <c r="M15" s="24"/>
      <c r="N15" s="24"/>
      <c r="O15" s="24"/>
      <c r="P15" s="24"/>
      <c r="Q15" s="24"/>
      <c r="R15" s="43"/>
      <c r="S15" s="24"/>
      <c r="T15" s="24">
        <v>390</v>
      </c>
      <c r="U15" s="24">
        <v>390</v>
      </c>
      <c r="V15" s="24">
        <v>20</v>
      </c>
      <c r="W15" s="24"/>
      <c r="X15" s="24"/>
      <c r="Y15" s="24">
        <f>5000+100</f>
        <v>5100</v>
      </c>
      <c r="Z15" s="24"/>
      <c r="AA15" s="24"/>
      <c r="AB15" s="24"/>
      <c r="AC15" s="24"/>
      <c r="AD15" s="24"/>
      <c r="AE15" s="24"/>
      <c r="AF15" s="36" t="s">
        <v>70</v>
      </c>
      <c r="AG15" s="36" t="s">
        <v>50</v>
      </c>
      <c r="AH15" s="23" t="s">
        <v>71</v>
      </c>
      <c r="AI15" s="36" t="s">
        <v>51</v>
      </c>
    </row>
    <row r="16" s="1" customFormat="1" customHeight="1" spans="1:35">
      <c r="A16" s="17">
        <v>13</v>
      </c>
      <c r="B16" s="20">
        <v>46113</v>
      </c>
      <c r="C16" s="26" t="s">
        <v>46</v>
      </c>
      <c r="D16" s="22" t="s">
        <v>47</v>
      </c>
      <c r="E16" s="36" t="s">
        <v>48</v>
      </c>
      <c r="F16" s="24">
        <f t="shared" si="1"/>
        <v>100</v>
      </c>
      <c r="G16" s="24" t="s">
        <v>49</v>
      </c>
      <c r="H16" s="25"/>
      <c r="I16" s="25"/>
      <c r="J16" s="24"/>
      <c r="K16" s="24"/>
      <c r="L16" s="24"/>
      <c r="M16" s="24"/>
      <c r="N16" s="24"/>
      <c r="O16" s="24"/>
      <c r="P16" s="24"/>
      <c r="Q16" s="24"/>
      <c r="R16" s="43"/>
      <c r="S16" s="24">
        <v>100</v>
      </c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36"/>
      <c r="AG16" s="36"/>
      <c r="AH16" s="36"/>
      <c r="AI16" s="36"/>
    </row>
    <row r="17" s="1" customFormat="1" customHeight="1" spans="1:35">
      <c r="A17" s="17">
        <v>14</v>
      </c>
      <c r="B17" s="20">
        <v>46113</v>
      </c>
      <c r="C17" s="21" t="s">
        <v>24</v>
      </c>
      <c r="D17" s="22" t="str" cm="1">
        <f t="array" ref="D17">INDEX([1]Sheet2!A:A,MATCH(E17,[1]Sheet2!B:B,0))</f>
        <v>充值</v>
      </c>
      <c r="E17" s="36" t="s">
        <v>72</v>
      </c>
      <c r="F17" s="24">
        <f t="shared" si="1"/>
        <v>600</v>
      </c>
      <c r="G17" s="24" t="s">
        <v>49</v>
      </c>
      <c r="H17" s="25"/>
      <c r="I17" s="25"/>
      <c r="J17" s="24"/>
      <c r="K17" s="24"/>
      <c r="L17" s="24"/>
      <c r="M17" s="24"/>
      <c r="N17" s="24"/>
      <c r="O17" s="24"/>
      <c r="P17" s="24"/>
      <c r="Q17" s="24"/>
      <c r="R17" s="43"/>
      <c r="S17" s="24"/>
      <c r="T17" s="24"/>
      <c r="U17" s="24"/>
      <c r="V17" s="24"/>
      <c r="W17" s="24">
        <v>600</v>
      </c>
      <c r="X17" s="24"/>
      <c r="Y17" s="24"/>
      <c r="Z17" s="24"/>
      <c r="AA17" s="24"/>
      <c r="AB17" s="24"/>
      <c r="AC17" s="24"/>
      <c r="AD17" s="24"/>
      <c r="AE17" s="24"/>
      <c r="AF17" s="36"/>
      <c r="AG17" s="36"/>
      <c r="AH17" s="36"/>
      <c r="AI17" s="36"/>
    </row>
    <row r="18" s="1" customFormat="1" customHeight="1" spans="1:35">
      <c r="A18" s="17">
        <v>15</v>
      </c>
      <c r="B18" s="20">
        <v>46113</v>
      </c>
      <c r="C18" s="21" t="s">
        <v>73</v>
      </c>
      <c r="D18" s="22" t="str" cm="1">
        <f t="array" ref="D18">INDEX([1]Sheet2!A:A,MATCH(E18,[1]Sheet2!B:B,0))</f>
        <v>衡阳志扬体育文化有限公司</v>
      </c>
      <c r="E18" s="36" t="s">
        <v>74</v>
      </c>
      <c r="F18" s="24">
        <f t="shared" si="1"/>
        <v>2134</v>
      </c>
      <c r="G18" s="24" t="s">
        <v>49</v>
      </c>
      <c r="H18" s="25"/>
      <c r="I18" s="25"/>
      <c r="J18" s="24"/>
      <c r="K18" s="24"/>
      <c r="L18" s="24"/>
      <c r="M18" s="24"/>
      <c r="N18" s="24"/>
      <c r="O18" s="24"/>
      <c r="P18" s="24"/>
      <c r="Q18" s="24"/>
      <c r="R18" s="43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>
        <v>2134</v>
      </c>
      <c r="AF18" s="36"/>
      <c r="AG18" s="36"/>
      <c r="AH18" s="36"/>
      <c r="AI18" s="36"/>
    </row>
    <row r="19" s="1" customFormat="1" customHeight="1" spans="1:35">
      <c r="A19" s="17">
        <v>16</v>
      </c>
      <c r="B19" s="20">
        <v>46113</v>
      </c>
      <c r="C19" s="21" t="s">
        <v>75</v>
      </c>
      <c r="D19" s="22" t="str" cm="1">
        <f t="array" ref="D19">INDEX([1]Sheet2!A:A,MATCH(E19,[1]Sheet2!B:B,0))</f>
        <v>刘连</v>
      </c>
      <c r="E19" s="36" t="s">
        <v>76</v>
      </c>
      <c r="F19" s="24">
        <f t="shared" si="1"/>
        <v>50</v>
      </c>
      <c r="G19" s="24" t="s">
        <v>77</v>
      </c>
      <c r="H19" s="25"/>
      <c r="I19" s="25"/>
      <c r="J19" s="24"/>
      <c r="K19" s="24"/>
      <c r="L19" s="24"/>
      <c r="M19" s="24"/>
      <c r="N19" s="24"/>
      <c r="O19" s="24"/>
      <c r="P19" s="24"/>
      <c r="Q19" s="24"/>
      <c r="R19" s="43"/>
      <c r="S19" s="24">
        <v>50</v>
      </c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36"/>
      <c r="AG19" s="36"/>
      <c r="AH19" s="36"/>
      <c r="AI19" s="36"/>
    </row>
    <row r="20" s="1" customFormat="1" customHeight="1" spans="1:35">
      <c r="A20" s="17">
        <v>17</v>
      </c>
      <c r="B20" s="20">
        <v>46113</v>
      </c>
      <c r="C20" s="21" t="s">
        <v>78</v>
      </c>
      <c r="D20" s="22" t="str" cm="1">
        <f t="array" ref="D20">INDEX([1]Sheet2!A:A,MATCH(E20,[1]Sheet2!B:B,0))</f>
        <v>汪天皓</v>
      </c>
      <c r="E20" s="36" t="s">
        <v>79</v>
      </c>
      <c r="F20" s="24">
        <f t="shared" si="1"/>
        <v>1000</v>
      </c>
      <c r="G20" s="24" t="s">
        <v>77</v>
      </c>
      <c r="H20" s="25"/>
      <c r="I20" s="25"/>
      <c r="J20" s="24"/>
      <c r="K20" s="24"/>
      <c r="L20" s="24"/>
      <c r="M20" s="24"/>
      <c r="N20" s="24"/>
      <c r="O20" s="24"/>
      <c r="P20" s="24"/>
      <c r="Q20" s="24"/>
      <c r="R20" s="43"/>
      <c r="S20" s="24">
        <v>1000</v>
      </c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36"/>
      <c r="AG20" s="36"/>
      <c r="AH20" s="36"/>
      <c r="AI20" s="36"/>
    </row>
    <row r="21" s="1" customFormat="1" customHeight="1" spans="1:35">
      <c r="A21" s="17">
        <v>18</v>
      </c>
      <c r="B21" s="20">
        <v>46113</v>
      </c>
      <c r="C21" s="21" t="s">
        <v>80</v>
      </c>
      <c r="D21" s="22" t="str" cm="1">
        <f t="array" ref="D21">INDEX([1]Sheet2!A:A,MATCH(E21,[1]Sheet2!B:B,0))</f>
        <v>汪天皓</v>
      </c>
      <c r="E21" s="36" t="s">
        <v>81</v>
      </c>
      <c r="F21" s="24">
        <f t="shared" si="1"/>
        <v>1000</v>
      </c>
      <c r="G21" s="24" t="s">
        <v>77</v>
      </c>
      <c r="H21" s="25"/>
      <c r="I21" s="25"/>
      <c r="J21" s="24"/>
      <c r="K21" s="24"/>
      <c r="L21" s="24"/>
      <c r="M21" s="24"/>
      <c r="N21" s="24"/>
      <c r="O21" s="24"/>
      <c r="P21" s="24"/>
      <c r="Q21" s="24"/>
      <c r="R21" s="43"/>
      <c r="S21" s="24">
        <v>1000</v>
      </c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36"/>
      <c r="AG21" s="36"/>
      <c r="AH21" s="36"/>
      <c r="AI21" s="36"/>
    </row>
    <row r="22" s="1" customFormat="1" customHeight="1" spans="1:35">
      <c r="A22" s="17">
        <v>19</v>
      </c>
      <c r="B22" s="20">
        <v>46113</v>
      </c>
      <c r="C22" s="37" t="s">
        <v>82</v>
      </c>
      <c r="D22" s="22" t="str" cm="1">
        <f t="array" ref="D22">INDEX([1]Sheet2!A:A,MATCH(E22,[1]Sheet2!B:B,0))</f>
        <v>汪天皓</v>
      </c>
      <c r="E22" s="23" t="s">
        <v>83</v>
      </c>
      <c r="F22" s="24">
        <f t="shared" si="1"/>
        <v>1000</v>
      </c>
      <c r="G22" s="24" t="s">
        <v>77</v>
      </c>
      <c r="H22" s="25"/>
      <c r="I22" s="25"/>
      <c r="J22" s="24"/>
      <c r="K22" s="24"/>
      <c r="L22" s="24"/>
      <c r="M22" s="24"/>
      <c r="N22" s="24"/>
      <c r="O22" s="24"/>
      <c r="P22" s="24"/>
      <c r="Q22" s="24"/>
      <c r="R22" s="43"/>
      <c r="S22" s="24">
        <v>1000</v>
      </c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36"/>
      <c r="AG22" s="36"/>
      <c r="AH22" s="36"/>
      <c r="AI22" s="36"/>
    </row>
    <row r="23" s="1" customFormat="1" customHeight="1" spans="1:35">
      <c r="A23" s="17">
        <v>20</v>
      </c>
      <c r="B23" s="20">
        <v>46113</v>
      </c>
      <c r="C23" s="21" t="s">
        <v>84</v>
      </c>
      <c r="D23" s="22" t="str" cm="1">
        <f t="array" ref="D23">INDEX([1]Sheet2!A:A,MATCH(E23,[1]Sheet2!B:B,0))</f>
        <v>莫靖凡</v>
      </c>
      <c r="E23" s="23" t="s">
        <v>85</v>
      </c>
      <c r="F23" s="24">
        <f t="shared" si="1"/>
        <v>50</v>
      </c>
      <c r="G23" s="24" t="s">
        <v>77</v>
      </c>
      <c r="H23" s="25"/>
      <c r="I23" s="25"/>
      <c r="J23" s="24"/>
      <c r="K23" s="24"/>
      <c r="L23" s="24"/>
      <c r="M23" s="24"/>
      <c r="N23" s="24"/>
      <c r="O23" s="24"/>
      <c r="P23" s="24"/>
      <c r="Q23" s="24"/>
      <c r="R23" s="43"/>
      <c r="S23" s="24">
        <v>50</v>
      </c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36"/>
      <c r="AG23" s="36"/>
      <c r="AH23" s="36"/>
      <c r="AI23" s="36"/>
    </row>
    <row r="24" s="1" customFormat="1" customHeight="1" spans="1:35">
      <c r="A24" s="17">
        <v>21</v>
      </c>
      <c r="B24" s="20">
        <v>46113</v>
      </c>
      <c r="C24" s="21" t="s">
        <v>86</v>
      </c>
      <c r="D24" s="22" t="str" cm="1">
        <f t="array" ref="D24">INDEX([1]Sheet2!A:A,MATCH(E24,[1]Sheet2!B:B,0))</f>
        <v>吴革民</v>
      </c>
      <c r="E24" s="23" t="s">
        <v>87</v>
      </c>
      <c r="F24" s="24">
        <f t="shared" si="1"/>
        <v>200</v>
      </c>
      <c r="G24" s="24" t="s">
        <v>77</v>
      </c>
      <c r="H24" s="25"/>
      <c r="I24" s="25"/>
      <c r="J24" s="24"/>
      <c r="K24" s="24"/>
      <c r="L24" s="24"/>
      <c r="M24" s="24"/>
      <c r="N24" s="24"/>
      <c r="O24" s="24"/>
      <c r="P24" s="24"/>
      <c r="Q24" s="24"/>
      <c r="R24" s="43"/>
      <c r="S24" s="24">
        <v>200</v>
      </c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36"/>
      <c r="AG24" s="36"/>
      <c r="AH24" s="36"/>
      <c r="AI24" s="36"/>
    </row>
    <row r="25" s="1" customFormat="1" customHeight="1" spans="1:35">
      <c r="A25" s="17">
        <v>22</v>
      </c>
      <c r="B25" s="20">
        <v>46113</v>
      </c>
      <c r="C25" s="21" t="s">
        <v>88</v>
      </c>
      <c r="D25" s="22" t="str" cm="1">
        <f t="array" ref="D25">INDEX([1]Sheet2!A:A,MATCH(E25,[1]Sheet2!B:B,0))</f>
        <v>马黎平</v>
      </c>
      <c r="E25" s="23" t="s">
        <v>89</v>
      </c>
      <c r="F25" s="24">
        <f t="shared" si="1"/>
        <v>2000</v>
      </c>
      <c r="G25" s="24" t="s">
        <v>77</v>
      </c>
      <c r="H25" s="25"/>
      <c r="I25" s="25"/>
      <c r="J25" s="24"/>
      <c r="K25" s="24"/>
      <c r="L25" s="24"/>
      <c r="M25" s="24"/>
      <c r="N25" s="24"/>
      <c r="O25" s="24"/>
      <c r="P25" s="24"/>
      <c r="Q25" s="24"/>
      <c r="R25" s="43"/>
      <c r="S25" s="24">
        <v>2000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36"/>
      <c r="AG25" s="36"/>
      <c r="AH25" s="36"/>
      <c r="AI25" s="36"/>
    </row>
    <row r="26" s="1" customFormat="1" customHeight="1" spans="1:35">
      <c r="A26" s="17">
        <v>23</v>
      </c>
      <c r="B26" s="20">
        <v>46113</v>
      </c>
      <c r="C26" s="21" t="s">
        <v>90</v>
      </c>
      <c r="D26" s="22" t="str" cm="1">
        <f t="array" ref="D26">INDEX([1]Sheet2!A:A,MATCH(E26,[1]Sheet2!B:B,0))</f>
        <v>曾田春</v>
      </c>
      <c r="E26" s="23" t="s">
        <v>91</v>
      </c>
      <c r="F26" s="24">
        <f t="shared" si="1"/>
        <v>1000</v>
      </c>
      <c r="G26" s="24" t="s">
        <v>77</v>
      </c>
      <c r="H26" s="25"/>
      <c r="I26" s="25"/>
      <c r="J26" s="24"/>
      <c r="K26" s="24"/>
      <c r="L26" s="24"/>
      <c r="M26" s="24"/>
      <c r="N26" s="24"/>
      <c r="O26" s="24"/>
      <c r="P26" s="24"/>
      <c r="Q26" s="24"/>
      <c r="R26" s="43"/>
      <c r="S26" s="24">
        <v>1000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36"/>
      <c r="AG26" s="36"/>
      <c r="AH26" s="36"/>
      <c r="AI26" s="36"/>
    </row>
    <row r="27" s="1" customFormat="1" customHeight="1" spans="1:35">
      <c r="A27" s="17">
        <v>24</v>
      </c>
      <c r="B27" s="20">
        <v>46113</v>
      </c>
      <c r="C27" s="21" t="s">
        <v>65</v>
      </c>
      <c r="D27" s="22" t="str" cm="1">
        <f t="array" ref="D27">INDEX([1]Sheet2!A:A,MATCH(E27,[1]Sheet2!B:B,0))</f>
        <v>陆谢</v>
      </c>
      <c r="E27" s="23" t="s">
        <v>92</v>
      </c>
      <c r="F27" s="24">
        <f t="shared" si="1"/>
        <v>5300</v>
      </c>
      <c r="G27" s="24" t="s">
        <v>77</v>
      </c>
      <c r="H27" s="25"/>
      <c r="I27" s="25"/>
      <c r="J27" s="24"/>
      <c r="K27" s="24"/>
      <c r="L27" s="24"/>
      <c r="M27" s="24"/>
      <c r="N27" s="24"/>
      <c r="O27" s="24"/>
      <c r="P27" s="24"/>
      <c r="Q27" s="24"/>
      <c r="R27" s="43"/>
      <c r="S27" s="24">
        <v>5300</v>
      </c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36"/>
      <c r="AG27" s="36"/>
      <c r="AH27" s="36"/>
      <c r="AI27" s="36"/>
    </row>
    <row r="28" s="1" customFormat="1" customHeight="1" spans="1:35">
      <c r="A28" s="17">
        <v>25</v>
      </c>
      <c r="B28" s="20">
        <v>46113</v>
      </c>
      <c r="C28" s="21" t="s">
        <v>93</v>
      </c>
      <c r="D28" s="22" t="str" cm="1">
        <f t="array" ref="D28">INDEX([1]Sheet2!A:A,MATCH(E28,[1]Sheet2!B:B,0))</f>
        <v>陆谢</v>
      </c>
      <c r="E28" s="23" t="s">
        <v>94</v>
      </c>
      <c r="F28" s="24">
        <f t="shared" si="1"/>
        <v>4700</v>
      </c>
      <c r="G28" s="24" t="s">
        <v>77</v>
      </c>
      <c r="H28" s="25"/>
      <c r="I28" s="25"/>
      <c r="J28" s="24"/>
      <c r="K28" s="24"/>
      <c r="L28" s="24"/>
      <c r="M28" s="24"/>
      <c r="N28" s="24"/>
      <c r="O28" s="24"/>
      <c r="P28" s="24"/>
      <c r="Q28" s="24"/>
      <c r="R28" s="43"/>
      <c r="S28" s="24">
        <v>4700</v>
      </c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36"/>
      <c r="AG28" s="36"/>
      <c r="AH28" s="36"/>
      <c r="AI28" s="36"/>
    </row>
    <row r="29" s="1" customFormat="1" customHeight="1" spans="1:35">
      <c r="A29" s="17">
        <v>26</v>
      </c>
      <c r="B29" s="20">
        <v>46113</v>
      </c>
      <c r="C29" s="21" t="s">
        <v>95</v>
      </c>
      <c r="D29" s="22" t="str" cm="1">
        <f t="array" ref="D29">INDEX([1]Sheet2!A:A,MATCH(E29,[1]Sheet2!B:B,0))</f>
        <v>周建华</v>
      </c>
      <c r="E29" s="23" t="s">
        <v>96</v>
      </c>
      <c r="F29" s="24">
        <f t="shared" si="1"/>
        <v>300</v>
      </c>
      <c r="G29" s="24" t="s">
        <v>77</v>
      </c>
      <c r="H29" s="25"/>
      <c r="I29" s="25"/>
      <c r="J29" s="24"/>
      <c r="K29" s="24"/>
      <c r="L29" s="24"/>
      <c r="M29" s="24"/>
      <c r="N29" s="24"/>
      <c r="O29" s="24"/>
      <c r="P29" s="24"/>
      <c r="Q29" s="24"/>
      <c r="R29" s="43"/>
      <c r="S29" s="24">
        <v>300</v>
      </c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36"/>
      <c r="AG29" s="36"/>
      <c r="AH29" s="36"/>
      <c r="AI29" s="36"/>
    </row>
    <row r="30" s="1" customFormat="1" customHeight="1" spans="1:35">
      <c r="A30" s="17">
        <v>27</v>
      </c>
      <c r="B30" s="20">
        <v>46113</v>
      </c>
      <c r="C30" s="21" t="s">
        <v>97</v>
      </c>
      <c r="D30" s="22" t="str" cm="1">
        <f t="array" ref="D30">INDEX([1]Sheet2!A:A,MATCH(E30,[1]Sheet2!B:B,0))</f>
        <v>黎合</v>
      </c>
      <c r="E30" s="23" t="s">
        <v>98</v>
      </c>
      <c r="F30" s="24">
        <f t="shared" si="1"/>
        <v>20</v>
      </c>
      <c r="G30" s="24" t="s">
        <v>77</v>
      </c>
      <c r="H30" s="36"/>
      <c r="I30" s="36"/>
      <c r="J30" s="24"/>
      <c r="K30" s="24"/>
      <c r="L30" s="24"/>
      <c r="M30" s="24"/>
      <c r="N30" s="24"/>
      <c r="O30" s="24"/>
      <c r="P30" s="24"/>
      <c r="Q30" s="24"/>
      <c r="R30" s="43"/>
      <c r="S30" s="24">
        <v>20</v>
      </c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36"/>
      <c r="AG30" s="36"/>
      <c r="AH30" s="36"/>
      <c r="AI30" s="36"/>
    </row>
    <row r="31" s="1" customFormat="1" customHeight="1" spans="1:35">
      <c r="A31" s="17">
        <v>28</v>
      </c>
      <c r="B31" s="20">
        <v>46113</v>
      </c>
      <c r="C31" s="21" t="s">
        <v>24</v>
      </c>
      <c r="D31" s="22" t="str" cm="1">
        <f t="array" ref="D31">INDEX([1]Sheet2!A:A,MATCH(E31,[1]Sheet2!B:B,0))</f>
        <v>临时</v>
      </c>
      <c r="E31" s="23" t="s">
        <v>99</v>
      </c>
      <c r="F31" s="24">
        <f t="shared" si="1"/>
        <v>558</v>
      </c>
      <c r="G31" s="24" t="s">
        <v>100</v>
      </c>
      <c r="H31" s="36"/>
      <c r="I31" s="36"/>
      <c r="J31" s="24"/>
      <c r="K31" s="24"/>
      <c r="L31" s="24"/>
      <c r="M31" s="24"/>
      <c r="N31" s="24"/>
      <c r="O31" s="24"/>
      <c r="P31" s="24"/>
      <c r="Q31" s="24"/>
      <c r="R31" s="43"/>
      <c r="S31" s="24"/>
      <c r="T31" s="24"/>
      <c r="U31" s="24"/>
      <c r="V31" s="24"/>
      <c r="W31" s="24">
        <v>558</v>
      </c>
      <c r="X31" s="24"/>
      <c r="Y31" s="24"/>
      <c r="Z31" s="24"/>
      <c r="AA31" s="24"/>
      <c r="AB31" s="24"/>
      <c r="AC31" s="24"/>
      <c r="AD31" s="24"/>
      <c r="AE31" s="24"/>
      <c r="AF31" s="36"/>
      <c r="AG31" s="36"/>
      <c r="AH31" s="36"/>
      <c r="AI31" s="36"/>
    </row>
    <row r="32" s="1" customFormat="1" customHeight="1" spans="1:35">
      <c r="A32" s="17">
        <v>29</v>
      </c>
      <c r="B32" s="20">
        <v>46114</v>
      </c>
      <c r="C32" s="21" t="s">
        <v>101</v>
      </c>
      <c r="D32" s="22" t="str" cm="1">
        <f t="array" ref="D32">INDEX([1]Sheet2!A:A,MATCH(E32,[1]Sheet2!B:B,0))</f>
        <v>毛丽</v>
      </c>
      <c r="E32" s="23" t="s">
        <v>102</v>
      </c>
      <c r="F32" s="24">
        <f t="shared" si="1"/>
        <v>3000</v>
      </c>
      <c r="G32" s="24" t="s">
        <v>40</v>
      </c>
      <c r="H32" s="36"/>
      <c r="I32" s="36"/>
      <c r="J32" s="24"/>
      <c r="K32" s="24"/>
      <c r="L32" s="24"/>
      <c r="M32" s="24"/>
      <c r="N32" s="24"/>
      <c r="O32" s="24"/>
      <c r="P32" s="24"/>
      <c r="Q32" s="24"/>
      <c r="R32" s="43"/>
      <c r="S32" s="24">
        <v>3000</v>
      </c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36"/>
      <c r="AG32" s="36"/>
      <c r="AH32" s="36"/>
      <c r="AI32" s="36"/>
    </row>
    <row r="33" s="1" customFormat="1" customHeight="1" spans="1:35">
      <c r="A33" s="17">
        <v>30</v>
      </c>
      <c r="B33" s="20">
        <v>46114</v>
      </c>
      <c r="C33" s="21" t="s">
        <v>103</v>
      </c>
      <c r="D33" s="22" t="str" cm="1">
        <f t="array" ref="D33">INDEX([1]Sheet2!A:A,MATCH(E33,[1]Sheet2!B:B,0))</f>
        <v>衡阳市蒸湘区润福榕服饰有限公司</v>
      </c>
      <c r="E33" s="23" t="s">
        <v>104</v>
      </c>
      <c r="F33" s="24">
        <f t="shared" si="1"/>
        <v>6000</v>
      </c>
      <c r="G33" s="24" t="s">
        <v>40</v>
      </c>
      <c r="H33" s="36"/>
      <c r="I33" s="36"/>
      <c r="J33" s="24"/>
      <c r="K33" s="24"/>
      <c r="L33" s="24"/>
      <c r="M33" s="24"/>
      <c r="N33" s="24"/>
      <c r="O33" s="24"/>
      <c r="P33" s="24"/>
      <c r="Q33" s="24"/>
      <c r="R33" s="43"/>
      <c r="S33" s="24">
        <v>6000</v>
      </c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36"/>
      <c r="AG33" s="36"/>
      <c r="AH33" s="36"/>
      <c r="AI33" s="36"/>
    </row>
    <row r="34" s="1" customFormat="1" customHeight="1" spans="1:35">
      <c r="A34" s="17">
        <v>31</v>
      </c>
      <c r="B34" s="20">
        <v>46114</v>
      </c>
      <c r="C34" s="21" t="s">
        <v>24</v>
      </c>
      <c r="D34" s="22" t="str" cm="1">
        <f t="array" ref="D34">INDEX([1]Sheet2!A:A,MATCH(E34,[1]Sheet2!B:B,0))</f>
        <v>充值</v>
      </c>
      <c r="E34" s="23" t="s">
        <v>72</v>
      </c>
      <c r="F34" s="24">
        <f t="shared" si="1"/>
        <v>300</v>
      </c>
      <c r="G34" s="24" t="s">
        <v>49</v>
      </c>
      <c r="H34" s="25"/>
      <c r="I34" s="25"/>
      <c r="J34" s="24"/>
      <c r="K34" s="24"/>
      <c r="L34" s="24"/>
      <c r="M34" s="24"/>
      <c r="N34" s="24"/>
      <c r="O34" s="24"/>
      <c r="P34" s="24"/>
      <c r="Q34" s="24"/>
      <c r="R34" s="43"/>
      <c r="S34" s="24"/>
      <c r="T34" s="24"/>
      <c r="U34" s="24"/>
      <c r="V34" s="24"/>
      <c r="W34" s="24">
        <v>300</v>
      </c>
      <c r="X34" s="24"/>
      <c r="Y34" s="24"/>
      <c r="Z34" s="24"/>
      <c r="AA34" s="24"/>
      <c r="AB34" s="24"/>
      <c r="AC34" s="24"/>
      <c r="AD34" s="24"/>
      <c r="AE34" s="24"/>
      <c r="AF34" s="36"/>
      <c r="AG34" s="36"/>
      <c r="AH34" s="36"/>
      <c r="AI34" s="36"/>
    </row>
    <row r="35" s="1" customFormat="1" customHeight="1" spans="1:35">
      <c r="A35" s="17">
        <v>32</v>
      </c>
      <c r="B35" s="20">
        <v>46114</v>
      </c>
      <c r="C35" s="21" t="s">
        <v>105</v>
      </c>
      <c r="D35" s="22" t="str" cm="1">
        <f t="array" ref="D35">INDEX([1]Sheet2!A:A,MATCH(E35,[1]Sheet2!B:B,0))</f>
        <v>莫德明</v>
      </c>
      <c r="E35" s="23" t="s">
        <v>106</v>
      </c>
      <c r="F35" s="24">
        <f t="shared" si="1"/>
        <v>1000</v>
      </c>
      <c r="G35" s="24" t="s">
        <v>49</v>
      </c>
      <c r="H35" s="25">
        <v>45992</v>
      </c>
      <c r="I35" s="25">
        <v>46081</v>
      </c>
      <c r="J35" s="24"/>
      <c r="K35" s="24"/>
      <c r="L35" s="24"/>
      <c r="M35" s="24"/>
      <c r="N35" s="24"/>
      <c r="O35" s="24"/>
      <c r="P35" s="24"/>
      <c r="Q35" s="24">
        <v>1000</v>
      </c>
      <c r="R35" s="43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36"/>
      <c r="AG35" s="36"/>
      <c r="AH35" s="36"/>
      <c r="AI35" s="36"/>
    </row>
    <row r="36" s="1" customFormat="1" customHeight="1" spans="1:35">
      <c r="A36" s="17">
        <v>33</v>
      </c>
      <c r="B36" s="20">
        <v>46114</v>
      </c>
      <c r="C36" s="21" t="s">
        <v>105</v>
      </c>
      <c r="D36" s="22" t="str" cm="1">
        <f t="array" ref="D36">INDEX([1]Sheet2!A:A,MATCH(E36,[1]Sheet2!B:B,0))</f>
        <v>莫德明</v>
      </c>
      <c r="E36" s="23" t="s">
        <v>106</v>
      </c>
      <c r="F36" s="24">
        <f t="shared" si="1"/>
        <v>300</v>
      </c>
      <c r="G36" s="24" t="s">
        <v>49</v>
      </c>
      <c r="H36" s="25"/>
      <c r="I36" s="25"/>
      <c r="J36" s="24"/>
      <c r="K36" s="24"/>
      <c r="L36" s="24"/>
      <c r="M36" s="24"/>
      <c r="N36" s="24"/>
      <c r="O36" s="24"/>
      <c r="P36" s="24"/>
      <c r="Q36" s="24"/>
      <c r="R36" s="43"/>
      <c r="S36" s="24">
        <v>300</v>
      </c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36"/>
      <c r="AG36" s="36"/>
      <c r="AH36" s="36"/>
      <c r="AI36" s="36"/>
    </row>
    <row r="37" s="1" customFormat="1" customHeight="1" spans="1:35">
      <c r="A37" s="17">
        <v>34</v>
      </c>
      <c r="B37" s="20">
        <v>46114</v>
      </c>
      <c r="C37" s="21" t="s">
        <v>73</v>
      </c>
      <c r="D37" s="22" t="str" cm="1">
        <f t="array" ref="D37">INDEX([1]Sheet2!A:A,MATCH(E37,[1]Sheet2!B:B,0))</f>
        <v>衡阳志扬体育文化有限公司</v>
      </c>
      <c r="E37" s="23" t="s">
        <v>74</v>
      </c>
      <c r="F37" s="24">
        <f t="shared" si="1"/>
        <v>1291</v>
      </c>
      <c r="G37" s="24" t="s">
        <v>49</v>
      </c>
      <c r="H37" s="25"/>
      <c r="I37" s="25"/>
      <c r="J37" s="24"/>
      <c r="K37" s="24"/>
      <c r="L37" s="24"/>
      <c r="M37" s="24"/>
      <c r="N37" s="24"/>
      <c r="O37" s="24"/>
      <c r="P37" s="24"/>
      <c r="Q37" s="24"/>
      <c r="R37" s="43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>
        <v>1291</v>
      </c>
      <c r="AF37" s="36"/>
      <c r="AG37" s="36"/>
      <c r="AH37" s="36"/>
      <c r="AI37" s="36"/>
    </row>
    <row r="38" s="1" customFormat="1" customHeight="1" spans="1:35">
      <c r="A38" s="17">
        <v>35</v>
      </c>
      <c r="B38" s="20">
        <v>46114</v>
      </c>
      <c r="C38" s="21" t="s">
        <v>107</v>
      </c>
      <c r="D38" s="22" t="str" cm="1">
        <f t="array" ref="D38">INDEX([1]Sheet2!A:A,MATCH(E38,[1]Sheet2!B:B,0))</f>
        <v>陈捷</v>
      </c>
      <c r="E38" s="23" t="s">
        <v>108</v>
      </c>
      <c r="F38" s="24">
        <f t="shared" si="1"/>
        <v>200</v>
      </c>
      <c r="G38" s="24" t="s">
        <v>77</v>
      </c>
      <c r="H38" s="25"/>
      <c r="I38" s="25"/>
      <c r="J38" s="24"/>
      <c r="K38" s="24"/>
      <c r="L38" s="24"/>
      <c r="M38" s="24"/>
      <c r="N38" s="24"/>
      <c r="O38" s="24"/>
      <c r="P38" s="24"/>
      <c r="Q38" s="24"/>
      <c r="R38" s="43"/>
      <c r="S38" s="24">
        <v>200</v>
      </c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36"/>
      <c r="AG38" s="36"/>
      <c r="AH38" s="36"/>
      <c r="AI38" s="36"/>
    </row>
    <row r="39" s="1" customFormat="1" customHeight="1" spans="1:35">
      <c r="A39" s="17">
        <v>36</v>
      </c>
      <c r="B39" s="20">
        <v>46114</v>
      </c>
      <c r="C39" s="21" t="s">
        <v>109</v>
      </c>
      <c r="D39" s="22" t="str" cm="1">
        <f t="array" ref="D39">INDEX([1]Sheet2!A:A,MATCH(E39,[1]Sheet2!B:B,0))</f>
        <v>杨美丽</v>
      </c>
      <c r="E39" s="23" t="s">
        <v>110</v>
      </c>
      <c r="F39" s="24">
        <f t="shared" si="1"/>
        <v>500</v>
      </c>
      <c r="G39" s="24" t="s">
        <v>77</v>
      </c>
      <c r="H39" s="25"/>
      <c r="I39" s="25"/>
      <c r="J39" s="24"/>
      <c r="K39" s="24"/>
      <c r="L39" s="24"/>
      <c r="M39" s="24"/>
      <c r="N39" s="24"/>
      <c r="O39" s="24"/>
      <c r="P39" s="24"/>
      <c r="Q39" s="24"/>
      <c r="R39" s="43"/>
      <c r="S39" s="24">
        <v>500</v>
      </c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36"/>
      <c r="AG39" s="36"/>
      <c r="AH39" s="36"/>
      <c r="AI39" s="36"/>
    </row>
    <row r="40" s="1" customFormat="1" customHeight="1" spans="1:35">
      <c r="A40" s="17">
        <v>37</v>
      </c>
      <c r="B40" s="20">
        <v>46114</v>
      </c>
      <c r="C40" s="21" t="s">
        <v>111</v>
      </c>
      <c r="D40" s="22" t="str" cm="1">
        <f t="array" ref="D40">INDEX([1]Sheet2!A:A,MATCH(E40,[1]Sheet2!B:B,0))</f>
        <v>邹德峰</v>
      </c>
      <c r="E40" s="23" t="s">
        <v>112</v>
      </c>
      <c r="F40" s="24">
        <f t="shared" si="1"/>
        <v>2000</v>
      </c>
      <c r="G40" s="24" t="s">
        <v>77</v>
      </c>
      <c r="H40" s="25"/>
      <c r="I40" s="25"/>
      <c r="J40" s="24"/>
      <c r="K40" s="24"/>
      <c r="L40" s="24"/>
      <c r="M40" s="24"/>
      <c r="N40" s="24"/>
      <c r="O40" s="24"/>
      <c r="P40" s="24"/>
      <c r="Q40" s="24"/>
      <c r="R40" s="43"/>
      <c r="S40" s="24">
        <v>2000</v>
      </c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36"/>
      <c r="AG40" s="36"/>
      <c r="AH40" s="36"/>
      <c r="AI40" s="36"/>
    </row>
    <row r="41" s="1" customFormat="1" customHeight="1" spans="1:35">
      <c r="A41" s="17">
        <v>38</v>
      </c>
      <c r="B41" s="20">
        <v>46114</v>
      </c>
      <c r="C41" s="21" t="s">
        <v>113</v>
      </c>
      <c r="D41" s="22" t="str" cm="1">
        <f t="array" ref="D41">INDEX([1]Sheet2!A:A,MATCH(E41,[1]Sheet2!B:B,0))</f>
        <v>湖南亮点体育文化发展有限公司</v>
      </c>
      <c r="E41" s="23" t="s">
        <v>114</v>
      </c>
      <c r="F41" s="24">
        <f t="shared" si="1"/>
        <v>200</v>
      </c>
      <c r="G41" s="24" t="s">
        <v>77</v>
      </c>
      <c r="H41" s="25"/>
      <c r="I41" s="25"/>
      <c r="J41" s="24"/>
      <c r="K41" s="24"/>
      <c r="L41" s="24"/>
      <c r="M41" s="24"/>
      <c r="N41" s="24"/>
      <c r="O41" s="24"/>
      <c r="P41" s="24"/>
      <c r="Q41" s="24"/>
      <c r="R41" s="43"/>
      <c r="S41" s="24">
        <v>200</v>
      </c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36"/>
      <c r="AG41" s="36"/>
      <c r="AH41" s="36"/>
      <c r="AI41" s="36"/>
    </row>
    <row r="42" s="1" customFormat="1" customHeight="1" spans="1:35">
      <c r="A42" s="17">
        <v>39</v>
      </c>
      <c r="B42" s="20">
        <v>46114</v>
      </c>
      <c r="C42" s="21" t="s">
        <v>115</v>
      </c>
      <c r="D42" s="22" t="str" cm="1">
        <f t="array" ref="D42">INDEX([1]Sheet2!A:A,MATCH(E42,[1]Sheet2!B:B,0))</f>
        <v>湖南亮点体育文化发展有限公司</v>
      </c>
      <c r="E42" s="23" t="s">
        <v>116</v>
      </c>
      <c r="F42" s="24">
        <f t="shared" si="1"/>
        <v>200</v>
      </c>
      <c r="G42" s="24" t="s">
        <v>77</v>
      </c>
      <c r="H42" s="25"/>
      <c r="I42" s="25"/>
      <c r="J42" s="24"/>
      <c r="K42" s="24"/>
      <c r="L42" s="24"/>
      <c r="M42" s="24"/>
      <c r="N42" s="24"/>
      <c r="O42" s="24"/>
      <c r="P42" s="24"/>
      <c r="Q42" s="24"/>
      <c r="R42" s="43"/>
      <c r="S42" s="24">
        <v>200</v>
      </c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36"/>
      <c r="AG42" s="36"/>
      <c r="AH42" s="36"/>
      <c r="AI42" s="36"/>
    </row>
    <row r="43" s="1" customFormat="1" customHeight="1" spans="1:35">
      <c r="A43" s="17">
        <v>40</v>
      </c>
      <c r="B43" s="20">
        <v>46114</v>
      </c>
      <c r="C43" s="21" t="s">
        <v>117</v>
      </c>
      <c r="D43" s="22" t="str" cm="1">
        <f t="array" ref="D43">INDEX([1]Sheet2!A:A,MATCH(E43,[1]Sheet2!B:B,0))</f>
        <v>湖南亮点体育文化发展有限公司</v>
      </c>
      <c r="E43" s="23" t="s">
        <v>118</v>
      </c>
      <c r="F43" s="24">
        <f t="shared" si="1"/>
        <v>100</v>
      </c>
      <c r="G43" s="24" t="s">
        <v>77</v>
      </c>
      <c r="H43" s="25"/>
      <c r="I43" s="25"/>
      <c r="J43" s="24"/>
      <c r="K43" s="24"/>
      <c r="L43" s="24"/>
      <c r="M43" s="24"/>
      <c r="N43" s="24"/>
      <c r="O43" s="24"/>
      <c r="P43" s="24"/>
      <c r="Q43" s="24"/>
      <c r="R43" s="43"/>
      <c r="S43" s="24">
        <v>100</v>
      </c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36"/>
      <c r="AG43" s="36"/>
      <c r="AH43" s="36"/>
      <c r="AI43" s="36"/>
    </row>
    <row r="44" s="1" customFormat="1" customHeight="1" spans="1:35">
      <c r="A44" s="17">
        <v>41</v>
      </c>
      <c r="B44" s="20">
        <v>46114</v>
      </c>
      <c r="C44" s="21" t="s">
        <v>119</v>
      </c>
      <c r="D44" s="22" t="str" cm="1">
        <f t="array" ref="D44">INDEX([1]Sheet2!A:A,MATCH(E44,[1]Sheet2!B:B,0))</f>
        <v>湖南亮点体育文化发展有限公司</v>
      </c>
      <c r="E44" s="23" t="s">
        <v>120</v>
      </c>
      <c r="F44" s="24">
        <f t="shared" si="1"/>
        <v>300</v>
      </c>
      <c r="G44" s="24" t="s">
        <v>77</v>
      </c>
      <c r="H44" s="25"/>
      <c r="I44" s="25"/>
      <c r="J44" s="24"/>
      <c r="K44" s="24"/>
      <c r="L44" s="24"/>
      <c r="M44" s="24"/>
      <c r="N44" s="24"/>
      <c r="O44" s="24"/>
      <c r="P44" s="24"/>
      <c r="Q44" s="24"/>
      <c r="R44" s="43"/>
      <c r="S44" s="24">
        <v>300</v>
      </c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36"/>
      <c r="AG44" s="36"/>
      <c r="AH44" s="36"/>
      <c r="AI44" s="36"/>
    </row>
    <row r="45" s="1" customFormat="1" customHeight="1" spans="1:35">
      <c r="A45" s="17">
        <v>42</v>
      </c>
      <c r="B45" s="20">
        <v>46114</v>
      </c>
      <c r="C45" s="21" t="s">
        <v>121</v>
      </c>
      <c r="D45" s="22" t="str" cm="1">
        <f t="array" ref="D45">INDEX([1]Sheet2!A:A,MATCH(E45,[1]Sheet2!B:B,0))</f>
        <v>湖南亮点体育文化发展有限公司</v>
      </c>
      <c r="E45" s="23" t="s">
        <v>122</v>
      </c>
      <c r="F45" s="24">
        <f t="shared" si="1"/>
        <v>100</v>
      </c>
      <c r="G45" s="24" t="s">
        <v>77</v>
      </c>
      <c r="H45" s="25"/>
      <c r="I45" s="25"/>
      <c r="J45" s="24"/>
      <c r="K45" s="24"/>
      <c r="L45" s="24"/>
      <c r="M45" s="24"/>
      <c r="N45" s="24"/>
      <c r="O45" s="24"/>
      <c r="P45" s="24"/>
      <c r="Q45" s="24"/>
      <c r="R45" s="43"/>
      <c r="S45" s="24">
        <v>100</v>
      </c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36"/>
      <c r="AG45" s="36"/>
      <c r="AH45" s="36"/>
      <c r="AI45" s="36"/>
    </row>
    <row r="46" s="1" customFormat="1" customHeight="1" spans="1:35">
      <c r="A46" s="17">
        <v>43</v>
      </c>
      <c r="B46" s="20">
        <v>46114</v>
      </c>
      <c r="C46" s="21" t="s">
        <v>78</v>
      </c>
      <c r="D46" s="22" t="str" cm="1">
        <f t="array" ref="D46">INDEX([1]Sheet2!A:A,MATCH(E46,[1]Sheet2!B:B,0))</f>
        <v>湖南亮点体育文化发展有限公司</v>
      </c>
      <c r="E46" s="23" t="s">
        <v>123</v>
      </c>
      <c r="F46" s="24">
        <f t="shared" si="1"/>
        <v>100</v>
      </c>
      <c r="G46" s="24" t="s">
        <v>77</v>
      </c>
      <c r="H46" s="25"/>
      <c r="I46" s="25"/>
      <c r="J46" s="24"/>
      <c r="K46" s="24"/>
      <c r="L46" s="24"/>
      <c r="M46" s="24"/>
      <c r="N46" s="24"/>
      <c r="O46" s="24"/>
      <c r="P46" s="24"/>
      <c r="Q46" s="24"/>
      <c r="R46" s="43"/>
      <c r="S46" s="24">
        <v>100</v>
      </c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36"/>
      <c r="AG46" s="36"/>
      <c r="AH46" s="36"/>
      <c r="AI46" s="36"/>
    </row>
    <row r="47" s="1" customFormat="1" customHeight="1" spans="1:35">
      <c r="A47" s="17">
        <v>44</v>
      </c>
      <c r="B47" s="20">
        <v>46114</v>
      </c>
      <c r="C47" s="21" t="s">
        <v>124</v>
      </c>
      <c r="D47" s="22" t="str" cm="1">
        <f t="array" ref="D47">INDEX([1]Sheet2!A:A,MATCH(E47,[1]Sheet2!B:B,0))</f>
        <v>王冬林</v>
      </c>
      <c r="E47" s="23" t="s">
        <v>125</v>
      </c>
      <c r="F47" s="24">
        <f t="shared" si="1"/>
        <v>500</v>
      </c>
      <c r="G47" s="24" t="s">
        <v>77</v>
      </c>
      <c r="H47" s="25"/>
      <c r="I47" s="25"/>
      <c r="J47" s="24"/>
      <c r="K47" s="24"/>
      <c r="L47" s="24"/>
      <c r="M47" s="24"/>
      <c r="N47" s="24"/>
      <c r="O47" s="24"/>
      <c r="P47" s="24"/>
      <c r="Q47" s="24"/>
      <c r="R47" s="43"/>
      <c r="S47" s="24">
        <v>500</v>
      </c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36"/>
      <c r="AG47" s="36"/>
      <c r="AH47" s="36"/>
      <c r="AI47" s="36"/>
    </row>
    <row r="48" s="1" customFormat="1" customHeight="1" spans="1:35">
      <c r="A48" s="17">
        <v>45</v>
      </c>
      <c r="B48" s="20">
        <v>46114</v>
      </c>
      <c r="C48" s="21" t="s">
        <v>105</v>
      </c>
      <c r="D48" s="22" t="str" cm="1">
        <f t="array" ref="D48">INDEX([1]Sheet2!A:A,MATCH(E48,[1]Sheet2!B:B,0))</f>
        <v>莫德明</v>
      </c>
      <c r="E48" s="23" t="s">
        <v>126</v>
      </c>
      <c r="F48" s="24">
        <f t="shared" si="1"/>
        <v>500</v>
      </c>
      <c r="G48" s="24" t="s">
        <v>77</v>
      </c>
      <c r="H48" s="25"/>
      <c r="I48" s="25"/>
      <c r="J48" s="24"/>
      <c r="K48" s="24"/>
      <c r="L48" s="24"/>
      <c r="M48" s="24"/>
      <c r="N48" s="24"/>
      <c r="O48" s="24"/>
      <c r="P48" s="24"/>
      <c r="Q48" s="24"/>
      <c r="R48" s="43"/>
      <c r="S48" s="24">
        <v>500</v>
      </c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36"/>
      <c r="AG48" s="36"/>
      <c r="AH48" s="36"/>
      <c r="AI48" s="36"/>
    </row>
    <row r="49" s="1" customFormat="1" customHeight="1" spans="1:35">
      <c r="A49" s="17">
        <v>46</v>
      </c>
      <c r="B49" s="20">
        <v>46114</v>
      </c>
      <c r="C49" s="21" t="s">
        <v>84</v>
      </c>
      <c r="D49" s="22" t="str" cm="1">
        <f t="array" ref="D49">INDEX([1]Sheet2!A:A,MATCH(E49,[1]Sheet2!B:B,0))</f>
        <v>莫靖凡</v>
      </c>
      <c r="E49" s="23" t="s">
        <v>85</v>
      </c>
      <c r="F49" s="24">
        <f t="shared" si="1"/>
        <v>50</v>
      </c>
      <c r="G49" s="24" t="s">
        <v>77</v>
      </c>
      <c r="H49" s="25"/>
      <c r="I49" s="25"/>
      <c r="J49" s="24"/>
      <c r="K49" s="24"/>
      <c r="L49" s="24"/>
      <c r="M49" s="24"/>
      <c r="N49" s="24"/>
      <c r="O49" s="24"/>
      <c r="P49" s="24"/>
      <c r="Q49" s="24"/>
      <c r="R49" s="43"/>
      <c r="S49" s="24">
        <v>50</v>
      </c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36"/>
      <c r="AG49" s="36"/>
      <c r="AH49" s="36"/>
      <c r="AI49" s="36"/>
    </row>
    <row r="50" s="1" customFormat="1" customHeight="1" spans="1:35">
      <c r="A50" s="17">
        <v>47</v>
      </c>
      <c r="B50" s="20">
        <v>46114</v>
      </c>
      <c r="C50" s="21" t="s">
        <v>127</v>
      </c>
      <c r="D50" s="22" t="str" cm="1">
        <f t="array" ref="D50">INDEX([1]Sheet2!A:A,MATCH(E50,[1]Sheet2!B:B,0))</f>
        <v>邹文超</v>
      </c>
      <c r="E50" s="23" t="s">
        <v>128</v>
      </c>
      <c r="F50" s="24">
        <f t="shared" si="1"/>
        <v>500</v>
      </c>
      <c r="G50" s="24" t="s">
        <v>77</v>
      </c>
      <c r="H50" s="25"/>
      <c r="I50" s="25"/>
      <c r="J50" s="24"/>
      <c r="K50" s="24"/>
      <c r="L50" s="24"/>
      <c r="M50" s="24"/>
      <c r="N50" s="24"/>
      <c r="O50" s="24"/>
      <c r="P50" s="24"/>
      <c r="Q50" s="24"/>
      <c r="R50" s="43"/>
      <c r="S50" s="24">
        <v>500</v>
      </c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36"/>
      <c r="AG50" s="36"/>
      <c r="AH50" s="36"/>
      <c r="AI50" s="36"/>
    </row>
    <row r="51" s="1" customFormat="1" customHeight="1" spans="1:35">
      <c r="A51" s="17">
        <v>48</v>
      </c>
      <c r="B51" s="20">
        <v>46114</v>
      </c>
      <c r="C51" s="21" t="s">
        <v>129</v>
      </c>
      <c r="D51" s="22" t="str" cm="1">
        <f t="array" ref="D51">INDEX([1]Sheet2!A:A,MATCH(E51,[1]Sheet2!B:B,0))</f>
        <v>张成菊</v>
      </c>
      <c r="E51" s="23" t="s">
        <v>130</v>
      </c>
      <c r="F51" s="24">
        <f t="shared" si="1"/>
        <v>1000</v>
      </c>
      <c r="G51" s="24" t="s">
        <v>77</v>
      </c>
      <c r="H51" s="25"/>
      <c r="I51" s="25"/>
      <c r="J51" s="24"/>
      <c r="K51" s="24"/>
      <c r="L51" s="24"/>
      <c r="M51" s="24"/>
      <c r="N51" s="24"/>
      <c r="O51" s="24"/>
      <c r="P51" s="24"/>
      <c r="Q51" s="24"/>
      <c r="R51" s="43"/>
      <c r="S51" s="24">
        <v>1000</v>
      </c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36"/>
      <c r="AG51" s="36"/>
      <c r="AH51" s="36"/>
      <c r="AI51" s="36"/>
    </row>
    <row r="52" s="1" customFormat="1" customHeight="1" spans="1:35">
      <c r="A52" s="17">
        <v>49</v>
      </c>
      <c r="B52" s="20">
        <v>46114</v>
      </c>
      <c r="C52" s="21" t="s">
        <v>131</v>
      </c>
      <c r="D52" s="22" t="str" cm="1">
        <f t="array" ref="D52">INDEX([1]Sheet2!A:A,MATCH(E52,[1]Sheet2!B:B,0))</f>
        <v>刘宏</v>
      </c>
      <c r="E52" s="23" t="s">
        <v>132</v>
      </c>
      <c r="F52" s="24">
        <f t="shared" si="1"/>
        <v>200</v>
      </c>
      <c r="G52" s="24" t="s">
        <v>77</v>
      </c>
      <c r="H52" s="25"/>
      <c r="I52" s="25"/>
      <c r="J52" s="24"/>
      <c r="K52" s="24"/>
      <c r="L52" s="24"/>
      <c r="M52" s="24"/>
      <c r="N52" s="24"/>
      <c r="O52" s="24"/>
      <c r="P52" s="24"/>
      <c r="Q52" s="24"/>
      <c r="R52" s="43"/>
      <c r="S52" s="24">
        <v>200</v>
      </c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36"/>
      <c r="AG52" s="36"/>
      <c r="AH52" s="36"/>
      <c r="AI52" s="36"/>
    </row>
    <row r="53" s="1" customFormat="1" customHeight="1" spans="1:35">
      <c r="A53" s="17">
        <v>50</v>
      </c>
      <c r="B53" s="20">
        <v>46114</v>
      </c>
      <c r="C53" s="21" t="s">
        <v>133</v>
      </c>
      <c r="D53" s="22" t="str" cm="1">
        <f t="array" ref="D53">INDEX([1]Sheet2!A:A,MATCH(E53,[1]Sheet2!B:B,0))</f>
        <v>杨杰</v>
      </c>
      <c r="E53" s="23" t="s">
        <v>134</v>
      </c>
      <c r="F53" s="24">
        <f t="shared" si="1"/>
        <v>100</v>
      </c>
      <c r="G53" s="24" t="s">
        <v>77</v>
      </c>
      <c r="H53" s="36"/>
      <c r="I53" s="36"/>
      <c r="J53" s="24"/>
      <c r="K53" s="24"/>
      <c r="L53" s="24"/>
      <c r="M53" s="24"/>
      <c r="N53" s="24"/>
      <c r="O53" s="24"/>
      <c r="P53" s="24"/>
      <c r="Q53" s="24"/>
      <c r="R53" s="43"/>
      <c r="S53" s="24">
        <v>100</v>
      </c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36"/>
      <c r="AG53" s="36"/>
      <c r="AH53" s="36"/>
      <c r="AI53" s="36"/>
    </row>
    <row r="54" s="1" customFormat="1" ht="25" customHeight="1" spans="1:35">
      <c r="A54" s="17">
        <v>51</v>
      </c>
      <c r="B54" s="20">
        <v>46114</v>
      </c>
      <c r="C54" s="21" t="s">
        <v>135</v>
      </c>
      <c r="D54" s="22" t="str" cm="1">
        <f t="array" ref="D54">INDEX([1]Sheet2!A:A,MATCH(E54,[1]Sheet2!B:B,0))</f>
        <v>周军伟</v>
      </c>
      <c r="E54" s="23" t="s">
        <v>136</v>
      </c>
      <c r="F54" s="24">
        <f t="shared" si="1"/>
        <v>30</v>
      </c>
      <c r="G54" s="24" t="s">
        <v>77</v>
      </c>
      <c r="H54" s="25"/>
      <c r="I54" s="25"/>
      <c r="J54" s="24"/>
      <c r="K54" s="24"/>
      <c r="L54" s="24"/>
      <c r="M54" s="24"/>
      <c r="N54" s="24"/>
      <c r="O54" s="24"/>
      <c r="P54" s="24"/>
      <c r="Q54" s="24"/>
      <c r="R54" s="43"/>
      <c r="S54" s="24">
        <v>30</v>
      </c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36"/>
      <c r="AG54" s="36"/>
      <c r="AH54" s="36"/>
      <c r="AI54" s="36"/>
    </row>
    <row r="55" s="1" customFormat="1" ht="25" customHeight="1" spans="1:35">
      <c r="A55" s="17">
        <v>52</v>
      </c>
      <c r="B55" s="20">
        <v>46114</v>
      </c>
      <c r="C55" s="21" t="s">
        <v>137</v>
      </c>
      <c r="D55" s="22" t="str" cm="1">
        <f t="array" ref="D55">INDEX([1]Sheet2!A:A,MATCH(E55,[1]Sheet2!B:B,0))</f>
        <v>陈洁</v>
      </c>
      <c r="E55" s="23" t="s">
        <v>138</v>
      </c>
      <c r="F55" s="24">
        <f t="shared" si="1"/>
        <v>30</v>
      </c>
      <c r="G55" s="24" t="s">
        <v>77</v>
      </c>
      <c r="H55" s="25"/>
      <c r="I55" s="25"/>
      <c r="J55" s="24"/>
      <c r="K55" s="24"/>
      <c r="L55" s="24"/>
      <c r="M55" s="24"/>
      <c r="N55" s="24"/>
      <c r="O55" s="24"/>
      <c r="P55" s="24"/>
      <c r="Q55" s="24"/>
      <c r="R55" s="43"/>
      <c r="S55" s="24">
        <v>30</v>
      </c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36"/>
      <c r="AG55" s="36"/>
      <c r="AH55" s="36"/>
      <c r="AI55" s="36"/>
    </row>
    <row r="56" s="1" customFormat="1" ht="25" customHeight="1" spans="1:35">
      <c r="A56" s="17">
        <v>53</v>
      </c>
      <c r="B56" s="20">
        <v>46114</v>
      </c>
      <c r="C56" s="21" t="s">
        <v>139</v>
      </c>
      <c r="D56" s="22" t="str" cm="1">
        <f t="array" ref="D56">INDEX([1]Sheet2!A:A,MATCH(E56,[1]Sheet2!B:B,0))</f>
        <v>罗文霞</v>
      </c>
      <c r="E56" s="23" t="s">
        <v>140</v>
      </c>
      <c r="F56" s="24">
        <f t="shared" si="1"/>
        <v>500</v>
      </c>
      <c r="G56" s="24" t="s">
        <v>77</v>
      </c>
      <c r="H56" s="25"/>
      <c r="I56" s="25"/>
      <c r="J56" s="24"/>
      <c r="K56" s="24"/>
      <c r="L56" s="24"/>
      <c r="M56" s="24"/>
      <c r="N56" s="24"/>
      <c r="O56" s="24"/>
      <c r="P56" s="24"/>
      <c r="Q56" s="24"/>
      <c r="R56" s="43"/>
      <c r="S56" s="24">
        <v>500</v>
      </c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36"/>
      <c r="AG56" s="36"/>
      <c r="AH56" s="36"/>
      <c r="AI56" s="36"/>
    </row>
    <row r="57" s="1" customFormat="1" ht="25" customHeight="1" spans="1:35">
      <c r="A57" s="17">
        <v>54</v>
      </c>
      <c r="B57" s="20">
        <v>46114</v>
      </c>
      <c r="C57" s="21" t="s">
        <v>141</v>
      </c>
      <c r="D57" s="22" t="str" cm="1">
        <f t="array" ref="D57">INDEX([1]Sheet2!A:A,MATCH(E57,[1]Sheet2!B:B,0))</f>
        <v>孙叶芹</v>
      </c>
      <c r="E57" s="23" t="s">
        <v>142</v>
      </c>
      <c r="F57" s="24">
        <f t="shared" si="1"/>
        <v>500</v>
      </c>
      <c r="G57" s="24" t="s">
        <v>77</v>
      </c>
      <c r="H57" s="25"/>
      <c r="I57" s="25"/>
      <c r="J57" s="24"/>
      <c r="K57" s="24"/>
      <c r="L57" s="24"/>
      <c r="M57" s="24"/>
      <c r="N57" s="24"/>
      <c r="O57" s="24"/>
      <c r="P57" s="24"/>
      <c r="Q57" s="24"/>
      <c r="R57" s="43"/>
      <c r="S57" s="24">
        <v>500</v>
      </c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36"/>
      <c r="AG57" s="36"/>
      <c r="AH57" s="36"/>
      <c r="AI57" s="36"/>
    </row>
    <row r="58" s="1" customFormat="1" ht="25" customHeight="1" spans="1:35">
      <c r="A58" s="17">
        <v>55</v>
      </c>
      <c r="B58" s="20">
        <v>46114</v>
      </c>
      <c r="C58" s="21" t="s">
        <v>143</v>
      </c>
      <c r="D58" s="22" t="str" cm="1">
        <f t="array" ref="D58">INDEX([1]Sheet2!A:A,MATCH(E58,[1]Sheet2!B:B,0))</f>
        <v>刘连</v>
      </c>
      <c r="E58" s="23" t="s">
        <v>144</v>
      </c>
      <c r="F58" s="24">
        <f t="shared" si="1"/>
        <v>50</v>
      </c>
      <c r="G58" s="24" t="s">
        <v>77</v>
      </c>
      <c r="H58" s="25"/>
      <c r="I58" s="25"/>
      <c r="J58" s="24"/>
      <c r="K58" s="24"/>
      <c r="L58" s="24"/>
      <c r="M58" s="24"/>
      <c r="N58" s="24"/>
      <c r="O58" s="24"/>
      <c r="P58" s="24"/>
      <c r="Q58" s="24"/>
      <c r="R58" s="43"/>
      <c r="S58" s="24">
        <v>50</v>
      </c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36"/>
      <c r="AG58" s="36"/>
      <c r="AH58" s="36"/>
      <c r="AI58" s="36"/>
    </row>
    <row r="59" s="1" customFormat="1" ht="25" customHeight="1" spans="1:35">
      <c r="A59" s="17">
        <v>56</v>
      </c>
      <c r="B59" s="20">
        <v>46114</v>
      </c>
      <c r="C59" s="21" t="s">
        <v>24</v>
      </c>
      <c r="D59" s="22" t="str" cm="1">
        <f t="array" ref="D59">INDEX([1]Sheet2!A:A,MATCH(E59,[1]Sheet2!B:B,0))</f>
        <v>临时</v>
      </c>
      <c r="E59" s="23" t="s">
        <v>99</v>
      </c>
      <c r="F59" s="24">
        <f t="shared" si="1"/>
        <v>648</v>
      </c>
      <c r="G59" s="24" t="s">
        <v>100</v>
      </c>
      <c r="H59" s="25"/>
      <c r="I59" s="25"/>
      <c r="J59" s="24"/>
      <c r="K59" s="24"/>
      <c r="L59" s="24"/>
      <c r="M59" s="24"/>
      <c r="N59" s="24"/>
      <c r="O59" s="24"/>
      <c r="P59" s="24"/>
      <c r="Q59" s="24"/>
      <c r="R59" s="43"/>
      <c r="S59" s="24"/>
      <c r="T59" s="24"/>
      <c r="U59" s="24"/>
      <c r="V59" s="24"/>
      <c r="W59" s="24">
        <v>648</v>
      </c>
      <c r="X59" s="24"/>
      <c r="Y59" s="24"/>
      <c r="Z59" s="24"/>
      <c r="AA59" s="24"/>
      <c r="AB59" s="24"/>
      <c r="AC59" s="24"/>
      <c r="AD59" s="24"/>
      <c r="AE59" s="24"/>
      <c r="AF59" s="36"/>
      <c r="AG59" s="36"/>
      <c r="AH59" s="36"/>
      <c r="AI59" s="36"/>
    </row>
    <row r="60" s="1" customFormat="1" ht="25" customHeight="1" spans="1:35">
      <c r="A60" s="17">
        <v>57</v>
      </c>
      <c r="B60" s="20">
        <v>46115</v>
      </c>
      <c r="C60" s="21" t="s">
        <v>145</v>
      </c>
      <c r="D60" s="22" t="s">
        <v>146</v>
      </c>
      <c r="E60" s="23" t="s">
        <v>147</v>
      </c>
      <c r="F60" s="24">
        <f t="shared" si="1"/>
        <v>55743.6</v>
      </c>
      <c r="G60" s="24" t="s">
        <v>40</v>
      </c>
      <c r="H60" s="25">
        <v>46082</v>
      </c>
      <c r="I60" s="25">
        <v>46173</v>
      </c>
      <c r="J60" s="24">
        <v>21918.6</v>
      </c>
      <c r="K60" s="24">
        <v>33825</v>
      </c>
      <c r="L60" s="24"/>
      <c r="M60" s="24"/>
      <c r="N60" s="24"/>
      <c r="O60" s="24"/>
      <c r="P60" s="24"/>
      <c r="Q60" s="24"/>
      <c r="R60" s="43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36"/>
      <c r="AG60" s="36" t="s">
        <v>148</v>
      </c>
      <c r="AH60" s="48" t="s">
        <v>149</v>
      </c>
      <c r="AI60" s="49"/>
    </row>
    <row r="61" s="1" customFormat="1" ht="25" customHeight="1" spans="1:35">
      <c r="A61" s="17">
        <v>58</v>
      </c>
      <c r="B61" s="20">
        <v>46115</v>
      </c>
      <c r="C61" s="21" t="s">
        <v>150</v>
      </c>
      <c r="D61" s="22" t="str" cm="1">
        <f t="array" ref="D61">INDEX([1]Sheet2!A:A,MATCH(E61,[1]Sheet2!B:B,0))</f>
        <v>衡阳讯飞通讯器材有限责任公司</v>
      </c>
      <c r="E61" s="23" t="s">
        <v>151</v>
      </c>
      <c r="F61" s="24">
        <f t="shared" si="1"/>
        <v>2000</v>
      </c>
      <c r="G61" s="24" t="s">
        <v>40</v>
      </c>
      <c r="H61" s="25"/>
      <c r="I61" s="25"/>
      <c r="J61" s="24"/>
      <c r="K61" s="24"/>
      <c r="L61" s="24"/>
      <c r="M61" s="24"/>
      <c r="N61" s="24"/>
      <c r="O61" s="24"/>
      <c r="P61" s="24"/>
      <c r="Q61" s="24"/>
      <c r="R61" s="43"/>
      <c r="S61" s="24">
        <v>2000</v>
      </c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36"/>
      <c r="AG61" s="36"/>
      <c r="AH61" s="36"/>
      <c r="AI61" s="36"/>
    </row>
    <row r="62" s="1" customFormat="1" ht="25" customHeight="1" spans="1:35">
      <c r="A62" s="17">
        <v>59</v>
      </c>
      <c r="B62" s="20">
        <v>46115</v>
      </c>
      <c r="C62" s="21" t="s">
        <v>24</v>
      </c>
      <c r="D62" s="22" t="str" cm="1">
        <f t="array" ref="D62">INDEX([1]Sheet2!A:A,MATCH(E62,[1]Sheet2!B:B,0))</f>
        <v>充值</v>
      </c>
      <c r="E62" s="23" t="s">
        <v>72</v>
      </c>
      <c r="F62" s="24">
        <f t="shared" si="1"/>
        <v>750</v>
      </c>
      <c r="G62" s="24" t="s">
        <v>49</v>
      </c>
      <c r="H62" s="25"/>
      <c r="I62" s="25"/>
      <c r="J62" s="24"/>
      <c r="K62" s="24"/>
      <c r="L62" s="24"/>
      <c r="M62" s="24"/>
      <c r="N62" s="24"/>
      <c r="O62" s="24"/>
      <c r="P62" s="24"/>
      <c r="Q62" s="24"/>
      <c r="R62" s="43"/>
      <c r="S62" s="24"/>
      <c r="T62" s="24"/>
      <c r="U62" s="24"/>
      <c r="V62" s="24"/>
      <c r="W62" s="24">
        <v>750</v>
      </c>
      <c r="X62" s="24"/>
      <c r="Y62" s="24"/>
      <c r="Z62" s="24"/>
      <c r="AA62" s="24"/>
      <c r="AB62" s="24"/>
      <c r="AC62" s="24"/>
      <c r="AD62" s="24"/>
      <c r="AE62" s="24"/>
      <c r="AF62" s="36"/>
      <c r="AG62" s="36"/>
      <c r="AH62" s="36"/>
      <c r="AI62" s="36"/>
    </row>
    <row r="63" s="1" customFormat="1" ht="25" customHeight="1" spans="1:35">
      <c r="A63" s="17">
        <v>60</v>
      </c>
      <c r="B63" s="20">
        <v>46115</v>
      </c>
      <c r="C63" s="21" t="s">
        <v>24</v>
      </c>
      <c r="D63" s="22" t="s">
        <v>152</v>
      </c>
      <c r="E63" s="23" t="s">
        <v>153</v>
      </c>
      <c r="F63" s="24">
        <f t="shared" si="1"/>
        <v>1000</v>
      </c>
      <c r="G63" s="24" t="s">
        <v>49</v>
      </c>
      <c r="H63" s="25"/>
      <c r="I63" s="25"/>
      <c r="J63" s="24"/>
      <c r="K63" s="24"/>
      <c r="L63" s="24"/>
      <c r="M63" s="24"/>
      <c r="N63" s="24"/>
      <c r="O63" s="24"/>
      <c r="P63" s="24"/>
      <c r="Q63" s="24"/>
      <c r="R63" s="43"/>
      <c r="S63" s="24"/>
      <c r="T63" s="24"/>
      <c r="U63" s="24"/>
      <c r="V63" s="24"/>
      <c r="W63" s="24">
        <v>1000</v>
      </c>
      <c r="X63" s="24"/>
      <c r="Y63" s="24"/>
      <c r="Z63" s="24"/>
      <c r="AA63" s="24"/>
      <c r="AB63" s="24"/>
      <c r="AC63" s="24"/>
      <c r="AD63" s="24"/>
      <c r="AE63" s="24"/>
      <c r="AF63" s="36"/>
      <c r="AG63" s="36"/>
      <c r="AH63" s="36"/>
      <c r="AI63" s="36"/>
    </row>
    <row r="64" s="1" customFormat="1" ht="25" customHeight="1" spans="1:35">
      <c r="A64" s="17">
        <v>61</v>
      </c>
      <c r="B64" s="20">
        <v>46115</v>
      </c>
      <c r="C64" s="21" t="s">
        <v>73</v>
      </c>
      <c r="D64" s="22" t="str" cm="1">
        <f t="array" ref="D64">INDEX([1]Sheet2!A:A,MATCH(E64,[1]Sheet2!B:B,0))</f>
        <v>衡阳志扬体育文化有限公司</v>
      </c>
      <c r="E64" s="23" t="s">
        <v>74</v>
      </c>
      <c r="F64" s="24">
        <f t="shared" si="1"/>
        <v>1547</v>
      </c>
      <c r="G64" s="24" t="s">
        <v>49</v>
      </c>
      <c r="H64" s="25"/>
      <c r="I64" s="25"/>
      <c r="J64" s="24"/>
      <c r="K64" s="24"/>
      <c r="L64" s="24"/>
      <c r="M64" s="24"/>
      <c r="N64" s="24"/>
      <c r="O64" s="24"/>
      <c r="P64" s="24"/>
      <c r="Q64" s="24"/>
      <c r="R64" s="43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>
        <v>1547</v>
      </c>
      <c r="AF64" s="36"/>
      <c r="AG64" s="36"/>
      <c r="AH64" s="36"/>
      <c r="AI64" s="36"/>
    </row>
    <row r="65" s="1" customFormat="1" ht="25" customHeight="1" spans="1:35">
      <c r="A65" s="17">
        <v>62</v>
      </c>
      <c r="B65" s="20">
        <v>46115</v>
      </c>
      <c r="C65" s="21" t="s">
        <v>154</v>
      </c>
      <c r="D65" s="22" t="str" cm="1">
        <f t="array" ref="D65">INDEX([1]Sheet2!A:A,MATCH(E65,[1]Sheet2!B:B,0))</f>
        <v>黄煌</v>
      </c>
      <c r="E65" s="23" t="s">
        <v>155</v>
      </c>
      <c r="F65" s="24">
        <f t="shared" si="1"/>
        <v>200</v>
      </c>
      <c r="G65" s="24" t="s">
        <v>77</v>
      </c>
      <c r="H65" s="25"/>
      <c r="I65" s="25"/>
      <c r="J65" s="24"/>
      <c r="K65" s="24"/>
      <c r="L65" s="24"/>
      <c r="M65" s="24"/>
      <c r="N65" s="24"/>
      <c r="O65" s="24"/>
      <c r="P65" s="24"/>
      <c r="Q65" s="24"/>
      <c r="R65" s="43"/>
      <c r="S65" s="24">
        <v>200</v>
      </c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36"/>
      <c r="AG65" s="36"/>
      <c r="AH65" s="36"/>
      <c r="AI65" s="36"/>
    </row>
    <row r="66" s="1" customFormat="1" ht="25" customHeight="1" spans="1:35">
      <c r="A66" s="17">
        <v>63</v>
      </c>
      <c r="B66" s="20">
        <v>46115</v>
      </c>
      <c r="C66" s="21" t="s">
        <v>156</v>
      </c>
      <c r="D66" s="22" t="str" cm="1">
        <f t="array" ref="D66">INDEX([1]Sheet2!A:A,MATCH(E66,[1]Sheet2!B:B,0))</f>
        <v>刘露</v>
      </c>
      <c r="E66" s="23" t="s">
        <v>157</v>
      </c>
      <c r="F66" s="24">
        <f t="shared" si="1"/>
        <v>100</v>
      </c>
      <c r="G66" s="24" t="s">
        <v>77</v>
      </c>
      <c r="H66" s="25"/>
      <c r="I66" s="25"/>
      <c r="J66" s="24"/>
      <c r="K66" s="24"/>
      <c r="L66" s="24"/>
      <c r="M66" s="24"/>
      <c r="N66" s="24"/>
      <c r="O66" s="24"/>
      <c r="P66" s="24"/>
      <c r="Q66" s="24"/>
      <c r="R66" s="43"/>
      <c r="S66" s="24">
        <v>100</v>
      </c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36"/>
      <c r="AG66" s="36"/>
      <c r="AH66" s="36"/>
      <c r="AI66" s="36"/>
    </row>
    <row r="67" s="1" customFormat="1" ht="25" customHeight="1" spans="1:35">
      <c r="A67" s="17">
        <v>64</v>
      </c>
      <c r="B67" s="20">
        <v>46115</v>
      </c>
      <c r="C67" s="21" t="s">
        <v>158</v>
      </c>
      <c r="D67" s="22" t="str" cm="1">
        <f t="array" ref="D67">INDEX([1]Sheet2!A:A,MATCH(E67,[1]Sheet2!B:B,0))</f>
        <v>刘香</v>
      </c>
      <c r="E67" s="23" t="s">
        <v>159</v>
      </c>
      <c r="F67" s="24">
        <f t="shared" si="1"/>
        <v>500</v>
      </c>
      <c r="G67" s="24" t="s">
        <v>77</v>
      </c>
      <c r="H67" s="25"/>
      <c r="I67" s="25"/>
      <c r="J67" s="24"/>
      <c r="K67" s="24"/>
      <c r="L67" s="24"/>
      <c r="M67" s="24"/>
      <c r="N67" s="24"/>
      <c r="O67" s="24"/>
      <c r="P67" s="24"/>
      <c r="Q67" s="24"/>
      <c r="R67" s="43"/>
      <c r="S67" s="24">
        <v>500</v>
      </c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36"/>
      <c r="AG67" s="36"/>
      <c r="AH67" s="36"/>
      <c r="AI67" s="36"/>
    </row>
    <row r="68" s="1" customFormat="1" ht="25" customHeight="1" spans="1:35">
      <c r="A68" s="17">
        <v>65</v>
      </c>
      <c r="B68" s="20">
        <v>46115</v>
      </c>
      <c r="C68" s="21" t="s">
        <v>160</v>
      </c>
      <c r="D68" s="22" t="str" cm="1">
        <f t="array" ref="D68">INDEX([1]Sheet2!A:A,MATCH(E68,[1]Sheet2!B:B,0))</f>
        <v>丁海军</v>
      </c>
      <c r="E68" s="23" t="s">
        <v>161</v>
      </c>
      <c r="F68" s="24">
        <f t="shared" ref="F68:F131" si="2">SUM(J68:AE68)</f>
        <v>200</v>
      </c>
      <c r="G68" s="24" t="s">
        <v>77</v>
      </c>
      <c r="H68" s="25"/>
      <c r="I68" s="25"/>
      <c r="J68" s="24"/>
      <c r="K68" s="24"/>
      <c r="L68" s="24"/>
      <c r="M68" s="24"/>
      <c r="N68" s="24"/>
      <c r="O68" s="24"/>
      <c r="P68" s="24"/>
      <c r="Q68" s="24"/>
      <c r="R68" s="43"/>
      <c r="S68" s="24">
        <v>200</v>
      </c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36"/>
      <c r="AG68" s="36"/>
      <c r="AH68" s="36"/>
      <c r="AI68" s="36"/>
    </row>
    <row r="69" s="1" customFormat="1" ht="25" customHeight="1" spans="1:35">
      <c r="A69" s="17">
        <v>66</v>
      </c>
      <c r="B69" s="20">
        <v>46115</v>
      </c>
      <c r="C69" s="21" t="s">
        <v>162</v>
      </c>
      <c r="D69" s="22" t="str" cm="1">
        <f t="array" ref="D69">INDEX([1]Sheet2!A:A,MATCH(E69,[1]Sheet2!B:B,0))</f>
        <v>丁海军</v>
      </c>
      <c r="E69" s="23" t="s">
        <v>163</v>
      </c>
      <c r="F69" s="24">
        <f t="shared" si="2"/>
        <v>200</v>
      </c>
      <c r="G69" s="24" t="s">
        <v>77</v>
      </c>
      <c r="H69" s="25"/>
      <c r="I69" s="25"/>
      <c r="J69" s="24"/>
      <c r="K69" s="24"/>
      <c r="L69" s="24"/>
      <c r="M69" s="24"/>
      <c r="N69" s="24"/>
      <c r="O69" s="24"/>
      <c r="P69" s="24"/>
      <c r="Q69" s="24"/>
      <c r="R69" s="43"/>
      <c r="S69" s="24">
        <v>200</v>
      </c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36"/>
      <c r="AG69" s="36"/>
      <c r="AH69" s="36"/>
      <c r="AI69" s="36"/>
    </row>
    <row r="70" s="1" customFormat="1" ht="25" customHeight="1" spans="1:35">
      <c r="A70" s="17">
        <v>67</v>
      </c>
      <c r="B70" s="20">
        <v>46115</v>
      </c>
      <c r="C70" s="21" t="s">
        <v>164</v>
      </c>
      <c r="D70" s="22" t="str" cm="1">
        <f t="array" ref="D70">INDEX([1]Sheet2!A:A,MATCH(E70,[1]Sheet2!B:B,0))</f>
        <v>李江飞</v>
      </c>
      <c r="E70" s="23" t="s">
        <v>165</v>
      </c>
      <c r="F70" s="24">
        <f t="shared" si="2"/>
        <v>500</v>
      </c>
      <c r="G70" s="24" t="s">
        <v>77</v>
      </c>
      <c r="H70" s="25"/>
      <c r="I70" s="25"/>
      <c r="J70" s="24"/>
      <c r="K70" s="24"/>
      <c r="L70" s="24"/>
      <c r="M70" s="24"/>
      <c r="N70" s="24"/>
      <c r="O70" s="24"/>
      <c r="P70" s="24"/>
      <c r="Q70" s="24"/>
      <c r="R70" s="43"/>
      <c r="S70" s="24">
        <v>500</v>
      </c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36"/>
      <c r="AG70" s="36"/>
      <c r="AH70" s="36"/>
      <c r="AI70" s="36"/>
    </row>
    <row r="71" s="1" customFormat="1" ht="25" customHeight="1" spans="1:35">
      <c r="A71" s="17">
        <v>68</v>
      </c>
      <c r="B71" s="20">
        <v>46115</v>
      </c>
      <c r="C71" s="21" t="s">
        <v>137</v>
      </c>
      <c r="D71" s="22" t="str" cm="1">
        <f t="array" ref="D71">INDEX([1]Sheet2!A:A,MATCH(E71,[1]Sheet2!B:B,0))</f>
        <v>陈洁</v>
      </c>
      <c r="E71" s="23" t="s">
        <v>138</v>
      </c>
      <c r="F71" s="24">
        <f t="shared" si="2"/>
        <v>30</v>
      </c>
      <c r="G71" s="24" t="s">
        <v>77</v>
      </c>
      <c r="H71" s="25"/>
      <c r="I71" s="25"/>
      <c r="J71" s="24"/>
      <c r="K71" s="24"/>
      <c r="L71" s="24"/>
      <c r="M71" s="24"/>
      <c r="N71" s="24"/>
      <c r="O71" s="24"/>
      <c r="P71" s="24"/>
      <c r="Q71" s="24"/>
      <c r="R71" s="43"/>
      <c r="S71" s="24">
        <v>30</v>
      </c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36"/>
      <c r="AG71" s="36"/>
      <c r="AH71" s="36"/>
      <c r="AI71" s="36"/>
    </row>
    <row r="72" s="1" customFormat="1" ht="25" customHeight="1" spans="1:35">
      <c r="A72" s="17">
        <v>69</v>
      </c>
      <c r="B72" s="20">
        <v>46115</v>
      </c>
      <c r="C72" s="21" t="s">
        <v>95</v>
      </c>
      <c r="D72" s="22" t="str" cm="1">
        <f t="array" ref="D72">INDEX([1]Sheet2!A:A,MATCH(E72,[1]Sheet2!B:B,0))</f>
        <v>周建华</v>
      </c>
      <c r="E72" s="23" t="s">
        <v>96</v>
      </c>
      <c r="F72" s="24">
        <f t="shared" si="2"/>
        <v>300</v>
      </c>
      <c r="G72" s="24" t="s">
        <v>77</v>
      </c>
      <c r="H72" s="25"/>
      <c r="I72" s="25"/>
      <c r="J72" s="24"/>
      <c r="K72" s="24"/>
      <c r="L72" s="24"/>
      <c r="M72" s="24"/>
      <c r="N72" s="24"/>
      <c r="O72" s="24"/>
      <c r="P72" s="24"/>
      <c r="Q72" s="24"/>
      <c r="R72" s="43"/>
      <c r="S72" s="24">
        <v>300</v>
      </c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36"/>
      <c r="AG72" s="36"/>
      <c r="AH72" s="36"/>
      <c r="AI72" s="36"/>
    </row>
    <row r="73" s="1" customFormat="1" ht="25" customHeight="1" spans="1:35">
      <c r="A73" s="17">
        <v>70</v>
      </c>
      <c r="B73" s="20">
        <v>46115</v>
      </c>
      <c r="C73" s="21" t="s">
        <v>24</v>
      </c>
      <c r="D73" s="22" t="str" cm="1">
        <f t="array" ref="D73">INDEX([1]Sheet2!A:A,MATCH(E73,[1]Sheet2!B:B,0))</f>
        <v>临时</v>
      </c>
      <c r="E73" s="23" t="s">
        <v>99</v>
      </c>
      <c r="F73" s="24">
        <f t="shared" si="2"/>
        <v>609</v>
      </c>
      <c r="G73" s="24" t="s">
        <v>100</v>
      </c>
      <c r="H73" s="25"/>
      <c r="I73" s="25"/>
      <c r="J73" s="24"/>
      <c r="K73" s="24"/>
      <c r="L73" s="24"/>
      <c r="M73" s="24"/>
      <c r="N73" s="24"/>
      <c r="O73" s="24"/>
      <c r="P73" s="24"/>
      <c r="Q73" s="24"/>
      <c r="R73" s="43"/>
      <c r="S73" s="24"/>
      <c r="T73" s="24"/>
      <c r="U73" s="24"/>
      <c r="V73" s="24"/>
      <c r="W73" s="24">
        <v>609</v>
      </c>
      <c r="X73" s="24"/>
      <c r="Y73" s="24"/>
      <c r="Z73" s="24"/>
      <c r="AA73" s="24"/>
      <c r="AB73" s="24"/>
      <c r="AC73" s="24"/>
      <c r="AD73" s="24"/>
      <c r="AE73" s="24"/>
      <c r="AF73" s="36"/>
      <c r="AG73" s="36"/>
      <c r="AH73" s="36"/>
      <c r="AI73" s="36"/>
    </row>
    <row r="74" s="1" customFormat="1" ht="25" customHeight="1" spans="1:35">
      <c r="A74" s="17">
        <v>71</v>
      </c>
      <c r="B74" s="20">
        <v>46116</v>
      </c>
      <c r="C74" s="21" t="s">
        <v>166</v>
      </c>
      <c r="D74" s="22" t="str" cm="1">
        <f t="array" ref="D74">INDEX([1]Sheet2!A:A,MATCH(E74,[1]Sheet2!B:B,0))</f>
        <v>廖建平</v>
      </c>
      <c r="E74" s="23" t="s">
        <v>167</v>
      </c>
      <c r="F74" s="24">
        <f t="shared" si="2"/>
        <v>1000</v>
      </c>
      <c r="G74" s="24" t="s">
        <v>49</v>
      </c>
      <c r="H74" s="25"/>
      <c r="I74" s="25"/>
      <c r="J74" s="24"/>
      <c r="K74" s="24"/>
      <c r="L74" s="24"/>
      <c r="M74" s="24"/>
      <c r="N74" s="24"/>
      <c r="O74" s="24"/>
      <c r="P74" s="24"/>
      <c r="Q74" s="24"/>
      <c r="R74" s="43"/>
      <c r="S74" s="24">
        <v>1000</v>
      </c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36"/>
      <c r="AG74" s="36"/>
      <c r="AH74" s="36"/>
      <c r="AI74" s="36"/>
    </row>
    <row r="75" s="1" customFormat="1" ht="25" customHeight="1" spans="1:35">
      <c r="A75" s="17">
        <v>72</v>
      </c>
      <c r="B75" s="20">
        <v>46116</v>
      </c>
      <c r="C75" s="21" t="s">
        <v>168</v>
      </c>
      <c r="D75" s="22" t="e" cm="1">
        <f t="array" ref="D75">INDEX([1]Sheet2!A:A,MATCH(E75,[1]Sheet2!B:B,0))</f>
        <v>#N/A</v>
      </c>
      <c r="E75" s="23"/>
      <c r="F75" s="24">
        <f t="shared" si="2"/>
        <v>1</v>
      </c>
      <c r="G75" s="24" t="s">
        <v>49</v>
      </c>
      <c r="H75" s="25"/>
      <c r="I75" s="25"/>
      <c r="J75" s="24"/>
      <c r="K75" s="24"/>
      <c r="L75" s="24"/>
      <c r="M75" s="24"/>
      <c r="N75" s="24"/>
      <c r="O75" s="24"/>
      <c r="P75" s="24"/>
      <c r="Q75" s="24"/>
      <c r="R75" s="43"/>
      <c r="S75" s="24"/>
      <c r="T75" s="24"/>
      <c r="U75" s="24"/>
      <c r="V75" s="24">
        <v>1</v>
      </c>
      <c r="W75" s="24"/>
      <c r="X75" s="24"/>
      <c r="Y75" s="24"/>
      <c r="Z75" s="24"/>
      <c r="AA75" s="24"/>
      <c r="AB75" s="24"/>
      <c r="AC75" s="24"/>
      <c r="AD75" s="24"/>
      <c r="AE75" s="24"/>
      <c r="AF75" s="36"/>
      <c r="AG75" s="36"/>
      <c r="AH75" s="36"/>
      <c r="AI75" s="36"/>
    </row>
    <row r="76" s="1" customFormat="1" ht="25" customHeight="1" spans="1:35">
      <c r="A76" s="17">
        <v>73</v>
      </c>
      <c r="B76" s="20">
        <v>46116</v>
      </c>
      <c r="C76" s="21" t="s">
        <v>73</v>
      </c>
      <c r="D76" s="22" t="str" cm="1">
        <f t="array" ref="D76">INDEX([1]Sheet2!A:A,MATCH(E76,[1]Sheet2!B:B,0))</f>
        <v>衡阳志扬体育文化有限公司</v>
      </c>
      <c r="E76" s="23" t="s">
        <v>74</v>
      </c>
      <c r="F76" s="24">
        <f t="shared" si="2"/>
        <v>1371</v>
      </c>
      <c r="G76" s="24" t="s">
        <v>49</v>
      </c>
      <c r="H76" s="25"/>
      <c r="I76" s="25"/>
      <c r="J76" s="24"/>
      <c r="K76" s="24"/>
      <c r="L76" s="24"/>
      <c r="M76" s="24"/>
      <c r="N76" s="24"/>
      <c r="O76" s="24"/>
      <c r="P76" s="24"/>
      <c r="Q76" s="24"/>
      <c r="R76" s="43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>
        <v>1371</v>
      </c>
      <c r="AF76" s="36"/>
      <c r="AG76" s="36"/>
      <c r="AH76" s="36"/>
      <c r="AI76" s="36"/>
    </row>
    <row r="77" s="1" customFormat="1" ht="25" customHeight="1" spans="1:35">
      <c r="A77" s="17">
        <v>74</v>
      </c>
      <c r="B77" s="20">
        <v>46116</v>
      </c>
      <c r="C77" s="21" t="s">
        <v>124</v>
      </c>
      <c r="D77" s="22" t="str" cm="1">
        <f t="array" ref="D77">INDEX([1]Sheet2!A:A,MATCH(E77,[1]Sheet2!B:B,0))</f>
        <v>王冬林</v>
      </c>
      <c r="E77" s="23" t="s">
        <v>125</v>
      </c>
      <c r="F77" s="24">
        <f t="shared" si="2"/>
        <v>1000</v>
      </c>
      <c r="G77" s="24" t="s">
        <v>77</v>
      </c>
      <c r="H77" s="36"/>
      <c r="I77" s="36"/>
      <c r="J77" s="24"/>
      <c r="K77" s="24"/>
      <c r="L77" s="24"/>
      <c r="M77" s="24"/>
      <c r="N77" s="24"/>
      <c r="O77" s="24"/>
      <c r="P77" s="24"/>
      <c r="Q77" s="24"/>
      <c r="R77" s="43"/>
      <c r="S77" s="24">
        <v>1000</v>
      </c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36"/>
      <c r="AG77" s="36"/>
      <c r="AH77" s="36"/>
      <c r="AI77" s="36"/>
    </row>
    <row r="78" s="1" customFormat="1" ht="25" customHeight="1" spans="1:35">
      <c r="A78" s="17">
        <v>75</v>
      </c>
      <c r="B78" s="20">
        <v>46116</v>
      </c>
      <c r="C78" s="21" t="s">
        <v>169</v>
      </c>
      <c r="D78" s="22" t="str" cm="1">
        <f t="array" ref="D78">INDEX([1]Sheet2!A:A,MATCH(E78,[1]Sheet2!B:B,0))</f>
        <v>周乐群</v>
      </c>
      <c r="E78" s="23" t="s">
        <v>170</v>
      </c>
      <c r="F78" s="24">
        <f t="shared" si="2"/>
        <v>200</v>
      </c>
      <c r="G78" s="24" t="s">
        <v>77</v>
      </c>
      <c r="H78" s="25"/>
      <c r="I78" s="25"/>
      <c r="J78" s="24"/>
      <c r="K78" s="24"/>
      <c r="L78" s="24"/>
      <c r="M78" s="24"/>
      <c r="N78" s="24"/>
      <c r="O78" s="24"/>
      <c r="P78" s="24"/>
      <c r="Q78" s="24"/>
      <c r="R78" s="43"/>
      <c r="S78" s="24">
        <v>200</v>
      </c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36"/>
      <c r="AG78" s="36"/>
      <c r="AH78" s="36"/>
      <c r="AI78" s="36"/>
    </row>
    <row r="79" s="1" customFormat="1" ht="25" customHeight="1" spans="1:35">
      <c r="A79" s="17">
        <v>76</v>
      </c>
      <c r="B79" s="20">
        <v>46116</v>
      </c>
      <c r="C79" s="21" t="s">
        <v>113</v>
      </c>
      <c r="D79" s="22" t="str" cm="1">
        <f t="array" ref="D79">INDEX([1]Sheet2!A:A,MATCH(E79,[1]Sheet2!B:B,0))</f>
        <v>湖南亮点体育文化发展有限公司</v>
      </c>
      <c r="E79" s="23" t="s">
        <v>114</v>
      </c>
      <c r="F79" s="24">
        <f t="shared" si="2"/>
        <v>200</v>
      </c>
      <c r="G79" s="24" t="s">
        <v>77</v>
      </c>
      <c r="H79" s="25"/>
      <c r="I79" s="25"/>
      <c r="J79" s="24"/>
      <c r="K79" s="24"/>
      <c r="L79" s="24"/>
      <c r="M79" s="24"/>
      <c r="N79" s="24"/>
      <c r="O79" s="24"/>
      <c r="P79" s="24"/>
      <c r="Q79" s="24"/>
      <c r="R79" s="43"/>
      <c r="S79" s="24">
        <v>200</v>
      </c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36"/>
      <c r="AG79" s="36"/>
      <c r="AH79" s="36"/>
      <c r="AI79" s="36"/>
    </row>
    <row r="80" s="1" customFormat="1" ht="25" customHeight="1" spans="1:35">
      <c r="A80" s="17">
        <v>77</v>
      </c>
      <c r="B80" s="20">
        <v>46116</v>
      </c>
      <c r="C80" s="21" t="s">
        <v>115</v>
      </c>
      <c r="D80" s="22" t="str" cm="1">
        <f t="array" ref="D80">INDEX([1]Sheet2!A:A,MATCH(E80,[1]Sheet2!B:B,0))</f>
        <v>湖南亮点体育文化发展有限公司</v>
      </c>
      <c r="E80" s="23" t="s">
        <v>116</v>
      </c>
      <c r="F80" s="24">
        <f t="shared" si="2"/>
        <v>100</v>
      </c>
      <c r="G80" s="24" t="s">
        <v>77</v>
      </c>
      <c r="H80" s="25"/>
      <c r="I80" s="25"/>
      <c r="J80" s="24"/>
      <c r="K80" s="24"/>
      <c r="L80" s="24"/>
      <c r="M80" s="24"/>
      <c r="N80" s="24"/>
      <c r="O80" s="24"/>
      <c r="P80" s="24"/>
      <c r="Q80" s="24"/>
      <c r="R80" s="43"/>
      <c r="S80" s="24">
        <v>100</v>
      </c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36"/>
      <c r="AG80" s="36"/>
      <c r="AH80" s="36"/>
      <c r="AI80" s="36"/>
    </row>
    <row r="81" s="1" customFormat="1" ht="25" customHeight="1" spans="1:35">
      <c r="A81" s="17">
        <v>78</v>
      </c>
      <c r="B81" s="20">
        <v>46116</v>
      </c>
      <c r="C81" s="21" t="s">
        <v>117</v>
      </c>
      <c r="D81" s="22" t="str" cm="1">
        <f t="array" ref="D81">INDEX([1]Sheet2!A:A,MATCH(E81,[1]Sheet2!B:B,0))</f>
        <v>湖南亮点体育文化发展有限公司</v>
      </c>
      <c r="E81" s="23" t="s">
        <v>118</v>
      </c>
      <c r="F81" s="24">
        <f t="shared" si="2"/>
        <v>200</v>
      </c>
      <c r="G81" s="24" t="s">
        <v>77</v>
      </c>
      <c r="H81" s="25"/>
      <c r="I81" s="25"/>
      <c r="J81" s="24"/>
      <c r="K81" s="24"/>
      <c r="L81" s="24"/>
      <c r="M81" s="24"/>
      <c r="N81" s="24"/>
      <c r="O81" s="24"/>
      <c r="P81" s="24"/>
      <c r="Q81" s="24"/>
      <c r="R81" s="43"/>
      <c r="S81" s="24">
        <v>200</v>
      </c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36"/>
      <c r="AG81" s="36"/>
      <c r="AH81" s="36"/>
      <c r="AI81" s="36"/>
    </row>
    <row r="82" s="1" customFormat="1" ht="25" customHeight="1" spans="1:35">
      <c r="A82" s="17">
        <v>79</v>
      </c>
      <c r="B82" s="20">
        <v>46116</v>
      </c>
      <c r="C82" s="21" t="s">
        <v>119</v>
      </c>
      <c r="D82" s="22" t="str" cm="1">
        <f t="array" ref="D82">INDEX([1]Sheet2!A:A,MATCH(E82,[1]Sheet2!B:B,0))</f>
        <v>湖南亮点体育文化发展有限公司</v>
      </c>
      <c r="E82" s="23" t="s">
        <v>120</v>
      </c>
      <c r="F82" s="24">
        <f t="shared" si="2"/>
        <v>200</v>
      </c>
      <c r="G82" s="24" t="s">
        <v>77</v>
      </c>
      <c r="H82" s="25"/>
      <c r="I82" s="25"/>
      <c r="J82" s="24"/>
      <c r="K82" s="24"/>
      <c r="L82" s="24"/>
      <c r="M82" s="24"/>
      <c r="N82" s="24"/>
      <c r="O82" s="24"/>
      <c r="P82" s="24"/>
      <c r="Q82" s="24"/>
      <c r="R82" s="43"/>
      <c r="S82" s="24">
        <v>200</v>
      </c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36"/>
      <c r="AG82" s="36"/>
      <c r="AH82" s="36"/>
      <c r="AI82" s="36"/>
    </row>
    <row r="83" s="1" customFormat="1" ht="25" customHeight="1" spans="1:35">
      <c r="A83" s="17">
        <v>80</v>
      </c>
      <c r="B83" s="20">
        <v>46116</v>
      </c>
      <c r="C83" s="21" t="s">
        <v>121</v>
      </c>
      <c r="D83" s="22" t="str" cm="1">
        <f t="array" ref="D83">INDEX([1]Sheet2!A:A,MATCH(E83,[1]Sheet2!B:B,0))</f>
        <v>湖南亮点体育文化发展有限公司</v>
      </c>
      <c r="E83" s="23" t="s">
        <v>122</v>
      </c>
      <c r="F83" s="24">
        <f t="shared" si="2"/>
        <v>100</v>
      </c>
      <c r="G83" s="24" t="s">
        <v>77</v>
      </c>
      <c r="H83" s="25"/>
      <c r="I83" s="25"/>
      <c r="J83" s="24"/>
      <c r="K83" s="24"/>
      <c r="L83" s="24"/>
      <c r="M83" s="24"/>
      <c r="N83" s="24"/>
      <c r="O83" s="24"/>
      <c r="P83" s="24"/>
      <c r="Q83" s="24"/>
      <c r="R83" s="43"/>
      <c r="S83" s="24">
        <v>100</v>
      </c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36"/>
      <c r="AG83" s="36"/>
      <c r="AH83" s="36"/>
      <c r="AI83" s="36"/>
    </row>
    <row r="84" s="1" customFormat="1" ht="25" customHeight="1" spans="1:35">
      <c r="A84" s="17">
        <v>81</v>
      </c>
      <c r="B84" s="20">
        <v>46116</v>
      </c>
      <c r="C84" s="21" t="s">
        <v>78</v>
      </c>
      <c r="D84" s="22" t="str" cm="1">
        <f t="array" ref="D84">INDEX([1]Sheet2!A:A,MATCH(E84,[1]Sheet2!B:B,0))</f>
        <v>湖南亮点体育文化发展有限公司</v>
      </c>
      <c r="E84" s="23" t="s">
        <v>123</v>
      </c>
      <c r="F84" s="24">
        <f t="shared" si="2"/>
        <v>100</v>
      </c>
      <c r="G84" s="24" t="s">
        <v>77</v>
      </c>
      <c r="H84" s="25"/>
      <c r="I84" s="25"/>
      <c r="J84" s="24"/>
      <c r="K84" s="24"/>
      <c r="L84" s="24"/>
      <c r="M84" s="24"/>
      <c r="N84" s="24"/>
      <c r="O84" s="24"/>
      <c r="P84" s="24"/>
      <c r="Q84" s="24"/>
      <c r="R84" s="43"/>
      <c r="S84" s="24">
        <v>100</v>
      </c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36"/>
      <c r="AG84" s="36"/>
      <c r="AH84" s="36"/>
      <c r="AI84" s="36"/>
    </row>
    <row r="85" s="1" customFormat="1" ht="25" customHeight="1" spans="1:35">
      <c r="A85" s="17">
        <v>82</v>
      </c>
      <c r="B85" s="20">
        <v>46116</v>
      </c>
      <c r="C85" s="21" t="s">
        <v>75</v>
      </c>
      <c r="D85" s="22" t="str" cm="1">
        <f t="array" ref="D85">INDEX([1]Sheet2!A:A,MATCH(E85,[1]Sheet2!B:B,0))</f>
        <v>刘连</v>
      </c>
      <c r="E85" s="23" t="s">
        <v>76</v>
      </c>
      <c r="F85" s="24">
        <f t="shared" si="2"/>
        <v>100</v>
      </c>
      <c r="G85" s="24" t="s">
        <v>77</v>
      </c>
      <c r="H85" s="25"/>
      <c r="I85" s="25"/>
      <c r="J85" s="24"/>
      <c r="K85" s="24"/>
      <c r="L85" s="24"/>
      <c r="M85" s="24"/>
      <c r="N85" s="24"/>
      <c r="O85" s="24"/>
      <c r="P85" s="24"/>
      <c r="Q85" s="24"/>
      <c r="R85" s="43"/>
      <c r="S85" s="24">
        <v>100</v>
      </c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36"/>
      <c r="AG85" s="36"/>
      <c r="AH85" s="36"/>
      <c r="AI85" s="36"/>
    </row>
    <row r="86" s="1" customFormat="1" ht="25" customHeight="1" spans="1:35">
      <c r="A86" s="17">
        <v>83</v>
      </c>
      <c r="B86" s="20">
        <v>46116</v>
      </c>
      <c r="C86" s="21" t="s">
        <v>84</v>
      </c>
      <c r="D86" s="22" t="str" cm="1">
        <f t="array" ref="D86">INDEX([1]Sheet2!A:A,MATCH(E86,[1]Sheet2!B:B,0))</f>
        <v>莫靖凡</v>
      </c>
      <c r="E86" s="23" t="s">
        <v>85</v>
      </c>
      <c r="F86" s="24">
        <f t="shared" si="2"/>
        <v>50</v>
      </c>
      <c r="G86" s="24" t="s">
        <v>77</v>
      </c>
      <c r="H86" s="25"/>
      <c r="I86" s="25"/>
      <c r="J86" s="24"/>
      <c r="K86" s="24"/>
      <c r="L86" s="24"/>
      <c r="M86" s="24"/>
      <c r="N86" s="24"/>
      <c r="O86" s="24"/>
      <c r="P86" s="24"/>
      <c r="Q86" s="24"/>
      <c r="R86" s="43"/>
      <c r="S86" s="24">
        <v>50</v>
      </c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36"/>
      <c r="AG86" s="36"/>
      <c r="AH86" s="36"/>
      <c r="AI86" s="36"/>
    </row>
    <row r="87" s="1" customFormat="1" ht="25" customHeight="1" spans="1:35">
      <c r="A87" s="17">
        <v>84</v>
      </c>
      <c r="B87" s="20">
        <v>46116</v>
      </c>
      <c r="C87" s="21" t="s">
        <v>143</v>
      </c>
      <c r="D87" s="22" t="str" cm="1">
        <f t="array" ref="D87">INDEX([1]Sheet2!A:A,MATCH(E87,[1]Sheet2!B:B,0))</f>
        <v>刘连</v>
      </c>
      <c r="E87" s="23" t="s">
        <v>144</v>
      </c>
      <c r="F87" s="24">
        <f t="shared" si="2"/>
        <v>100</v>
      </c>
      <c r="G87" s="24" t="s">
        <v>77</v>
      </c>
      <c r="H87" s="25"/>
      <c r="I87" s="25"/>
      <c r="J87" s="24"/>
      <c r="K87" s="24"/>
      <c r="L87" s="24"/>
      <c r="M87" s="24"/>
      <c r="N87" s="24"/>
      <c r="O87" s="24"/>
      <c r="P87" s="24"/>
      <c r="Q87" s="24"/>
      <c r="R87" s="43"/>
      <c r="S87" s="24">
        <v>100</v>
      </c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36"/>
      <c r="AG87" s="36"/>
      <c r="AH87" s="36"/>
      <c r="AI87" s="36"/>
    </row>
    <row r="88" s="1" customFormat="1" ht="25" customHeight="1" spans="1:35">
      <c r="A88" s="17">
        <v>85</v>
      </c>
      <c r="B88" s="20">
        <v>46116</v>
      </c>
      <c r="C88" s="21" t="s">
        <v>135</v>
      </c>
      <c r="D88" s="22" t="str" cm="1">
        <f t="array" ref="D88">INDEX([1]Sheet2!A:A,MATCH(E88,[1]Sheet2!B:B,0))</f>
        <v>周军伟</v>
      </c>
      <c r="E88" s="23" t="s">
        <v>136</v>
      </c>
      <c r="F88" s="24">
        <f t="shared" si="2"/>
        <v>100</v>
      </c>
      <c r="G88" s="24" t="s">
        <v>77</v>
      </c>
      <c r="H88" s="25"/>
      <c r="I88" s="25"/>
      <c r="J88" s="24"/>
      <c r="K88" s="24"/>
      <c r="L88" s="24"/>
      <c r="M88" s="24"/>
      <c r="N88" s="24"/>
      <c r="O88" s="24"/>
      <c r="P88" s="24"/>
      <c r="Q88" s="24"/>
      <c r="R88" s="43"/>
      <c r="S88" s="24">
        <v>100</v>
      </c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36"/>
      <c r="AG88" s="36"/>
      <c r="AH88" s="36"/>
      <c r="AI88" s="36"/>
    </row>
    <row r="89" s="1" customFormat="1" ht="25" customHeight="1" spans="1:35">
      <c r="A89" s="17">
        <v>86</v>
      </c>
      <c r="B89" s="20">
        <v>46116</v>
      </c>
      <c r="C89" s="21" t="s">
        <v>171</v>
      </c>
      <c r="D89" s="22" t="str" cm="1">
        <f t="array" ref="D89">INDEX([1]Sheet2!A:A,MATCH(E89,[1]Sheet2!B:B,0))</f>
        <v>王秋燕</v>
      </c>
      <c r="E89" s="23" t="s">
        <v>172</v>
      </c>
      <c r="F89" s="24">
        <f t="shared" si="2"/>
        <v>1000</v>
      </c>
      <c r="G89" s="24" t="s">
        <v>77</v>
      </c>
      <c r="H89" s="25"/>
      <c r="I89" s="25"/>
      <c r="J89" s="24"/>
      <c r="K89" s="24"/>
      <c r="L89" s="24"/>
      <c r="M89" s="24"/>
      <c r="N89" s="24"/>
      <c r="O89" s="24"/>
      <c r="P89" s="24"/>
      <c r="Q89" s="24"/>
      <c r="R89" s="43"/>
      <c r="S89" s="24">
        <v>1000</v>
      </c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36"/>
      <c r="AG89" s="36"/>
      <c r="AH89" s="36"/>
      <c r="AI89" s="36"/>
    </row>
    <row r="90" s="1" customFormat="1" ht="25" customHeight="1" spans="1:35">
      <c r="A90" s="17">
        <v>87</v>
      </c>
      <c r="B90" s="20">
        <v>46116</v>
      </c>
      <c r="C90" s="21" t="s">
        <v>173</v>
      </c>
      <c r="D90" s="22" t="str" cm="1">
        <f t="array" ref="D90">INDEX([1]Sheet2!A:A,MATCH(E90,[1]Sheet2!B:B,0))</f>
        <v>王成宁</v>
      </c>
      <c r="E90" s="23" t="s">
        <v>174</v>
      </c>
      <c r="F90" s="24">
        <f t="shared" si="2"/>
        <v>500</v>
      </c>
      <c r="G90" s="24" t="s">
        <v>77</v>
      </c>
      <c r="H90" s="25"/>
      <c r="I90" s="25"/>
      <c r="J90" s="24"/>
      <c r="K90" s="24"/>
      <c r="L90" s="24"/>
      <c r="M90" s="24"/>
      <c r="N90" s="24"/>
      <c r="O90" s="24"/>
      <c r="P90" s="24"/>
      <c r="Q90" s="24"/>
      <c r="R90" s="43"/>
      <c r="S90" s="24">
        <v>500</v>
      </c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36"/>
      <c r="AG90" s="36"/>
      <c r="AH90" s="36"/>
      <c r="AI90" s="36"/>
    </row>
    <row r="91" s="1" customFormat="1" ht="25" customHeight="1" spans="1:35">
      <c r="A91" s="17">
        <v>88</v>
      </c>
      <c r="B91" s="20">
        <v>46116</v>
      </c>
      <c r="C91" s="21" t="s">
        <v>175</v>
      </c>
      <c r="D91" s="22" t="str" cm="1">
        <f t="array" ref="D91">INDEX([1]Sheet2!A:A,MATCH(E91,[1]Sheet2!B:B,0))</f>
        <v>袁岫峰</v>
      </c>
      <c r="E91" s="23" t="s">
        <v>176</v>
      </c>
      <c r="F91" s="24">
        <f t="shared" si="2"/>
        <v>2000</v>
      </c>
      <c r="G91" s="24" t="s">
        <v>77</v>
      </c>
      <c r="H91" s="25"/>
      <c r="I91" s="25"/>
      <c r="J91" s="24"/>
      <c r="K91" s="24"/>
      <c r="L91" s="24"/>
      <c r="M91" s="24"/>
      <c r="N91" s="24"/>
      <c r="O91" s="24"/>
      <c r="P91" s="24"/>
      <c r="Q91" s="24"/>
      <c r="R91" s="43"/>
      <c r="S91" s="24">
        <v>2000</v>
      </c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36"/>
      <c r="AG91" s="36"/>
      <c r="AH91" s="36"/>
      <c r="AI91" s="36"/>
    </row>
    <row r="92" s="1" customFormat="1" ht="25" customHeight="1" spans="1:35">
      <c r="A92" s="17">
        <v>89</v>
      </c>
      <c r="B92" s="20">
        <v>46116</v>
      </c>
      <c r="C92" s="21" t="s">
        <v>177</v>
      </c>
      <c r="D92" s="22" t="str" cm="1">
        <f t="array" ref="D92">INDEX([1]Sheet2!A:A,MATCH(E92,[1]Sheet2!B:B,0))</f>
        <v>屈姣</v>
      </c>
      <c r="E92" s="23" t="s">
        <v>178</v>
      </c>
      <c r="F92" s="24">
        <f t="shared" si="2"/>
        <v>500</v>
      </c>
      <c r="G92" s="24" t="s">
        <v>77</v>
      </c>
      <c r="H92" s="25"/>
      <c r="I92" s="25"/>
      <c r="J92" s="24"/>
      <c r="K92" s="24"/>
      <c r="L92" s="24"/>
      <c r="M92" s="24"/>
      <c r="N92" s="24"/>
      <c r="O92" s="24"/>
      <c r="P92" s="24"/>
      <c r="Q92" s="24"/>
      <c r="R92" s="43"/>
      <c r="S92" s="24">
        <v>500</v>
      </c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36"/>
      <c r="AG92" s="36"/>
      <c r="AH92" s="36"/>
      <c r="AI92" s="36"/>
    </row>
    <row r="93" s="1" customFormat="1" ht="25" customHeight="1" spans="1:35">
      <c r="A93" s="17">
        <v>90</v>
      </c>
      <c r="B93" s="20">
        <v>46116</v>
      </c>
      <c r="C93" s="21" t="s">
        <v>179</v>
      </c>
      <c r="D93" s="22" t="str" cm="1">
        <f t="array" ref="D93">INDEX([1]Sheet2!A:A,MATCH(E93,[1]Sheet2!B:B,0))</f>
        <v>封旭</v>
      </c>
      <c r="E93" s="23" t="s">
        <v>180</v>
      </c>
      <c r="F93" s="24">
        <f t="shared" si="2"/>
        <v>500</v>
      </c>
      <c r="G93" s="24" t="s">
        <v>77</v>
      </c>
      <c r="H93" s="25"/>
      <c r="I93" s="25"/>
      <c r="J93" s="24"/>
      <c r="K93" s="24"/>
      <c r="L93" s="24"/>
      <c r="M93" s="24"/>
      <c r="N93" s="24"/>
      <c r="O93" s="24"/>
      <c r="P93" s="24"/>
      <c r="Q93" s="24"/>
      <c r="R93" s="43"/>
      <c r="S93" s="24">
        <v>500</v>
      </c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36"/>
      <c r="AG93" s="36"/>
      <c r="AH93" s="36"/>
      <c r="AI93" s="36"/>
    </row>
    <row r="94" s="1" customFormat="1" ht="25" customHeight="1" spans="1:35">
      <c r="A94" s="17">
        <v>91</v>
      </c>
      <c r="B94" s="20">
        <v>46116</v>
      </c>
      <c r="C94" s="21" t="s">
        <v>24</v>
      </c>
      <c r="D94" s="22" t="str" cm="1">
        <f t="array" ref="D94">INDEX([1]Sheet2!A:A,MATCH(E94,[1]Sheet2!B:B,0))</f>
        <v>临时</v>
      </c>
      <c r="E94" s="23" t="s">
        <v>99</v>
      </c>
      <c r="F94" s="24">
        <f t="shared" si="2"/>
        <v>390</v>
      </c>
      <c r="G94" s="24" t="s">
        <v>100</v>
      </c>
      <c r="H94" s="25"/>
      <c r="I94" s="25"/>
      <c r="J94" s="24"/>
      <c r="K94" s="24"/>
      <c r="L94" s="24"/>
      <c r="M94" s="24"/>
      <c r="N94" s="24"/>
      <c r="O94" s="24"/>
      <c r="P94" s="24"/>
      <c r="Q94" s="24"/>
      <c r="R94" s="43"/>
      <c r="S94" s="24"/>
      <c r="T94" s="24"/>
      <c r="U94" s="24"/>
      <c r="V94" s="24"/>
      <c r="W94" s="24">
        <v>390</v>
      </c>
      <c r="X94" s="24"/>
      <c r="Y94" s="24"/>
      <c r="Z94" s="24"/>
      <c r="AA94" s="24"/>
      <c r="AB94" s="24"/>
      <c r="AC94" s="24"/>
      <c r="AD94" s="24"/>
      <c r="AE94" s="24"/>
      <c r="AF94" s="36"/>
      <c r="AG94" s="36"/>
      <c r="AH94" s="36"/>
      <c r="AI94" s="36"/>
    </row>
    <row r="95" s="1" customFormat="1" ht="25" customHeight="1" spans="1:35">
      <c r="A95" s="17">
        <v>92</v>
      </c>
      <c r="B95" s="20">
        <v>46117</v>
      </c>
      <c r="C95" s="21" t="s">
        <v>168</v>
      </c>
      <c r="D95" s="22" t="e" cm="1">
        <f t="array" ref="D95">INDEX([1]Sheet2!A:A,MATCH(E95,[1]Sheet2!B:B,0))</f>
        <v>#N/A</v>
      </c>
      <c r="E95" s="23"/>
      <c r="F95" s="24">
        <f t="shared" si="2"/>
        <v>13</v>
      </c>
      <c r="G95" s="24" t="s">
        <v>49</v>
      </c>
      <c r="H95" s="25"/>
      <c r="I95" s="25"/>
      <c r="J95" s="24"/>
      <c r="K95" s="24"/>
      <c r="L95" s="24"/>
      <c r="M95" s="24"/>
      <c r="N95" s="24"/>
      <c r="O95" s="24"/>
      <c r="P95" s="24"/>
      <c r="Q95" s="24"/>
      <c r="R95" s="43"/>
      <c r="S95" s="24"/>
      <c r="T95" s="24"/>
      <c r="U95" s="24"/>
      <c r="V95" s="24">
        <v>13</v>
      </c>
      <c r="W95" s="24"/>
      <c r="X95" s="24"/>
      <c r="Y95" s="24"/>
      <c r="Z95" s="24"/>
      <c r="AA95" s="24"/>
      <c r="AB95" s="24"/>
      <c r="AC95" s="24"/>
      <c r="AD95" s="24"/>
      <c r="AE95" s="24"/>
      <c r="AF95" s="36"/>
      <c r="AG95" s="36"/>
      <c r="AH95" s="36"/>
      <c r="AI95" s="36"/>
    </row>
    <row r="96" s="1" customFormat="1" ht="25" customHeight="1" spans="1:35">
      <c r="A96" s="17">
        <v>93</v>
      </c>
      <c r="B96" s="20">
        <v>46117</v>
      </c>
      <c r="C96" s="21" t="s">
        <v>73</v>
      </c>
      <c r="D96" s="22" t="str" cm="1">
        <f t="array" ref="D96">INDEX([1]Sheet2!A:A,MATCH(E96,[1]Sheet2!B:B,0))</f>
        <v>衡阳志扬体育文化有限公司</v>
      </c>
      <c r="E96" s="23" t="s">
        <v>74</v>
      </c>
      <c r="F96" s="24">
        <f t="shared" si="2"/>
        <v>4675</v>
      </c>
      <c r="G96" s="24" t="s">
        <v>49</v>
      </c>
      <c r="H96" s="36"/>
      <c r="I96" s="36"/>
      <c r="J96" s="24"/>
      <c r="K96" s="24"/>
      <c r="L96" s="24"/>
      <c r="M96" s="24"/>
      <c r="N96" s="24"/>
      <c r="O96" s="24"/>
      <c r="P96" s="24"/>
      <c r="Q96" s="24"/>
      <c r="R96" s="43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>
        <v>4675</v>
      </c>
      <c r="AF96" s="36"/>
      <c r="AG96" s="36"/>
      <c r="AH96" s="36"/>
      <c r="AI96" s="36"/>
    </row>
    <row r="97" s="1" customFormat="1" ht="25" customHeight="1" spans="1:35">
      <c r="A97" s="17">
        <v>94</v>
      </c>
      <c r="B97" s="20">
        <v>46117</v>
      </c>
      <c r="C97" s="21" t="s">
        <v>137</v>
      </c>
      <c r="D97" s="22" t="s">
        <v>181</v>
      </c>
      <c r="E97" s="23" t="s">
        <v>182</v>
      </c>
      <c r="F97" s="24">
        <f t="shared" si="2"/>
        <v>4828.54</v>
      </c>
      <c r="G97" s="24" t="s">
        <v>49</v>
      </c>
      <c r="H97" s="25"/>
      <c r="I97" s="25"/>
      <c r="J97" s="24"/>
      <c r="K97" s="24"/>
      <c r="L97" s="24"/>
      <c r="M97" s="24"/>
      <c r="N97" s="24"/>
      <c r="O97" s="24"/>
      <c r="P97" s="24"/>
      <c r="Q97" s="24"/>
      <c r="R97" s="43"/>
      <c r="S97" s="24"/>
      <c r="T97" s="24"/>
      <c r="U97" s="24"/>
      <c r="V97" s="24"/>
      <c r="W97" s="24"/>
      <c r="X97" s="24"/>
      <c r="Y97" s="24"/>
      <c r="Z97" s="24"/>
      <c r="AA97" s="24">
        <v>4828.54</v>
      </c>
      <c r="AB97" s="24"/>
      <c r="AC97" s="24"/>
      <c r="AD97" s="24"/>
      <c r="AE97" s="24"/>
      <c r="AF97" s="36"/>
      <c r="AG97" s="36"/>
      <c r="AH97" s="36"/>
      <c r="AI97" s="36"/>
    </row>
    <row r="98" s="1" customFormat="1" ht="25" customHeight="1" spans="1:35">
      <c r="A98" s="17">
        <v>95</v>
      </c>
      <c r="B98" s="20">
        <v>46117</v>
      </c>
      <c r="C98" s="21" t="s">
        <v>105</v>
      </c>
      <c r="D98" s="22" t="str" cm="1">
        <f t="array" ref="D98">INDEX([1]Sheet2!A:A,MATCH(E98,[1]Sheet2!B:B,0))</f>
        <v>莫德明</v>
      </c>
      <c r="E98" s="23" t="s">
        <v>126</v>
      </c>
      <c r="F98" s="24">
        <f t="shared" si="2"/>
        <v>1000</v>
      </c>
      <c r="G98" s="24" t="s">
        <v>77</v>
      </c>
      <c r="H98" s="36"/>
      <c r="I98" s="36"/>
      <c r="J98" s="24"/>
      <c r="K98" s="24"/>
      <c r="L98" s="24"/>
      <c r="M98" s="24"/>
      <c r="N98" s="24"/>
      <c r="O98" s="24"/>
      <c r="P98" s="24"/>
      <c r="Q98" s="24"/>
      <c r="R98" s="43"/>
      <c r="S98" s="24">
        <v>1000</v>
      </c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36"/>
      <c r="AG98" s="36"/>
      <c r="AH98" s="36"/>
      <c r="AI98" s="36"/>
    </row>
    <row r="99" s="1" customFormat="1" ht="25" customHeight="1" spans="1:35">
      <c r="A99" s="17">
        <v>96</v>
      </c>
      <c r="B99" s="20">
        <v>46117</v>
      </c>
      <c r="C99" s="21" t="s">
        <v>183</v>
      </c>
      <c r="D99" s="22" t="str" cm="1">
        <f t="array" ref="D99">INDEX([1]Sheet2!A:A,MATCH(E99,[1]Sheet2!B:B,0))</f>
        <v>金丽丽</v>
      </c>
      <c r="E99" s="23" t="s">
        <v>184</v>
      </c>
      <c r="F99" s="24">
        <f t="shared" si="2"/>
        <v>500</v>
      </c>
      <c r="G99" s="24" t="s">
        <v>77</v>
      </c>
      <c r="H99" s="25"/>
      <c r="I99" s="25"/>
      <c r="J99" s="24"/>
      <c r="K99" s="24"/>
      <c r="L99" s="24"/>
      <c r="M99" s="24"/>
      <c r="N99" s="24"/>
      <c r="O99" s="24"/>
      <c r="P99" s="24"/>
      <c r="Q99" s="24"/>
      <c r="R99" s="43"/>
      <c r="S99" s="24">
        <v>500</v>
      </c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36"/>
      <c r="AG99" s="36"/>
      <c r="AH99" s="36"/>
      <c r="AI99" s="36"/>
    </row>
    <row r="100" s="1" customFormat="1" ht="25" customHeight="1" spans="1:35">
      <c r="A100" s="17">
        <v>97</v>
      </c>
      <c r="B100" s="20">
        <v>46117</v>
      </c>
      <c r="C100" s="21" t="s">
        <v>84</v>
      </c>
      <c r="D100" s="22" t="str" cm="1">
        <f t="array" ref="D100">INDEX([1]Sheet2!A:A,MATCH(E100,[1]Sheet2!B:B,0))</f>
        <v>莫靖凡</v>
      </c>
      <c r="E100" s="23" t="s">
        <v>85</v>
      </c>
      <c r="F100" s="24">
        <f t="shared" si="2"/>
        <v>50</v>
      </c>
      <c r="G100" s="24" t="s">
        <v>77</v>
      </c>
      <c r="H100" s="36"/>
      <c r="I100" s="36"/>
      <c r="J100" s="24"/>
      <c r="K100" s="24"/>
      <c r="L100" s="24"/>
      <c r="M100" s="24"/>
      <c r="N100" s="24"/>
      <c r="O100" s="24"/>
      <c r="P100" s="24"/>
      <c r="Q100" s="24"/>
      <c r="R100" s="43"/>
      <c r="S100" s="24">
        <v>50</v>
      </c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36"/>
      <c r="AG100" s="36"/>
      <c r="AH100" s="36"/>
      <c r="AI100" s="36"/>
    </row>
    <row r="101" s="1" customFormat="1" ht="25" customHeight="1" spans="1:35">
      <c r="A101" s="17">
        <v>98</v>
      </c>
      <c r="B101" s="20">
        <v>46117</v>
      </c>
      <c r="C101" s="21" t="s">
        <v>185</v>
      </c>
      <c r="D101" s="22" t="str" cm="1">
        <f t="array" ref="D101">INDEX([1]Sheet2!A:A,MATCH(E101,[1]Sheet2!B:B,0))</f>
        <v>谭娜</v>
      </c>
      <c r="E101" s="23" t="s">
        <v>186</v>
      </c>
      <c r="F101" s="24">
        <f t="shared" si="2"/>
        <v>2000</v>
      </c>
      <c r="G101" s="24" t="s">
        <v>77</v>
      </c>
      <c r="H101" s="25"/>
      <c r="I101" s="25"/>
      <c r="J101" s="24"/>
      <c r="K101" s="24"/>
      <c r="L101" s="24"/>
      <c r="M101" s="24"/>
      <c r="N101" s="24"/>
      <c r="O101" s="24"/>
      <c r="P101" s="24"/>
      <c r="Q101" s="24"/>
      <c r="R101" s="43"/>
      <c r="S101" s="24">
        <v>2000</v>
      </c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36"/>
      <c r="AG101" s="36"/>
      <c r="AH101" s="36"/>
      <c r="AI101" s="50"/>
    </row>
    <row r="102" s="1" customFormat="1" ht="25" customHeight="1" spans="1:35">
      <c r="A102" s="17">
        <v>99</v>
      </c>
      <c r="B102" s="20">
        <v>46117</v>
      </c>
      <c r="C102" s="21" t="s">
        <v>187</v>
      </c>
      <c r="D102" s="22" t="str" cm="1">
        <f t="array" ref="D102">INDEX([1]Sheet2!A:A,MATCH(E102,[1]Sheet2!B:B,0))</f>
        <v>衡阳市新顺电器有限公司</v>
      </c>
      <c r="E102" s="23" t="s">
        <v>188</v>
      </c>
      <c r="F102" s="24">
        <f t="shared" si="2"/>
        <v>1000</v>
      </c>
      <c r="G102" s="24" t="s">
        <v>77</v>
      </c>
      <c r="H102" s="25"/>
      <c r="I102" s="25"/>
      <c r="J102" s="24"/>
      <c r="K102" s="24"/>
      <c r="L102" s="24"/>
      <c r="M102" s="24"/>
      <c r="N102" s="24"/>
      <c r="O102" s="24"/>
      <c r="P102" s="24"/>
      <c r="Q102" s="24"/>
      <c r="R102" s="43"/>
      <c r="S102" s="24">
        <v>1000</v>
      </c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36"/>
      <c r="AG102" s="36"/>
      <c r="AH102" s="36"/>
      <c r="AI102" s="36"/>
    </row>
    <row r="103" s="1" customFormat="1" ht="25" customHeight="1" spans="1:35">
      <c r="A103" s="17">
        <v>100</v>
      </c>
      <c r="B103" s="20">
        <v>46117</v>
      </c>
      <c r="C103" s="21" t="s">
        <v>189</v>
      </c>
      <c r="D103" s="22" t="str" cm="1">
        <f t="array" ref="D103">INDEX([1]Sheet2!A:A,MATCH(E103,[1]Sheet2!B:B,0))</f>
        <v>徐海峰</v>
      </c>
      <c r="E103" s="23" t="s">
        <v>190</v>
      </c>
      <c r="F103" s="24">
        <f t="shared" si="2"/>
        <v>5000</v>
      </c>
      <c r="G103" s="24" t="s">
        <v>77</v>
      </c>
      <c r="H103" s="25"/>
      <c r="I103" s="25"/>
      <c r="J103" s="24"/>
      <c r="K103" s="24"/>
      <c r="L103" s="24"/>
      <c r="M103" s="24"/>
      <c r="N103" s="24"/>
      <c r="O103" s="24"/>
      <c r="P103" s="24"/>
      <c r="Q103" s="24"/>
      <c r="R103" s="43"/>
      <c r="S103" s="24">
        <v>5000</v>
      </c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36"/>
      <c r="AG103" s="36"/>
      <c r="AH103" s="36"/>
      <c r="AI103" s="36"/>
    </row>
    <row r="104" s="1" customFormat="1" ht="25" customHeight="1" spans="1:35">
      <c r="A104" s="17">
        <v>101</v>
      </c>
      <c r="B104" s="20">
        <v>46117</v>
      </c>
      <c r="C104" s="21" t="s">
        <v>145</v>
      </c>
      <c r="D104" s="22" t="str" cm="1">
        <f t="array" ref="D104">INDEX([1]Sheet2!A:A,MATCH(E104,[1]Sheet2!B:B,0))</f>
        <v>长沙奥龙鞋业销售有限公司</v>
      </c>
      <c r="E104" s="23" t="s">
        <v>191</v>
      </c>
      <c r="F104" s="24">
        <f t="shared" si="2"/>
        <v>2800</v>
      </c>
      <c r="G104" s="24" t="s">
        <v>77</v>
      </c>
      <c r="H104" s="25"/>
      <c r="I104" s="25"/>
      <c r="J104" s="24"/>
      <c r="K104" s="24"/>
      <c r="L104" s="24"/>
      <c r="M104" s="24"/>
      <c r="N104" s="24"/>
      <c r="O104" s="24"/>
      <c r="P104" s="24"/>
      <c r="Q104" s="24"/>
      <c r="R104" s="43"/>
      <c r="S104" s="24">
        <v>2800</v>
      </c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36"/>
      <c r="AG104" s="36"/>
      <c r="AH104" s="36"/>
      <c r="AI104" s="36"/>
    </row>
    <row r="105" s="1" customFormat="1" ht="25" customHeight="1" spans="1:35">
      <c r="A105" s="17">
        <v>102</v>
      </c>
      <c r="B105" s="20">
        <v>46117</v>
      </c>
      <c r="C105" s="21" t="s">
        <v>137</v>
      </c>
      <c r="D105" s="22" t="str" cm="1">
        <f t="array" ref="D105">INDEX([1]Sheet2!A:A,MATCH(E105,[1]Sheet2!B:B,0))</f>
        <v>陈洁</v>
      </c>
      <c r="E105" s="23" t="s">
        <v>138</v>
      </c>
      <c r="F105" s="24">
        <f t="shared" si="2"/>
        <v>20</v>
      </c>
      <c r="G105" s="24" t="s">
        <v>77</v>
      </c>
      <c r="H105" s="25"/>
      <c r="I105" s="25"/>
      <c r="J105" s="24"/>
      <c r="K105" s="24"/>
      <c r="L105" s="24"/>
      <c r="M105" s="24"/>
      <c r="N105" s="24"/>
      <c r="O105" s="24"/>
      <c r="P105" s="24"/>
      <c r="Q105" s="24"/>
      <c r="R105" s="43"/>
      <c r="S105" s="24">
        <v>20</v>
      </c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36"/>
      <c r="AG105" s="36"/>
      <c r="AH105" s="36"/>
      <c r="AI105" s="36"/>
    </row>
    <row r="106" s="1" customFormat="1" ht="25" customHeight="1" spans="1:35">
      <c r="A106" s="17">
        <v>103</v>
      </c>
      <c r="B106" s="20">
        <v>46117</v>
      </c>
      <c r="C106" s="21" t="s">
        <v>192</v>
      </c>
      <c r="D106" s="22" t="str" cm="1">
        <f t="array" ref="D106">INDEX([1]Sheet2!A:A,MATCH(E106,[1]Sheet2!B:B,0))</f>
        <v>谢曼丽</v>
      </c>
      <c r="E106" s="23" t="s">
        <v>193</v>
      </c>
      <c r="F106" s="24">
        <f t="shared" si="2"/>
        <v>3000</v>
      </c>
      <c r="G106" s="24" t="s">
        <v>77</v>
      </c>
      <c r="H106" s="25"/>
      <c r="I106" s="25"/>
      <c r="J106" s="24"/>
      <c r="K106" s="24"/>
      <c r="L106" s="24"/>
      <c r="M106" s="24"/>
      <c r="N106" s="24"/>
      <c r="O106" s="24"/>
      <c r="P106" s="24"/>
      <c r="Q106" s="24"/>
      <c r="R106" s="43"/>
      <c r="S106" s="24">
        <v>3000</v>
      </c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36"/>
      <c r="AG106" s="36"/>
      <c r="AH106" s="36"/>
      <c r="AI106" s="36"/>
    </row>
    <row r="107" s="1" customFormat="1" ht="25" customHeight="1" spans="1:35">
      <c r="A107" s="17">
        <v>104</v>
      </c>
      <c r="B107" s="20">
        <v>46117</v>
      </c>
      <c r="C107" s="21" t="s">
        <v>177</v>
      </c>
      <c r="D107" s="22" t="str" cm="1">
        <f t="array" ref="D107">INDEX([1]Sheet2!A:A,MATCH(E107,[1]Sheet2!B:B,0))</f>
        <v>屈姣</v>
      </c>
      <c r="E107" s="23" t="s">
        <v>178</v>
      </c>
      <c r="F107" s="24">
        <f t="shared" si="2"/>
        <v>1500</v>
      </c>
      <c r="G107" s="24" t="s">
        <v>77</v>
      </c>
      <c r="H107" s="25"/>
      <c r="I107" s="25"/>
      <c r="J107" s="24"/>
      <c r="K107" s="24"/>
      <c r="L107" s="24"/>
      <c r="M107" s="24"/>
      <c r="N107" s="24"/>
      <c r="O107" s="24"/>
      <c r="P107" s="24"/>
      <c r="Q107" s="24"/>
      <c r="R107" s="43"/>
      <c r="S107" s="24">
        <v>1500</v>
      </c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36"/>
      <c r="AG107" s="36"/>
      <c r="AH107" s="36"/>
      <c r="AI107" s="36"/>
    </row>
    <row r="108" s="1" customFormat="1" ht="25" customHeight="1" spans="1:35">
      <c r="A108" s="17">
        <v>105</v>
      </c>
      <c r="B108" s="20">
        <v>46117</v>
      </c>
      <c r="C108" s="21" t="s">
        <v>24</v>
      </c>
      <c r="D108" s="22" t="str" cm="1">
        <f t="array" ref="D108">INDEX([1]Sheet2!A:A,MATCH(E108,[1]Sheet2!B:B,0))</f>
        <v>临时</v>
      </c>
      <c r="E108" s="23" t="s">
        <v>99</v>
      </c>
      <c r="F108" s="24">
        <f t="shared" si="2"/>
        <v>573</v>
      </c>
      <c r="G108" s="24" t="s">
        <v>100</v>
      </c>
      <c r="H108" s="25"/>
      <c r="I108" s="25"/>
      <c r="J108" s="24"/>
      <c r="K108" s="24"/>
      <c r="L108" s="24"/>
      <c r="M108" s="24"/>
      <c r="N108" s="24"/>
      <c r="O108" s="24"/>
      <c r="P108" s="24"/>
      <c r="Q108" s="24"/>
      <c r="R108" s="43"/>
      <c r="S108" s="24"/>
      <c r="T108" s="24"/>
      <c r="U108" s="24"/>
      <c r="V108" s="24"/>
      <c r="W108" s="24">
        <v>573</v>
      </c>
      <c r="X108" s="24"/>
      <c r="Y108" s="24"/>
      <c r="Z108" s="24"/>
      <c r="AA108" s="24"/>
      <c r="AB108" s="24"/>
      <c r="AC108" s="24"/>
      <c r="AD108" s="24"/>
      <c r="AE108" s="24"/>
      <c r="AF108" s="36"/>
      <c r="AG108" s="36"/>
      <c r="AH108" s="36"/>
      <c r="AI108" s="36"/>
    </row>
    <row r="109" s="1" customFormat="1" ht="25" customHeight="1" spans="1:35">
      <c r="A109" s="17">
        <v>106</v>
      </c>
      <c r="B109" s="20">
        <v>46118</v>
      </c>
      <c r="C109" s="21" t="s">
        <v>24</v>
      </c>
      <c r="D109" s="22" t="str" cm="1">
        <f t="array" ref="D109">INDEX([1]Sheet2!A:A,MATCH(E109,[1]Sheet2!B:B,0))</f>
        <v>充值</v>
      </c>
      <c r="E109" s="23" t="s">
        <v>72</v>
      </c>
      <c r="F109" s="24">
        <f t="shared" si="2"/>
        <v>300</v>
      </c>
      <c r="G109" s="24" t="s">
        <v>49</v>
      </c>
      <c r="H109" s="25"/>
      <c r="I109" s="25"/>
      <c r="J109" s="24"/>
      <c r="K109" s="24"/>
      <c r="L109" s="24"/>
      <c r="M109" s="24"/>
      <c r="N109" s="24"/>
      <c r="O109" s="24"/>
      <c r="P109" s="24"/>
      <c r="Q109" s="24"/>
      <c r="R109" s="43"/>
      <c r="S109" s="24"/>
      <c r="T109" s="24"/>
      <c r="U109" s="24"/>
      <c r="V109" s="24"/>
      <c r="W109" s="24">
        <v>300</v>
      </c>
      <c r="X109" s="24"/>
      <c r="Y109" s="24"/>
      <c r="Z109" s="24"/>
      <c r="AA109" s="24"/>
      <c r="AB109" s="24"/>
      <c r="AC109" s="24"/>
      <c r="AD109" s="24"/>
      <c r="AE109" s="24"/>
      <c r="AF109" s="36"/>
      <c r="AG109" s="36"/>
      <c r="AH109" s="36"/>
      <c r="AI109" s="36"/>
    </row>
    <row r="110" s="1" customFormat="1" ht="25" customHeight="1" spans="1:35">
      <c r="A110" s="17">
        <v>107</v>
      </c>
      <c r="B110" s="20">
        <v>46118</v>
      </c>
      <c r="C110" s="21" t="s">
        <v>73</v>
      </c>
      <c r="D110" s="22" t="str" cm="1">
        <f t="array" ref="D110">INDEX([1]Sheet2!A:A,MATCH(E110,[1]Sheet2!B:B,0))</f>
        <v>衡阳志扬体育文化有限公司</v>
      </c>
      <c r="E110" s="23" t="s">
        <v>74</v>
      </c>
      <c r="F110" s="24">
        <f t="shared" si="2"/>
        <v>1850</v>
      </c>
      <c r="G110" s="24" t="s">
        <v>49</v>
      </c>
      <c r="H110" s="25"/>
      <c r="I110" s="25"/>
      <c r="J110" s="24"/>
      <c r="K110" s="24"/>
      <c r="L110" s="24"/>
      <c r="M110" s="24"/>
      <c r="N110" s="24"/>
      <c r="O110" s="24"/>
      <c r="P110" s="24"/>
      <c r="Q110" s="24"/>
      <c r="R110" s="43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>
        <v>1850</v>
      </c>
      <c r="AF110" s="36"/>
      <c r="AG110" s="36"/>
      <c r="AH110" s="36"/>
      <c r="AI110" s="36"/>
    </row>
    <row r="111" s="1" customFormat="1" ht="25" customHeight="1" spans="1:35">
      <c r="A111" s="17">
        <v>108</v>
      </c>
      <c r="B111" s="20">
        <v>46118</v>
      </c>
      <c r="C111" s="21" t="s">
        <v>194</v>
      </c>
      <c r="D111" s="22" t="s">
        <v>38</v>
      </c>
      <c r="E111" s="23" t="s">
        <v>195</v>
      </c>
      <c r="F111" s="24">
        <f t="shared" si="2"/>
        <v>500</v>
      </c>
      <c r="G111" s="24" t="s">
        <v>49</v>
      </c>
      <c r="H111" s="25"/>
      <c r="I111" s="25"/>
      <c r="J111" s="24"/>
      <c r="K111" s="24"/>
      <c r="L111" s="24"/>
      <c r="M111" s="24"/>
      <c r="N111" s="24"/>
      <c r="O111" s="24"/>
      <c r="P111" s="24"/>
      <c r="Q111" s="24"/>
      <c r="R111" s="43"/>
      <c r="S111" s="24">
        <v>500</v>
      </c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36"/>
      <c r="AG111" s="36"/>
      <c r="AH111" s="36"/>
      <c r="AI111" s="36"/>
    </row>
    <row r="112" s="1" customFormat="1" ht="25" customHeight="1" spans="1:35">
      <c r="A112" s="17">
        <v>109</v>
      </c>
      <c r="B112" s="20">
        <v>46118</v>
      </c>
      <c r="C112" s="21" t="s">
        <v>196</v>
      </c>
      <c r="D112" s="22" t="s">
        <v>38</v>
      </c>
      <c r="E112" s="23" t="s">
        <v>195</v>
      </c>
      <c r="F112" s="24">
        <f t="shared" si="2"/>
        <v>2500</v>
      </c>
      <c r="G112" s="24" t="s">
        <v>49</v>
      </c>
      <c r="H112" s="25"/>
      <c r="I112" s="25"/>
      <c r="J112" s="24"/>
      <c r="K112" s="24"/>
      <c r="L112" s="24"/>
      <c r="M112" s="24"/>
      <c r="N112" s="24"/>
      <c r="O112" s="24"/>
      <c r="P112" s="24"/>
      <c r="Q112" s="24"/>
      <c r="R112" s="43"/>
      <c r="S112" s="24">
        <v>2500</v>
      </c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36"/>
      <c r="AG112" s="36"/>
      <c r="AH112" s="36"/>
      <c r="AI112" s="36"/>
    </row>
    <row r="113" s="1" customFormat="1" ht="25" customHeight="1" spans="1:35">
      <c r="A113" s="17">
        <v>110</v>
      </c>
      <c r="B113" s="20">
        <v>46118</v>
      </c>
      <c r="C113" s="21" t="s">
        <v>113</v>
      </c>
      <c r="D113" s="22" t="str" cm="1">
        <f t="array" ref="D113">INDEX([1]Sheet2!A:A,MATCH(E113,[1]Sheet2!B:B,0))</f>
        <v>湖南亮点体育文化发展有限公司</v>
      </c>
      <c r="E113" s="23" t="s">
        <v>114</v>
      </c>
      <c r="F113" s="24">
        <f t="shared" si="2"/>
        <v>200</v>
      </c>
      <c r="G113" s="24" t="s">
        <v>77</v>
      </c>
      <c r="H113" s="25"/>
      <c r="I113" s="25"/>
      <c r="J113" s="24"/>
      <c r="K113" s="24"/>
      <c r="L113" s="24"/>
      <c r="M113" s="24"/>
      <c r="N113" s="24"/>
      <c r="O113" s="24"/>
      <c r="P113" s="24"/>
      <c r="Q113" s="24"/>
      <c r="R113" s="43"/>
      <c r="S113" s="24">
        <v>200</v>
      </c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36"/>
      <c r="AG113" s="36"/>
      <c r="AH113" s="36"/>
      <c r="AI113" s="36"/>
    </row>
    <row r="114" s="1" customFormat="1" ht="25" customHeight="1" spans="1:35">
      <c r="A114" s="17">
        <v>111</v>
      </c>
      <c r="B114" s="20">
        <v>46118</v>
      </c>
      <c r="C114" s="21" t="s">
        <v>115</v>
      </c>
      <c r="D114" s="22" t="str" cm="1">
        <f t="array" ref="D114">INDEX([1]Sheet2!A:A,MATCH(E114,[1]Sheet2!B:B,0))</f>
        <v>湖南亮点体育文化发展有限公司</v>
      </c>
      <c r="E114" s="23" t="s">
        <v>116</v>
      </c>
      <c r="F114" s="24">
        <f t="shared" si="2"/>
        <v>100</v>
      </c>
      <c r="G114" s="24" t="s">
        <v>77</v>
      </c>
      <c r="H114" s="36"/>
      <c r="I114" s="36"/>
      <c r="J114" s="24"/>
      <c r="K114" s="24"/>
      <c r="L114" s="24"/>
      <c r="M114" s="24"/>
      <c r="N114" s="24"/>
      <c r="O114" s="24"/>
      <c r="P114" s="24"/>
      <c r="Q114" s="24"/>
      <c r="R114" s="43"/>
      <c r="S114" s="24">
        <v>100</v>
      </c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36"/>
      <c r="AG114" s="36"/>
      <c r="AH114" s="36"/>
      <c r="AI114" s="36"/>
    </row>
    <row r="115" s="1" customFormat="1" ht="25" customHeight="1" spans="1:35">
      <c r="A115" s="17">
        <v>112</v>
      </c>
      <c r="B115" s="20">
        <v>46118</v>
      </c>
      <c r="C115" s="21" t="s">
        <v>117</v>
      </c>
      <c r="D115" s="22" t="str" cm="1">
        <f t="array" ref="D115">INDEX([1]Sheet2!A:A,MATCH(E115,[1]Sheet2!B:B,0))</f>
        <v>湖南亮点体育文化发展有限公司</v>
      </c>
      <c r="E115" s="23" t="s">
        <v>118</v>
      </c>
      <c r="F115" s="24">
        <f t="shared" si="2"/>
        <v>200</v>
      </c>
      <c r="G115" s="24" t="s">
        <v>77</v>
      </c>
      <c r="H115" s="36"/>
      <c r="I115" s="36"/>
      <c r="J115" s="24"/>
      <c r="K115" s="24"/>
      <c r="L115" s="24"/>
      <c r="M115" s="24"/>
      <c r="N115" s="24"/>
      <c r="O115" s="24"/>
      <c r="P115" s="24"/>
      <c r="Q115" s="24"/>
      <c r="R115" s="43"/>
      <c r="S115" s="24">
        <v>200</v>
      </c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36"/>
      <c r="AG115" s="36"/>
      <c r="AH115" s="36"/>
      <c r="AI115" s="36"/>
    </row>
    <row r="116" s="1" customFormat="1" ht="25" customHeight="1" spans="1:35">
      <c r="A116" s="17">
        <v>113</v>
      </c>
      <c r="B116" s="20">
        <v>46118</v>
      </c>
      <c r="C116" s="21" t="s">
        <v>119</v>
      </c>
      <c r="D116" s="22" t="str" cm="1">
        <f t="array" ref="D116">INDEX([1]Sheet2!A:A,MATCH(E116,[1]Sheet2!B:B,0))</f>
        <v>湖南亮点体育文化发展有限公司</v>
      </c>
      <c r="E116" s="23" t="s">
        <v>120</v>
      </c>
      <c r="F116" s="24">
        <f t="shared" si="2"/>
        <v>300</v>
      </c>
      <c r="G116" s="24" t="s">
        <v>77</v>
      </c>
      <c r="H116" s="36"/>
      <c r="I116" s="36"/>
      <c r="J116" s="24"/>
      <c r="K116" s="24"/>
      <c r="L116" s="24"/>
      <c r="M116" s="24"/>
      <c r="N116" s="24"/>
      <c r="O116" s="24"/>
      <c r="P116" s="24"/>
      <c r="Q116" s="24"/>
      <c r="R116" s="43"/>
      <c r="S116" s="24">
        <v>300</v>
      </c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36"/>
      <c r="AG116" s="36"/>
      <c r="AH116" s="36"/>
      <c r="AI116" s="36"/>
    </row>
    <row r="117" s="1" customFormat="1" ht="25" customHeight="1" spans="1:35">
      <c r="A117" s="17">
        <v>114</v>
      </c>
      <c r="B117" s="20">
        <v>46118</v>
      </c>
      <c r="C117" s="21" t="s">
        <v>121</v>
      </c>
      <c r="D117" s="22" t="str" cm="1">
        <f t="array" ref="D117">INDEX([1]Sheet2!A:A,MATCH(E117,[1]Sheet2!B:B,0))</f>
        <v>湖南亮点体育文化发展有限公司</v>
      </c>
      <c r="E117" s="23" t="s">
        <v>122</v>
      </c>
      <c r="F117" s="24">
        <f t="shared" si="2"/>
        <v>100</v>
      </c>
      <c r="G117" s="24" t="s">
        <v>77</v>
      </c>
      <c r="H117" s="36"/>
      <c r="I117" s="36"/>
      <c r="J117" s="24"/>
      <c r="K117" s="24"/>
      <c r="L117" s="24"/>
      <c r="M117" s="24"/>
      <c r="N117" s="24"/>
      <c r="O117" s="24"/>
      <c r="P117" s="24"/>
      <c r="Q117" s="24"/>
      <c r="R117" s="43"/>
      <c r="S117" s="24">
        <v>100</v>
      </c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36"/>
      <c r="AG117" s="36"/>
      <c r="AH117" s="36"/>
      <c r="AI117" s="36"/>
    </row>
    <row r="118" s="1" customFormat="1" ht="25" customHeight="1" spans="1:35">
      <c r="A118" s="17">
        <v>115</v>
      </c>
      <c r="B118" s="20">
        <v>46118</v>
      </c>
      <c r="C118" s="21" t="s">
        <v>78</v>
      </c>
      <c r="D118" s="22" t="str" cm="1">
        <f t="array" ref="D118">INDEX([1]Sheet2!A:A,MATCH(E118,[1]Sheet2!B:B,0))</f>
        <v>湖南亮点体育文化发展有限公司</v>
      </c>
      <c r="E118" s="23" t="s">
        <v>123</v>
      </c>
      <c r="F118" s="24">
        <f t="shared" si="2"/>
        <v>100</v>
      </c>
      <c r="G118" s="24" t="s">
        <v>77</v>
      </c>
      <c r="H118" s="36"/>
      <c r="I118" s="36"/>
      <c r="J118" s="24"/>
      <c r="K118" s="24"/>
      <c r="L118" s="24"/>
      <c r="M118" s="24"/>
      <c r="N118" s="24"/>
      <c r="O118" s="24"/>
      <c r="P118" s="24"/>
      <c r="Q118" s="24"/>
      <c r="R118" s="43"/>
      <c r="S118" s="24">
        <v>100</v>
      </c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36"/>
      <c r="AG118" s="36"/>
      <c r="AH118" s="36"/>
      <c r="AI118" s="36"/>
    </row>
    <row r="119" s="1" customFormat="1" ht="25" customHeight="1" spans="1:35">
      <c r="A119" s="17">
        <v>116</v>
      </c>
      <c r="B119" s="20">
        <v>46118</v>
      </c>
      <c r="C119" s="21" t="s">
        <v>197</v>
      </c>
      <c r="D119" s="22" t="str" cm="1">
        <f t="array" ref="D119">INDEX([1]Sheet2!A:A,MATCH(E119,[1]Sheet2!B:B,0))</f>
        <v>湖南亮点体育文化发展有限公司</v>
      </c>
      <c r="E119" s="23" t="s">
        <v>198</v>
      </c>
      <c r="F119" s="24">
        <f t="shared" si="2"/>
        <v>300</v>
      </c>
      <c r="G119" s="24" t="s">
        <v>77</v>
      </c>
      <c r="H119" s="36"/>
      <c r="I119" s="36"/>
      <c r="J119" s="24"/>
      <c r="K119" s="24"/>
      <c r="L119" s="24"/>
      <c r="M119" s="24"/>
      <c r="N119" s="24"/>
      <c r="O119" s="24"/>
      <c r="P119" s="24"/>
      <c r="Q119" s="24"/>
      <c r="R119" s="43"/>
      <c r="S119" s="24">
        <v>300</v>
      </c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36"/>
      <c r="AG119" s="36"/>
      <c r="AH119" s="36"/>
      <c r="AI119" s="36"/>
    </row>
    <row r="120" s="1" customFormat="1" ht="25" customHeight="1" spans="1:35">
      <c r="A120" s="17">
        <v>117</v>
      </c>
      <c r="B120" s="20">
        <v>46118</v>
      </c>
      <c r="C120" s="21" t="s">
        <v>82</v>
      </c>
      <c r="D120" s="22" t="str" cm="1">
        <f t="array" ref="D120">INDEX([1]Sheet2!A:A,MATCH(E120,[1]Sheet2!B:B,0))</f>
        <v>汪天皓</v>
      </c>
      <c r="E120" s="23" t="s">
        <v>83</v>
      </c>
      <c r="F120" s="24">
        <f t="shared" si="2"/>
        <v>3000</v>
      </c>
      <c r="G120" s="24" t="s">
        <v>77</v>
      </c>
      <c r="H120" s="36"/>
      <c r="I120" s="36"/>
      <c r="J120" s="24"/>
      <c r="K120" s="24"/>
      <c r="L120" s="24"/>
      <c r="M120" s="24"/>
      <c r="N120" s="24"/>
      <c r="O120" s="24"/>
      <c r="P120" s="24"/>
      <c r="Q120" s="24"/>
      <c r="R120" s="43"/>
      <c r="S120" s="24">
        <v>3000</v>
      </c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36"/>
      <c r="AG120" s="36"/>
      <c r="AH120" s="36"/>
      <c r="AI120" s="36"/>
    </row>
    <row r="121" s="1" customFormat="1" ht="25" customHeight="1" spans="1:35">
      <c r="A121" s="17">
        <v>118</v>
      </c>
      <c r="B121" s="20">
        <v>46118</v>
      </c>
      <c r="C121" s="21" t="s">
        <v>109</v>
      </c>
      <c r="D121" s="22" t="str" cm="1">
        <f t="array" ref="D121">INDEX([1]Sheet2!A:A,MATCH(E121,[1]Sheet2!B:B,0))</f>
        <v>杨美丽</v>
      </c>
      <c r="E121" s="23" t="s">
        <v>110</v>
      </c>
      <c r="F121" s="24">
        <f t="shared" si="2"/>
        <v>500</v>
      </c>
      <c r="G121" s="24" t="s">
        <v>77</v>
      </c>
      <c r="H121" s="36"/>
      <c r="I121" s="36"/>
      <c r="J121" s="24"/>
      <c r="K121" s="24"/>
      <c r="L121" s="24"/>
      <c r="M121" s="24"/>
      <c r="N121" s="24"/>
      <c r="O121" s="24"/>
      <c r="P121" s="24"/>
      <c r="Q121" s="24"/>
      <c r="R121" s="43"/>
      <c r="S121" s="24">
        <v>500</v>
      </c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36"/>
      <c r="AG121" s="36"/>
      <c r="AH121" s="36"/>
      <c r="AI121" s="36"/>
    </row>
    <row r="122" s="1" customFormat="1" ht="25" customHeight="1" spans="1:35">
      <c r="A122" s="17">
        <v>119</v>
      </c>
      <c r="B122" s="20">
        <v>46118</v>
      </c>
      <c r="C122" s="21" t="s">
        <v>199</v>
      </c>
      <c r="D122" s="22" t="str" cm="1">
        <f t="array" ref="D122">INDEX([1]Sheet2!A:A,MATCH(E122,[1]Sheet2!B:B,0))</f>
        <v>唐向群</v>
      </c>
      <c r="E122" s="23" t="s">
        <v>200</v>
      </c>
      <c r="F122" s="24">
        <f t="shared" si="2"/>
        <v>1000</v>
      </c>
      <c r="G122" s="24" t="s">
        <v>77</v>
      </c>
      <c r="H122" s="36"/>
      <c r="I122" s="36"/>
      <c r="J122" s="24"/>
      <c r="K122" s="24"/>
      <c r="L122" s="24"/>
      <c r="M122" s="24"/>
      <c r="N122" s="24"/>
      <c r="O122" s="24"/>
      <c r="P122" s="24"/>
      <c r="Q122" s="24"/>
      <c r="R122" s="43"/>
      <c r="S122" s="24">
        <v>1000</v>
      </c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36"/>
      <c r="AG122" s="36"/>
      <c r="AH122" s="36"/>
      <c r="AI122" s="36"/>
    </row>
    <row r="123" s="1" customFormat="1" ht="25" customHeight="1" spans="1:35">
      <c r="A123" s="17">
        <v>120</v>
      </c>
      <c r="B123" s="20">
        <v>46118</v>
      </c>
      <c r="C123" s="21" t="s">
        <v>84</v>
      </c>
      <c r="D123" s="22" t="str" cm="1">
        <f t="array" ref="D123">INDEX([1]Sheet2!A:A,MATCH(E123,[1]Sheet2!B:B,0))</f>
        <v>莫靖凡</v>
      </c>
      <c r="E123" s="23" t="s">
        <v>85</v>
      </c>
      <c r="F123" s="24">
        <f t="shared" si="2"/>
        <v>50</v>
      </c>
      <c r="G123" s="24" t="s">
        <v>77</v>
      </c>
      <c r="H123" s="36"/>
      <c r="I123" s="36"/>
      <c r="J123" s="24"/>
      <c r="K123" s="24"/>
      <c r="L123" s="24"/>
      <c r="M123" s="24"/>
      <c r="N123" s="24"/>
      <c r="O123" s="24"/>
      <c r="P123" s="24"/>
      <c r="Q123" s="24"/>
      <c r="R123" s="43"/>
      <c r="S123" s="24">
        <v>50</v>
      </c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36"/>
      <c r="AG123" s="36"/>
      <c r="AH123" s="36"/>
      <c r="AI123" s="36"/>
    </row>
    <row r="124" s="1" customFormat="1" ht="25" customHeight="1" spans="1:35">
      <c r="A124" s="17">
        <v>121</v>
      </c>
      <c r="B124" s="20">
        <v>46118</v>
      </c>
      <c r="C124" s="21" t="s">
        <v>86</v>
      </c>
      <c r="D124" s="22" t="str" cm="1">
        <f t="array" ref="D124">INDEX([1]Sheet2!A:A,MATCH(E124,[1]Sheet2!B:B,0))</f>
        <v>吴革民</v>
      </c>
      <c r="E124" s="23" t="s">
        <v>87</v>
      </c>
      <c r="F124" s="24">
        <f t="shared" si="2"/>
        <v>200</v>
      </c>
      <c r="G124" s="24" t="s">
        <v>77</v>
      </c>
      <c r="H124" s="36"/>
      <c r="I124" s="36"/>
      <c r="J124" s="24"/>
      <c r="K124" s="24"/>
      <c r="L124" s="24"/>
      <c r="M124" s="24"/>
      <c r="N124" s="24"/>
      <c r="O124" s="24"/>
      <c r="P124" s="24"/>
      <c r="Q124" s="24"/>
      <c r="R124" s="43"/>
      <c r="S124" s="24">
        <v>200</v>
      </c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36"/>
      <c r="AG124" s="36"/>
      <c r="AH124" s="36"/>
      <c r="AI124" s="36"/>
    </row>
    <row r="125" s="1" customFormat="1" ht="25" customHeight="1" spans="1:35">
      <c r="A125" s="17">
        <v>122</v>
      </c>
      <c r="B125" s="20">
        <v>46118</v>
      </c>
      <c r="C125" s="21" t="s">
        <v>201</v>
      </c>
      <c r="D125" s="22" t="str" cm="1">
        <f t="array" ref="D125">INDEX([1]Sheet2!A:A,MATCH(E125,[1]Sheet2!B:B,0))</f>
        <v>阳小华</v>
      </c>
      <c r="E125" s="23" t="s">
        <v>202</v>
      </c>
      <c r="F125" s="24">
        <f t="shared" si="2"/>
        <v>200</v>
      </c>
      <c r="G125" s="24" t="s">
        <v>77</v>
      </c>
      <c r="H125" s="36"/>
      <c r="I125" s="36"/>
      <c r="J125" s="24"/>
      <c r="K125" s="24"/>
      <c r="L125" s="24"/>
      <c r="M125" s="24"/>
      <c r="N125" s="24"/>
      <c r="O125" s="24"/>
      <c r="P125" s="24"/>
      <c r="Q125" s="24"/>
      <c r="R125" s="43"/>
      <c r="S125" s="24">
        <v>200</v>
      </c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36"/>
      <c r="AG125" s="36"/>
      <c r="AH125" s="36"/>
      <c r="AI125" s="36"/>
    </row>
    <row r="126" s="1" customFormat="1" ht="25" customHeight="1" spans="1:35">
      <c r="A126" s="17">
        <v>123</v>
      </c>
      <c r="B126" s="20">
        <v>46118</v>
      </c>
      <c r="C126" s="21" t="s">
        <v>137</v>
      </c>
      <c r="D126" s="22" t="str" cm="1">
        <f t="array" ref="D126">INDEX([1]Sheet2!A:A,MATCH(E126,[1]Sheet2!B:B,0))</f>
        <v>陈洁</v>
      </c>
      <c r="E126" s="23" t="s">
        <v>138</v>
      </c>
      <c r="F126" s="24">
        <f t="shared" si="2"/>
        <v>5</v>
      </c>
      <c r="G126" s="24" t="s">
        <v>77</v>
      </c>
      <c r="H126" s="36"/>
      <c r="I126" s="36"/>
      <c r="J126" s="24"/>
      <c r="K126" s="24"/>
      <c r="L126" s="24"/>
      <c r="M126" s="24"/>
      <c r="N126" s="24"/>
      <c r="O126" s="24"/>
      <c r="P126" s="24"/>
      <c r="Q126" s="24"/>
      <c r="R126" s="43"/>
      <c r="S126" s="24">
        <v>5</v>
      </c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36"/>
      <c r="AG126" s="36"/>
      <c r="AH126" s="36"/>
      <c r="AI126" s="36"/>
    </row>
    <row r="127" s="1" customFormat="1" ht="25" customHeight="1" spans="1:35">
      <c r="A127" s="17">
        <v>124</v>
      </c>
      <c r="B127" s="20">
        <v>46118</v>
      </c>
      <c r="C127" s="21" t="s">
        <v>24</v>
      </c>
      <c r="D127" s="22" t="str" cm="1">
        <f t="array" ref="D127">INDEX([1]Sheet2!A:A,MATCH(E127,[1]Sheet2!B:B,0))</f>
        <v>临时</v>
      </c>
      <c r="E127" s="23" t="s">
        <v>99</v>
      </c>
      <c r="F127" s="24">
        <f t="shared" si="2"/>
        <v>774</v>
      </c>
      <c r="G127" s="24" t="s">
        <v>100</v>
      </c>
      <c r="H127" s="36"/>
      <c r="I127" s="36"/>
      <c r="J127" s="24"/>
      <c r="K127" s="24"/>
      <c r="L127" s="24"/>
      <c r="M127" s="24"/>
      <c r="N127" s="24"/>
      <c r="O127" s="24"/>
      <c r="P127" s="24"/>
      <c r="Q127" s="24"/>
      <c r="R127" s="43"/>
      <c r="S127" s="24"/>
      <c r="T127" s="24"/>
      <c r="U127" s="24"/>
      <c r="V127" s="24"/>
      <c r="W127" s="24">
        <v>774</v>
      </c>
      <c r="X127" s="24"/>
      <c r="Y127" s="24"/>
      <c r="Z127" s="24"/>
      <c r="AA127" s="24"/>
      <c r="AB127" s="24"/>
      <c r="AC127" s="24"/>
      <c r="AD127" s="24"/>
      <c r="AE127" s="24"/>
      <c r="AF127" s="36"/>
      <c r="AG127" s="36"/>
      <c r="AH127" s="36"/>
      <c r="AI127" s="36"/>
    </row>
    <row r="128" s="1" customFormat="1" ht="25" customHeight="1" spans="1:35">
      <c r="A128" s="17">
        <v>125</v>
      </c>
      <c r="B128" s="20">
        <v>46119</v>
      </c>
      <c r="C128" s="21" t="s">
        <v>203</v>
      </c>
      <c r="D128" s="22" t="s">
        <v>204</v>
      </c>
      <c r="E128" s="23" t="s">
        <v>205</v>
      </c>
      <c r="F128" s="24">
        <f t="shared" si="2"/>
        <v>8650</v>
      </c>
      <c r="G128" s="24" t="s">
        <v>40</v>
      </c>
      <c r="H128" s="25">
        <v>46143</v>
      </c>
      <c r="I128" s="25">
        <v>46203</v>
      </c>
      <c r="J128" s="24"/>
      <c r="K128" s="24"/>
      <c r="L128" s="24"/>
      <c r="M128" s="24"/>
      <c r="N128" s="24"/>
      <c r="O128" s="24">
        <v>8650</v>
      </c>
      <c r="P128" s="24"/>
      <c r="Q128" s="24"/>
      <c r="R128" s="43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36"/>
      <c r="AG128" s="36"/>
      <c r="AH128" s="36"/>
      <c r="AI128" s="36"/>
    </row>
    <row r="129" s="2" customFormat="1" ht="25" customHeight="1" spans="1:35">
      <c r="A129" s="27">
        <v>126</v>
      </c>
      <c r="B129" s="20">
        <v>46119</v>
      </c>
      <c r="C129" s="34" t="s">
        <v>206</v>
      </c>
      <c r="D129" s="30" t="str" cm="1">
        <f t="array" ref="D129">INDEX([1]Sheet2!A:A,MATCH(E129,[1]Sheet2!B:B,0))</f>
        <v>长沙君优美电子有限公司</v>
      </c>
      <c r="E129" s="31" t="s">
        <v>207</v>
      </c>
      <c r="F129" s="32">
        <f t="shared" si="2"/>
        <v>1500</v>
      </c>
      <c r="G129" s="32" t="s">
        <v>40</v>
      </c>
      <c r="H129" s="35"/>
      <c r="I129" s="35"/>
      <c r="J129" s="32"/>
      <c r="K129" s="32"/>
      <c r="L129" s="32"/>
      <c r="M129" s="32"/>
      <c r="N129" s="32"/>
      <c r="O129" s="32"/>
      <c r="P129" s="32"/>
      <c r="Q129" s="32"/>
      <c r="R129" s="45"/>
      <c r="S129" s="32">
        <v>1500</v>
      </c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5"/>
      <c r="AG129" s="35"/>
      <c r="AH129" s="35"/>
      <c r="AI129" s="35"/>
    </row>
    <row r="130" s="1" customFormat="1" ht="25" customHeight="1" spans="1:35">
      <c r="A130" s="17">
        <v>127</v>
      </c>
      <c r="B130" s="20">
        <v>46119</v>
      </c>
      <c r="C130" s="21" t="s">
        <v>208</v>
      </c>
      <c r="D130" s="22" t="s">
        <v>209</v>
      </c>
      <c r="E130" s="23" t="s">
        <v>210</v>
      </c>
      <c r="F130" s="24">
        <f t="shared" si="2"/>
        <v>7695</v>
      </c>
      <c r="G130" s="24" t="s">
        <v>40</v>
      </c>
      <c r="H130" s="25">
        <v>46143</v>
      </c>
      <c r="I130" s="25">
        <v>46234</v>
      </c>
      <c r="J130" s="24">
        <v>4560</v>
      </c>
      <c r="K130" s="24">
        <v>3135</v>
      </c>
      <c r="L130" s="24"/>
      <c r="M130" s="24"/>
      <c r="N130" s="24"/>
      <c r="O130" s="24"/>
      <c r="P130" s="24"/>
      <c r="Q130" s="24"/>
      <c r="R130" s="43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36"/>
      <c r="AG130" s="36"/>
      <c r="AH130" s="36"/>
      <c r="AI130" s="36"/>
    </row>
    <row r="131" s="1" customFormat="1" ht="25" customHeight="1" spans="1:35">
      <c r="A131" s="17">
        <v>128</v>
      </c>
      <c r="B131" s="20">
        <v>46119</v>
      </c>
      <c r="C131" s="21" t="s">
        <v>24</v>
      </c>
      <c r="D131" s="22" t="str" cm="1">
        <f t="array" ref="D131">INDEX([1]Sheet2!A:A,MATCH(E131,[1]Sheet2!B:B,0))</f>
        <v>充值</v>
      </c>
      <c r="E131" s="23" t="s">
        <v>72</v>
      </c>
      <c r="F131" s="24">
        <f t="shared" si="2"/>
        <v>2100</v>
      </c>
      <c r="G131" s="24" t="s">
        <v>49</v>
      </c>
      <c r="H131" s="36"/>
      <c r="I131" s="36"/>
      <c r="J131" s="24"/>
      <c r="K131" s="24"/>
      <c r="L131" s="24"/>
      <c r="M131" s="24"/>
      <c r="N131" s="24"/>
      <c r="O131" s="24"/>
      <c r="P131" s="24"/>
      <c r="Q131" s="24"/>
      <c r="R131" s="43"/>
      <c r="S131" s="24"/>
      <c r="T131" s="24"/>
      <c r="U131" s="24"/>
      <c r="V131" s="24"/>
      <c r="W131" s="24">
        <v>2100</v>
      </c>
      <c r="X131" s="24"/>
      <c r="Y131" s="24"/>
      <c r="Z131" s="24"/>
      <c r="AA131" s="24"/>
      <c r="AB131" s="24"/>
      <c r="AC131" s="24"/>
      <c r="AD131" s="24"/>
      <c r="AE131" s="24"/>
      <c r="AF131" s="36"/>
      <c r="AG131" s="36"/>
      <c r="AH131" s="36"/>
      <c r="AI131" s="36"/>
    </row>
    <row r="132" s="1" customFormat="1" ht="25" customHeight="1" spans="1:35">
      <c r="A132" s="17">
        <v>129</v>
      </c>
      <c r="B132" s="20">
        <v>46119</v>
      </c>
      <c r="C132" s="21" t="s">
        <v>105</v>
      </c>
      <c r="D132" s="22" t="s">
        <v>211</v>
      </c>
      <c r="E132" s="23" t="s">
        <v>106</v>
      </c>
      <c r="F132" s="24">
        <f t="shared" ref="F132:F195" si="3">SUM(J132:AE132)</f>
        <v>15000</v>
      </c>
      <c r="G132" s="24" t="s">
        <v>49</v>
      </c>
      <c r="H132" s="25">
        <v>46113</v>
      </c>
      <c r="I132" s="25">
        <v>46142</v>
      </c>
      <c r="J132" s="24">
        <v>7282.5</v>
      </c>
      <c r="K132" s="24">
        <v>7717.5</v>
      </c>
      <c r="L132" s="24"/>
      <c r="M132" s="24"/>
      <c r="N132" s="24"/>
      <c r="O132" s="24"/>
      <c r="P132" s="24"/>
      <c r="Q132" s="24"/>
      <c r="R132" s="43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36"/>
      <c r="AG132" s="36"/>
      <c r="AH132" s="36"/>
      <c r="AI132" s="36"/>
    </row>
    <row r="133" s="1" customFormat="1" ht="25" customHeight="1" spans="1:35">
      <c r="A133" s="17">
        <v>130</v>
      </c>
      <c r="B133" s="20">
        <v>46119</v>
      </c>
      <c r="C133" s="21" t="s">
        <v>56</v>
      </c>
      <c r="D133" s="22" t="s">
        <v>57</v>
      </c>
      <c r="E133" s="23" t="s">
        <v>58</v>
      </c>
      <c r="F133" s="24">
        <f t="shared" si="3"/>
        <v>11080</v>
      </c>
      <c r="G133" s="24" t="s">
        <v>49</v>
      </c>
      <c r="H133" s="36"/>
      <c r="I133" s="36"/>
      <c r="J133" s="24"/>
      <c r="K133" s="24"/>
      <c r="L133" s="24"/>
      <c r="M133" s="24"/>
      <c r="N133" s="24"/>
      <c r="O133" s="24"/>
      <c r="P133" s="24"/>
      <c r="Q133" s="24"/>
      <c r="R133" s="43"/>
      <c r="S133" s="24"/>
      <c r="T133" s="24">
        <v>1080</v>
      </c>
      <c r="U133" s="24"/>
      <c r="V133" s="24"/>
      <c r="W133" s="24"/>
      <c r="X133" s="24"/>
      <c r="Y133" s="24">
        <v>10000</v>
      </c>
      <c r="Z133" s="24"/>
      <c r="AA133" s="24"/>
      <c r="AB133" s="24"/>
      <c r="AC133" s="24"/>
      <c r="AD133" s="24"/>
      <c r="AE133" s="24"/>
      <c r="AF133" s="36" t="s">
        <v>212</v>
      </c>
      <c r="AG133" s="36" t="s">
        <v>50</v>
      </c>
      <c r="AH133" s="36">
        <v>7483415</v>
      </c>
      <c r="AI133" s="36" t="s">
        <v>213</v>
      </c>
    </row>
    <row r="134" s="1" customFormat="1" ht="25" customHeight="1" spans="1:35">
      <c r="A134" s="17">
        <v>131</v>
      </c>
      <c r="B134" s="20">
        <v>46119</v>
      </c>
      <c r="C134" s="21" t="s">
        <v>214</v>
      </c>
      <c r="D134" s="22" t="str" cm="1">
        <f t="array" ref="D134">INDEX([1]Sheet2!A:A,MATCH(E134,[1]Sheet2!B:B,0))</f>
        <v>黄沐彬</v>
      </c>
      <c r="E134" s="23" t="s">
        <v>215</v>
      </c>
      <c r="F134" s="24">
        <f t="shared" si="3"/>
        <v>103.36</v>
      </c>
      <c r="G134" s="24" t="s">
        <v>49</v>
      </c>
      <c r="H134" s="25">
        <v>46082</v>
      </c>
      <c r="I134" s="25">
        <v>46112</v>
      </c>
      <c r="J134" s="24"/>
      <c r="K134" s="24"/>
      <c r="L134" s="24"/>
      <c r="M134" s="24"/>
      <c r="N134" s="24"/>
      <c r="O134" s="24"/>
      <c r="P134" s="24"/>
      <c r="Q134" s="24">
        <v>103.36</v>
      </c>
      <c r="R134" s="43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36"/>
      <c r="AG134" s="36"/>
      <c r="AH134" s="36"/>
      <c r="AI134" s="36"/>
    </row>
    <row r="135" s="1" customFormat="1" ht="25" customHeight="1" spans="1:35">
      <c r="A135" s="17">
        <v>132</v>
      </c>
      <c r="B135" s="20">
        <v>46119</v>
      </c>
      <c r="C135" s="21" t="s">
        <v>216</v>
      </c>
      <c r="D135" s="22" t="str" cm="1">
        <f t="array" ref="D135">INDEX([1]Sheet2!A:A,MATCH(E135,[1]Sheet2!B:B,0))</f>
        <v>肖超杰</v>
      </c>
      <c r="E135" s="23" t="s">
        <v>217</v>
      </c>
      <c r="F135" s="24">
        <f t="shared" si="3"/>
        <v>310.08</v>
      </c>
      <c r="G135" s="24" t="s">
        <v>49</v>
      </c>
      <c r="H135" s="25">
        <v>46082</v>
      </c>
      <c r="I135" s="25">
        <v>46112</v>
      </c>
      <c r="J135" s="24"/>
      <c r="K135" s="24"/>
      <c r="L135" s="24"/>
      <c r="M135" s="24"/>
      <c r="N135" s="24"/>
      <c r="O135" s="24"/>
      <c r="P135" s="24"/>
      <c r="Q135" s="24">
        <v>310.08</v>
      </c>
      <c r="R135" s="43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36"/>
      <c r="AG135" s="36"/>
      <c r="AH135" s="36"/>
      <c r="AI135" s="36"/>
    </row>
    <row r="136" s="1" customFormat="1" ht="25" customHeight="1" spans="1:35">
      <c r="A136" s="17">
        <v>133</v>
      </c>
      <c r="B136" s="20">
        <v>46119</v>
      </c>
      <c r="C136" s="21" t="s">
        <v>82</v>
      </c>
      <c r="D136" s="22" t="str" cm="1">
        <f t="array" ref="D136">INDEX([1]Sheet2!A:A,MATCH(E136,[1]Sheet2!B:B,0))</f>
        <v>汪天皓</v>
      </c>
      <c r="E136" s="23" t="s">
        <v>218</v>
      </c>
      <c r="F136" s="24">
        <f t="shared" si="3"/>
        <v>1070.08</v>
      </c>
      <c r="G136" s="24" t="s">
        <v>49</v>
      </c>
      <c r="H136" s="25">
        <v>46082</v>
      </c>
      <c r="I136" s="25">
        <v>46112</v>
      </c>
      <c r="J136" s="24"/>
      <c r="K136" s="24"/>
      <c r="L136" s="24"/>
      <c r="M136" s="24"/>
      <c r="N136" s="24"/>
      <c r="O136" s="24"/>
      <c r="P136" s="24"/>
      <c r="Q136" s="24">
        <v>1070.08</v>
      </c>
      <c r="R136" s="43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36"/>
      <c r="AG136" s="36"/>
      <c r="AH136" s="36"/>
      <c r="AI136" s="36"/>
    </row>
    <row r="137" s="1" customFormat="1" ht="25" customHeight="1" spans="1:35">
      <c r="A137" s="17">
        <v>134</v>
      </c>
      <c r="B137" s="20">
        <v>46119</v>
      </c>
      <c r="C137" s="21" t="s">
        <v>189</v>
      </c>
      <c r="D137" s="22" t="str" cm="1">
        <f t="array" ref="D137">INDEX([1]Sheet2!A:A,MATCH(E137,[1]Sheet2!B:B,0))</f>
        <v>徐海峰</v>
      </c>
      <c r="E137" s="23" t="s">
        <v>190</v>
      </c>
      <c r="F137" s="24">
        <f t="shared" si="3"/>
        <v>601.92</v>
      </c>
      <c r="G137" s="24" t="s">
        <v>49</v>
      </c>
      <c r="H137" s="25">
        <v>46082</v>
      </c>
      <c r="I137" s="25">
        <v>46112</v>
      </c>
      <c r="J137" s="24"/>
      <c r="K137" s="24"/>
      <c r="L137" s="24"/>
      <c r="M137" s="24"/>
      <c r="N137" s="24"/>
      <c r="O137" s="24"/>
      <c r="P137" s="24"/>
      <c r="Q137" s="24">
        <v>601.92</v>
      </c>
      <c r="R137" s="43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36"/>
      <c r="AG137" s="36"/>
      <c r="AH137" s="36"/>
      <c r="AI137" s="36"/>
    </row>
    <row r="138" s="1" customFormat="1" ht="25" customHeight="1" spans="1:35">
      <c r="A138" s="17">
        <v>135</v>
      </c>
      <c r="B138" s="20">
        <v>46119</v>
      </c>
      <c r="C138" s="21" t="s">
        <v>86</v>
      </c>
      <c r="D138" s="22" t="str" cm="1">
        <f t="array" ref="D138">INDEX([1]Sheet2!A:A,MATCH(E138,[1]Sheet2!B:B,0))</f>
        <v>吴革民</v>
      </c>
      <c r="E138" s="23" t="s">
        <v>219</v>
      </c>
      <c r="F138" s="24">
        <f t="shared" si="3"/>
        <v>48.64</v>
      </c>
      <c r="G138" s="24" t="s">
        <v>49</v>
      </c>
      <c r="H138" s="25">
        <v>46082</v>
      </c>
      <c r="I138" s="25">
        <v>46112</v>
      </c>
      <c r="J138" s="24"/>
      <c r="K138" s="24"/>
      <c r="L138" s="24"/>
      <c r="M138" s="24"/>
      <c r="N138" s="24"/>
      <c r="O138" s="24"/>
      <c r="P138" s="24"/>
      <c r="Q138" s="24">
        <v>48.64</v>
      </c>
      <c r="R138" s="43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36"/>
      <c r="AG138" s="36"/>
      <c r="AH138" s="36"/>
      <c r="AI138" s="36"/>
    </row>
    <row r="139" s="1" customFormat="1" ht="25" customHeight="1" spans="1:35">
      <c r="A139" s="17">
        <v>136</v>
      </c>
      <c r="B139" s="20">
        <v>46119</v>
      </c>
      <c r="C139" s="21" t="s">
        <v>73</v>
      </c>
      <c r="D139" s="22" t="str" cm="1">
        <f t="array" ref="D139">INDEX([1]Sheet2!A:A,MATCH(E139,[1]Sheet2!B:B,0))</f>
        <v>衡阳志扬体育文化有限公司</v>
      </c>
      <c r="E139" s="23" t="s">
        <v>74</v>
      </c>
      <c r="F139" s="24">
        <f t="shared" si="3"/>
        <v>6079</v>
      </c>
      <c r="G139" s="24" t="s">
        <v>49</v>
      </c>
      <c r="H139" s="25"/>
      <c r="I139" s="25"/>
      <c r="J139" s="24"/>
      <c r="K139" s="24"/>
      <c r="L139" s="24"/>
      <c r="M139" s="24"/>
      <c r="N139" s="24"/>
      <c r="O139" s="24"/>
      <c r="P139" s="24"/>
      <c r="Q139" s="24"/>
      <c r="R139" s="43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>
        <v>6079</v>
      </c>
      <c r="AF139" s="36"/>
      <c r="AG139" s="36"/>
      <c r="AH139" s="36"/>
      <c r="AI139" s="36"/>
    </row>
    <row r="140" s="1" customFormat="1" ht="25" customHeight="1" spans="1:35">
      <c r="A140" s="17">
        <v>137</v>
      </c>
      <c r="B140" s="20">
        <v>46119</v>
      </c>
      <c r="C140" s="21" t="s">
        <v>137</v>
      </c>
      <c r="D140" s="22" t="str" cm="1">
        <f t="array" ref="D140">INDEX([1]Sheet2!A:A,MATCH(E140,[1]Sheet2!B:B,0))</f>
        <v>陈洁</v>
      </c>
      <c r="E140" s="23" t="s">
        <v>138</v>
      </c>
      <c r="F140" s="24">
        <f t="shared" si="3"/>
        <v>6.08</v>
      </c>
      <c r="G140" s="24" t="s">
        <v>49</v>
      </c>
      <c r="H140" s="25">
        <v>46082</v>
      </c>
      <c r="I140" s="25">
        <v>46112</v>
      </c>
      <c r="J140" s="24"/>
      <c r="K140" s="24"/>
      <c r="L140" s="24"/>
      <c r="M140" s="24"/>
      <c r="N140" s="24"/>
      <c r="O140" s="24"/>
      <c r="P140" s="24"/>
      <c r="Q140" s="24">
        <v>6.08</v>
      </c>
      <c r="R140" s="43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36"/>
      <c r="AG140" s="36"/>
      <c r="AH140" s="36"/>
      <c r="AI140" s="36"/>
    </row>
    <row r="141" s="1" customFormat="1" ht="25" customHeight="1" spans="1:35">
      <c r="A141" s="17">
        <v>138</v>
      </c>
      <c r="B141" s="20">
        <v>46119</v>
      </c>
      <c r="C141" s="21" t="s">
        <v>206</v>
      </c>
      <c r="D141" s="22" t="s">
        <v>220</v>
      </c>
      <c r="E141" s="23" t="s">
        <v>221</v>
      </c>
      <c r="F141" s="24">
        <f t="shared" si="3"/>
        <v>200</v>
      </c>
      <c r="G141" s="24" t="s">
        <v>77</v>
      </c>
      <c r="H141" s="36"/>
      <c r="I141" s="36"/>
      <c r="J141" s="24"/>
      <c r="K141" s="24"/>
      <c r="L141" s="24"/>
      <c r="M141" s="24"/>
      <c r="N141" s="24"/>
      <c r="O141" s="24"/>
      <c r="P141" s="24"/>
      <c r="Q141" s="24"/>
      <c r="R141" s="43"/>
      <c r="S141" s="24">
        <v>200</v>
      </c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36"/>
      <c r="AG141" s="36"/>
      <c r="AH141" s="36"/>
      <c r="AI141" s="36"/>
    </row>
    <row r="142" s="1" customFormat="1" ht="25" customHeight="1" spans="1:35">
      <c r="A142" s="17">
        <v>139</v>
      </c>
      <c r="B142" s="20">
        <v>46119</v>
      </c>
      <c r="C142" s="21" t="s">
        <v>124</v>
      </c>
      <c r="D142" s="22" t="str" cm="1">
        <f t="array" ref="D142">INDEX([1]Sheet2!A:A,MATCH(E142,[1]Sheet2!B:B,0))</f>
        <v>王冬林</v>
      </c>
      <c r="E142" s="23" t="s">
        <v>125</v>
      </c>
      <c r="F142" s="24">
        <f t="shared" si="3"/>
        <v>1000</v>
      </c>
      <c r="G142" s="24" t="s">
        <v>77</v>
      </c>
      <c r="H142" s="25"/>
      <c r="I142" s="25"/>
      <c r="J142" s="24"/>
      <c r="K142" s="24"/>
      <c r="L142" s="24"/>
      <c r="M142" s="24"/>
      <c r="N142" s="24"/>
      <c r="O142" s="24"/>
      <c r="P142" s="24"/>
      <c r="Q142" s="24"/>
      <c r="R142" s="43"/>
      <c r="S142" s="24">
        <v>1000</v>
      </c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36"/>
      <c r="AG142" s="36"/>
      <c r="AH142" s="36"/>
      <c r="AI142" s="36"/>
    </row>
    <row r="143" s="1" customFormat="1" ht="25" customHeight="1" spans="1:35">
      <c r="A143" s="17">
        <v>140</v>
      </c>
      <c r="B143" s="20">
        <v>46119</v>
      </c>
      <c r="C143" s="21" t="s">
        <v>222</v>
      </c>
      <c r="D143" s="22" t="str" cm="1">
        <f t="array" ref="D143">INDEX([1]Sheet2!A:A,MATCH(E143,[1]Sheet2!B:B,0))</f>
        <v>范亚琼</v>
      </c>
      <c r="E143" s="23" t="s">
        <v>223</v>
      </c>
      <c r="F143" s="24">
        <f t="shared" si="3"/>
        <v>500</v>
      </c>
      <c r="G143" s="24" t="s">
        <v>77</v>
      </c>
      <c r="H143" s="36"/>
      <c r="I143" s="36"/>
      <c r="J143" s="24"/>
      <c r="K143" s="24"/>
      <c r="L143" s="24"/>
      <c r="M143" s="24"/>
      <c r="N143" s="24"/>
      <c r="O143" s="24"/>
      <c r="P143" s="24"/>
      <c r="Q143" s="24"/>
      <c r="R143" s="43"/>
      <c r="S143" s="24">
        <v>500</v>
      </c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36"/>
      <c r="AG143" s="36"/>
      <c r="AH143" s="36"/>
      <c r="AI143" s="36"/>
    </row>
    <row r="144" s="1" customFormat="1" ht="25" customHeight="1" spans="1:35">
      <c r="A144" s="17">
        <v>141</v>
      </c>
      <c r="B144" s="20">
        <v>46119</v>
      </c>
      <c r="C144" s="21" t="s">
        <v>131</v>
      </c>
      <c r="D144" s="22" t="str" cm="1">
        <f t="array" ref="D144">INDEX([1]Sheet2!A:A,MATCH(E144,[1]Sheet2!B:B,0))</f>
        <v>刘宏</v>
      </c>
      <c r="E144" s="23" t="s">
        <v>132</v>
      </c>
      <c r="F144" s="24">
        <f t="shared" si="3"/>
        <v>200</v>
      </c>
      <c r="G144" s="24" t="s">
        <v>77</v>
      </c>
      <c r="H144" s="36"/>
      <c r="I144" s="36"/>
      <c r="J144" s="24"/>
      <c r="K144" s="24"/>
      <c r="L144" s="24"/>
      <c r="M144" s="24"/>
      <c r="N144" s="24"/>
      <c r="O144" s="24"/>
      <c r="P144" s="24"/>
      <c r="Q144" s="24"/>
      <c r="R144" s="43"/>
      <c r="S144" s="24">
        <v>200</v>
      </c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36"/>
      <c r="AG144" s="36"/>
      <c r="AH144" s="36"/>
      <c r="AI144" s="36"/>
    </row>
    <row r="145" s="1" customFormat="1" ht="25" customHeight="1" spans="1:35">
      <c r="A145" s="17">
        <v>142</v>
      </c>
      <c r="B145" s="20">
        <v>46119</v>
      </c>
      <c r="C145" s="21" t="s">
        <v>224</v>
      </c>
      <c r="D145" s="22" t="str" cm="1">
        <f t="array" ref="D145">INDEX([1]Sheet2!A:A,MATCH(E145,[1]Sheet2!B:B,0))</f>
        <v>罗安</v>
      </c>
      <c r="E145" s="23" t="s">
        <v>225</v>
      </c>
      <c r="F145" s="24">
        <f t="shared" si="3"/>
        <v>1000</v>
      </c>
      <c r="G145" s="24" t="s">
        <v>77</v>
      </c>
      <c r="H145" s="36"/>
      <c r="I145" s="36"/>
      <c r="J145" s="24"/>
      <c r="K145" s="24"/>
      <c r="L145" s="24"/>
      <c r="M145" s="24"/>
      <c r="N145" s="24"/>
      <c r="O145" s="24"/>
      <c r="P145" s="24"/>
      <c r="Q145" s="24"/>
      <c r="R145" s="43"/>
      <c r="S145" s="24">
        <v>1000</v>
      </c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36"/>
      <c r="AG145" s="36"/>
      <c r="AH145" s="36"/>
      <c r="AI145" s="36"/>
    </row>
    <row r="146" s="1" customFormat="1" ht="25" customHeight="1" spans="1:35">
      <c r="A146" s="17">
        <v>143</v>
      </c>
      <c r="B146" s="20">
        <v>46119</v>
      </c>
      <c r="C146" s="21" t="s">
        <v>226</v>
      </c>
      <c r="D146" s="22" t="str" cm="1">
        <f t="array" ref="D146">INDEX([1]Sheet2!A:A,MATCH(E146,[1]Sheet2!B:B,0))</f>
        <v>武汉聚腾鑫飞体育科技有限公司</v>
      </c>
      <c r="E146" s="23" t="s">
        <v>227</v>
      </c>
      <c r="F146" s="24">
        <f t="shared" si="3"/>
        <v>1000</v>
      </c>
      <c r="G146" s="24" t="s">
        <v>77</v>
      </c>
      <c r="H146" s="36"/>
      <c r="I146" s="36"/>
      <c r="J146" s="24"/>
      <c r="K146" s="24"/>
      <c r="L146" s="24"/>
      <c r="M146" s="24"/>
      <c r="N146" s="24"/>
      <c r="O146" s="24"/>
      <c r="P146" s="24"/>
      <c r="Q146" s="24"/>
      <c r="R146" s="43"/>
      <c r="S146" s="24">
        <v>1000</v>
      </c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36"/>
      <c r="AG146" s="36"/>
      <c r="AH146" s="36"/>
      <c r="AI146" s="36"/>
    </row>
    <row r="147" s="1" customFormat="1" ht="25" customHeight="1" spans="1:35">
      <c r="A147" s="17">
        <v>144</v>
      </c>
      <c r="B147" s="20">
        <v>46119</v>
      </c>
      <c r="C147" s="21" t="s">
        <v>228</v>
      </c>
      <c r="D147" s="22" t="str" cm="1">
        <f t="array" ref="D147">INDEX([1]Sheet2!A:A,MATCH(E147,[1]Sheet2!B:B,0))</f>
        <v>张伟林</v>
      </c>
      <c r="E147" s="23" t="s">
        <v>229</v>
      </c>
      <c r="F147" s="24">
        <f t="shared" si="3"/>
        <v>3800</v>
      </c>
      <c r="G147" s="24" t="s">
        <v>77</v>
      </c>
      <c r="H147" s="36"/>
      <c r="I147" s="36"/>
      <c r="J147" s="24"/>
      <c r="K147" s="24"/>
      <c r="L147" s="24"/>
      <c r="M147" s="24"/>
      <c r="N147" s="24"/>
      <c r="O147" s="24"/>
      <c r="P147" s="24"/>
      <c r="Q147" s="24"/>
      <c r="R147" s="43"/>
      <c r="S147" s="24">
        <v>3800</v>
      </c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36"/>
      <c r="AG147" s="36"/>
      <c r="AH147" s="36"/>
      <c r="AI147" s="36"/>
    </row>
    <row r="148" s="1" customFormat="1" ht="25" customHeight="1" spans="1:35">
      <c r="A148" s="17">
        <v>145</v>
      </c>
      <c r="B148" s="20">
        <v>46119</v>
      </c>
      <c r="C148" s="21" t="s">
        <v>95</v>
      </c>
      <c r="D148" s="22" t="str" cm="1">
        <f t="array" ref="D148">INDEX([1]Sheet2!A:A,MATCH(E148,[1]Sheet2!B:B,0))</f>
        <v>周建华</v>
      </c>
      <c r="E148" s="23" t="s">
        <v>96</v>
      </c>
      <c r="F148" s="24">
        <f t="shared" si="3"/>
        <v>300</v>
      </c>
      <c r="G148" s="24" t="s">
        <v>77</v>
      </c>
      <c r="H148" s="36"/>
      <c r="I148" s="36"/>
      <c r="J148" s="24"/>
      <c r="K148" s="24"/>
      <c r="L148" s="24"/>
      <c r="M148" s="24"/>
      <c r="N148" s="24"/>
      <c r="O148" s="24"/>
      <c r="P148" s="24"/>
      <c r="Q148" s="24"/>
      <c r="R148" s="43"/>
      <c r="S148" s="24">
        <v>300</v>
      </c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36"/>
      <c r="AG148" s="36"/>
      <c r="AH148" s="36"/>
      <c r="AI148" s="36"/>
    </row>
    <row r="149" s="1" customFormat="1" ht="25" customHeight="1" spans="1:35">
      <c r="A149" s="17">
        <v>146</v>
      </c>
      <c r="B149" s="20">
        <v>46119</v>
      </c>
      <c r="C149" s="21" t="s">
        <v>160</v>
      </c>
      <c r="D149" s="22" t="str" cm="1">
        <f t="array" ref="D149">INDEX([1]Sheet2!A:A,MATCH(E149,[1]Sheet2!B:B,0))</f>
        <v>丁海军</v>
      </c>
      <c r="E149" s="23" t="s">
        <v>161</v>
      </c>
      <c r="F149" s="24">
        <f t="shared" si="3"/>
        <v>500</v>
      </c>
      <c r="G149" s="24" t="s">
        <v>77</v>
      </c>
      <c r="H149" s="36"/>
      <c r="I149" s="36"/>
      <c r="J149" s="24"/>
      <c r="K149" s="24"/>
      <c r="L149" s="24"/>
      <c r="M149" s="24"/>
      <c r="N149" s="24"/>
      <c r="O149" s="24"/>
      <c r="P149" s="24"/>
      <c r="Q149" s="24"/>
      <c r="R149" s="43"/>
      <c r="S149" s="24">
        <v>500</v>
      </c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36"/>
      <c r="AG149" s="36"/>
      <c r="AH149" s="36"/>
      <c r="AI149" s="36"/>
    </row>
    <row r="150" s="1" customFormat="1" ht="25" customHeight="1" spans="1:35">
      <c r="A150" s="17">
        <v>147</v>
      </c>
      <c r="B150" s="20">
        <v>46119</v>
      </c>
      <c r="C150" s="21" t="s">
        <v>230</v>
      </c>
      <c r="D150" s="22" t="str" cm="1">
        <f t="array" ref="D150">INDEX([1]Sheet2!A:A,MATCH(E150,[1]Sheet2!B:B,0))</f>
        <v>许翠敏</v>
      </c>
      <c r="E150" s="23" t="s">
        <v>231</v>
      </c>
      <c r="F150" s="24">
        <f t="shared" si="3"/>
        <v>100</v>
      </c>
      <c r="G150" s="24" t="s">
        <v>77</v>
      </c>
      <c r="H150" s="36"/>
      <c r="I150" s="36"/>
      <c r="J150" s="24"/>
      <c r="K150" s="24"/>
      <c r="L150" s="24"/>
      <c r="M150" s="24"/>
      <c r="N150" s="24"/>
      <c r="O150" s="24"/>
      <c r="P150" s="24"/>
      <c r="Q150" s="24"/>
      <c r="R150" s="43"/>
      <c r="S150" s="24">
        <v>100</v>
      </c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36"/>
      <c r="AG150" s="36"/>
      <c r="AH150" s="36"/>
      <c r="AI150" s="36"/>
    </row>
    <row r="151" s="1" customFormat="1" ht="25" customHeight="1" spans="1:35">
      <c r="A151" s="17">
        <v>148</v>
      </c>
      <c r="B151" s="20">
        <v>46119</v>
      </c>
      <c r="C151" s="21" t="s">
        <v>156</v>
      </c>
      <c r="D151" s="22" t="str" cm="1">
        <f t="array" ref="D151">INDEX([1]Sheet2!A:A,MATCH(E151,[1]Sheet2!B:B,0))</f>
        <v>刘露</v>
      </c>
      <c r="E151" s="23" t="s">
        <v>157</v>
      </c>
      <c r="F151" s="24">
        <f t="shared" si="3"/>
        <v>100</v>
      </c>
      <c r="G151" s="24" t="s">
        <v>77</v>
      </c>
      <c r="H151" s="36"/>
      <c r="I151" s="36"/>
      <c r="J151" s="24"/>
      <c r="K151" s="24"/>
      <c r="L151" s="24"/>
      <c r="M151" s="24"/>
      <c r="N151" s="24"/>
      <c r="O151" s="24"/>
      <c r="P151" s="24"/>
      <c r="Q151" s="24"/>
      <c r="R151" s="43"/>
      <c r="S151" s="24">
        <v>100</v>
      </c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36"/>
      <c r="AG151" s="36"/>
      <c r="AH151" s="36"/>
      <c r="AI151" s="36"/>
    </row>
    <row r="152" s="1" customFormat="1" ht="25" customHeight="1" spans="1:35">
      <c r="A152" s="17">
        <v>149</v>
      </c>
      <c r="B152" s="20">
        <v>46119</v>
      </c>
      <c r="C152" s="21" t="s">
        <v>97</v>
      </c>
      <c r="D152" s="22" t="str" cm="1">
        <f t="array" ref="D152">INDEX([1]Sheet2!A:A,MATCH(E152,[1]Sheet2!B:B,0))</f>
        <v>黎合</v>
      </c>
      <c r="E152" s="23" t="s">
        <v>98</v>
      </c>
      <c r="F152" s="24">
        <f t="shared" si="3"/>
        <v>20</v>
      </c>
      <c r="G152" s="24" t="s">
        <v>77</v>
      </c>
      <c r="H152" s="36"/>
      <c r="I152" s="36"/>
      <c r="J152" s="24"/>
      <c r="K152" s="24"/>
      <c r="L152" s="24"/>
      <c r="M152" s="24"/>
      <c r="N152" s="24"/>
      <c r="O152" s="24"/>
      <c r="P152" s="24"/>
      <c r="Q152" s="24"/>
      <c r="R152" s="43"/>
      <c r="S152" s="24">
        <v>20</v>
      </c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36"/>
      <c r="AG152" s="36"/>
      <c r="AH152" s="36"/>
      <c r="AI152" s="36"/>
    </row>
    <row r="153" s="1" customFormat="1" ht="25" customHeight="1" spans="1:35">
      <c r="A153" s="17">
        <v>150</v>
      </c>
      <c r="B153" s="20">
        <v>46119</v>
      </c>
      <c r="C153" s="21" t="s">
        <v>24</v>
      </c>
      <c r="D153" s="22" t="str" cm="1">
        <f t="array" ref="D153">INDEX([1]Sheet2!A:A,MATCH(E153,[1]Sheet2!B:B,0))</f>
        <v>临时</v>
      </c>
      <c r="E153" s="23" t="s">
        <v>99</v>
      </c>
      <c r="F153" s="24">
        <f t="shared" si="3"/>
        <v>558</v>
      </c>
      <c r="G153" s="24" t="s">
        <v>100</v>
      </c>
      <c r="H153" s="25"/>
      <c r="I153" s="25"/>
      <c r="J153" s="24"/>
      <c r="K153" s="24"/>
      <c r="L153" s="24"/>
      <c r="M153" s="24"/>
      <c r="N153" s="24"/>
      <c r="O153" s="24"/>
      <c r="P153" s="24"/>
      <c r="Q153" s="24"/>
      <c r="R153" s="43"/>
      <c r="S153" s="24"/>
      <c r="T153" s="24"/>
      <c r="U153" s="24"/>
      <c r="V153" s="24"/>
      <c r="W153" s="24">
        <v>558</v>
      </c>
      <c r="X153" s="24"/>
      <c r="Y153" s="24"/>
      <c r="Z153" s="24"/>
      <c r="AA153" s="24"/>
      <c r="AB153" s="24"/>
      <c r="AC153" s="24"/>
      <c r="AD153" s="24"/>
      <c r="AE153" s="24"/>
      <c r="AF153" s="36"/>
      <c r="AG153" s="36"/>
      <c r="AH153" s="36"/>
      <c r="AI153" s="36"/>
    </row>
    <row r="154" s="1" customFormat="1" ht="25" customHeight="1" spans="1:35">
      <c r="A154" s="17">
        <v>151</v>
      </c>
      <c r="B154" s="20">
        <v>46120</v>
      </c>
      <c r="C154" s="21" t="s">
        <v>232</v>
      </c>
      <c r="D154" s="22" t="str" cm="1">
        <f t="array" ref="D154">INDEX([1]Sheet2!A:A,MATCH(E154,[1]Sheet2!B:B,0))</f>
        <v>付勇</v>
      </c>
      <c r="E154" s="23" t="s">
        <v>233</v>
      </c>
      <c r="F154" s="24">
        <f t="shared" si="3"/>
        <v>462.08</v>
      </c>
      <c r="G154" s="24" t="s">
        <v>40</v>
      </c>
      <c r="H154" s="36"/>
      <c r="I154" s="36"/>
      <c r="J154" s="24"/>
      <c r="K154" s="24"/>
      <c r="L154" s="24"/>
      <c r="M154" s="24"/>
      <c r="N154" s="24"/>
      <c r="O154" s="24"/>
      <c r="P154" s="24"/>
      <c r="Q154" s="24">
        <v>462.08</v>
      </c>
      <c r="R154" s="43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36"/>
      <c r="AG154" s="36"/>
      <c r="AH154" s="36"/>
      <c r="AI154" s="36"/>
    </row>
    <row r="155" s="1" customFormat="1" ht="25" customHeight="1" spans="1:35">
      <c r="A155" s="17">
        <v>152</v>
      </c>
      <c r="B155" s="20">
        <v>46120</v>
      </c>
      <c r="C155" s="21" t="s">
        <v>234</v>
      </c>
      <c r="D155" s="22" t="s">
        <v>235</v>
      </c>
      <c r="E155" s="23" t="s">
        <v>236</v>
      </c>
      <c r="F155" s="24">
        <f t="shared" si="3"/>
        <v>10000</v>
      </c>
      <c r="G155" s="24" t="s">
        <v>40</v>
      </c>
      <c r="H155" s="25">
        <v>46113</v>
      </c>
      <c r="I155" s="25">
        <v>46142</v>
      </c>
      <c r="J155" s="24">
        <v>5530</v>
      </c>
      <c r="K155" s="24">
        <v>4470</v>
      </c>
      <c r="L155" s="24"/>
      <c r="M155" s="24"/>
      <c r="N155" s="24"/>
      <c r="O155" s="24"/>
      <c r="P155" s="24"/>
      <c r="Q155" s="24"/>
      <c r="R155" s="43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36"/>
      <c r="AG155" s="36"/>
      <c r="AH155" s="36"/>
      <c r="AI155" s="36"/>
    </row>
    <row r="156" s="1" customFormat="1" ht="25" customHeight="1" spans="1:35">
      <c r="A156" s="17">
        <v>153</v>
      </c>
      <c r="B156" s="20">
        <v>46120</v>
      </c>
      <c r="C156" s="21" t="s">
        <v>237</v>
      </c>
      <c r="D156" s="22" t="str" cm="1">
        <f t="array" ref="D156">INDEX([1]Sheet2!A:A,MATCH(E156,[1]Sheet2!B:B,0))</f>
        <v>长沙紫荆花商贸有限公司</v>
      </c>
      <c r="E156" s="23" t="s">
        <v>238</v>
      </c>
      <c r="F156" s="24">
        <f t="shared" si="3"/>
        <v>800</v>
      </c>
      <c r="G156" s="24" t="s">
        <v>40</v>
      </c>
      <c r="H156" s="25"/>
      <c r="I156" s="25"/>
      <c r="J156" s="24"/>
      <c r="K156" s="24"/>
      <c r="L156" s="24"/>
      <c r="M156" s="24"/>
      <c r="N156" s="24"/>
      <c r="O156" s="24"/>
      <c r="P156" s="24"/>
      <c r="Q156" s="24"/>
      <c r="R156" s="43"/>
      <c r="S156" s="24">
        <v>800</v>
      </c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36"/>
      <c r="AG156" s="36"/>
      <c r="AH156" s="36"/>
      <c r="AI156" s="36"/>
    </row>
    <row r="157" s="1" customFormat="1" ht="25" customHeight="1" spans="1:35">
      <c r="A157" s="17">
        <v>154</v>
      </c>
      <c r="B157" s="20">
        <v>46120</v>
      </c>
      <c r="C157" s="21" t="s">
        <v>239</v>
      </c>
      <c r="D157" s="22" t="s">
        <v>240</v>
      </c>
      <c r="E157" s="23" t="s">
        <v>241</v>
      </c>
      <c r="F157" s="24">
        <f t="shared" si="3"/>
        <v>3000</v>
      </c>
      <c r="G157" s="24" t="s">
        <v>40</v>
      </c>
      <c r="H157" s="25">
        <v>46143</v>
      </c>
      <c r="I157" s="25">
        <v>46234</v>
      </c>
      <c r="J157" s="24"/>
      <c r="K157" s="24"/>
      <c r="L157" s="24"/>
      <c r="M157" s="24"/>
      <c r="N157" s="24"/>
      <c r="O157" s="24">
        <v>3000</v>
      </c>
      <c r="P157" s="24"/>
      <c r="Q157" s="24"/>
      <c r="R157" s="43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36"/>
      <c r="AG157" s="36"/>
      <c r="AH157" s="36"/>
      <c r="AI157" s="36"/>
    </row>
    <row r="158" s="2" customFormat="1" ht="25" customHeight="1" spans="1:35">
      <c r="A158" s="27">
        <v>155</v>
      </c>
      <c r="B158" s="28">
        <v>46120</v>
      </c>
      <c r="C158" s="34" t="s">
        <v>242</v>
      </c>
      <c r="D158" s="30" t="s">
        <v>243</v>
      </c>
      <c r="E158" s="31" t="s">
        <v>244</v>
      </c>
      <c r="F158" s="32">
        <f t="shared" si="3"/>
        <v>1800</v>
      </c>
      <c r="G158" s="32" t="s">
        <v>40</v>
      </c>
      <c r="H158" s="33">
        <v>46113</v>
      </c>
      <c r="I158" s="33">
        <v>46203</v>
      </c>
      <c r="J158" s="32"/>
      <c r="K158" s="32"/>
      <c r="L158" s="32"/>
      <c r="M158" s="32"/>
      <c r="N158" s="32">
        <v>1800</v>
      </c>
      <c r="O158" s="32"/>
      <c r="P158" s="32"/>
      <c r="Q158" s="32"/>
      <c r="R158" s="45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1" t="s">
        <v>245</v>
      </c>
      <c r="AG158" s="35"/>
      <c r="AH158" s="35"/>
      <c r="AI158" s="35"/>
    </row>
    <row r="159" s="1" customFormat="1" ht="25" customHeight="1" spans="1:35">
      <c r="A159" s="17">
        <v>156</v>
      </c>
      <c r="B159" s="20">
        <v>46120</v>
      </c>
      <c r="C159" s="21" t="s">
        <v>246</v>
      </c>
      <c r="D159" s="22" t="str" cm="1">
        <f t="array" ref="D159">INDEX([1]Sheet2!A:A,MATCH(E159,[1]Sheet2!B:B,0))</f>
        <v>李予</v>
      </c>
      <c r="E159" s="23" t="s">
        <v>247</v>
      </c>
      <c r="F159" s="24">
        <f t="shared" si="3"/>
        <v>338.39</v>
      </c>
      <c r="G159" s="24" t="s">
        <v>49</v>
      </c>
      <c r="H159" s="25">
        <v>46082</v>
      </c>
      <c r="I159" s="25">
        <v>46112</v>
      </c>
      <c r="J159" s="24"/>
      <c r="K159" s="24"/>
      <c r="L159" s="24"/>
      <c r="M159" s="24"/>
      <c r="N159" s="24"/>
      <c r="O159" s="24"/>
      <c r="P159" s="24"/>
      <c r="Q159" s="24">
        <v>8.99</v>
      </c>
      <c r="R159" s="43">
        <v>329.4</v>
      </c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36"/>
      <c r="AG159" s="36"/>
      <c r="AH159" s="36"/>
      <c r="AI159" s="36"/>
    </row>
    <row r="160" s="1" customFormat="1" ht="25" customHeight="1" spans="1:35">
      <c r="A160" s="17">
        <v>157</v>
      </c>
      <c r="B160" s="20">
        <v>46120</v>
      </c>
      <c r="C160" s="21" t="s">
        <v>248</v>
      </c>
      <c r="D160" s="22" t="str" cm="1">
        <f t="array" ref="D160">INDEX([1]Sheet2!A:A,MATCH(E160,[1]Sheet2!B:B,0))</f>
        <v>刘德聪</v>
      </c>
      <c r="E160" s="23" t="s">
        <v>249</v>
      </c>
      <c r="F160" s="24">
        <f t="shared" si="3"/>
        <v>225</v>
      </c>
      <c r="G160" s="24" t="s">
        <v>49</v>
      </c>
      <c r="H160" s="25">
        <v>46082</v>
      </c>
      <c r="I160" s="25">
        <v>46112</v>
      </c>
      <c r="J160" s="24"/>
      <c r="K160" s="24"/>
      <c r="L160" s="24"/>
      <c r="M160" s="24"/>
      <c r="N160" s="24"/>
      <c r="O160" s="24"/>
      <c r="P160" s="24"/>
      <c r="Q160" s="24">
        <v>8.99</v>
      </c>
      <c r="R160" s="43">
        <v>216.01</v>
      </c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36"/>
      <c r="AG160" s="36"/>
      <c r="AH160" s="36"/>
      <c r="AI160" s="36"/>
    </row>
    <row r="161" s="1" customFormat="1" ht="25" customHeight="1" spans="1:35">
      <c r="A161" s="17">
        <v>158</v>
      </c>
      <c r="B161" s="20">
        <v>46120</v>
      </c>
      <c r="C161" s="21" t="s">
        <v>250</v>
      </c>
      <c r="D161" s="22" t="str" cm="1">
        <f t="array" ref="D161">INDEX([1]Sheet2!A:A,MATCH(E161,[1]Sheet2!B:B,0))</f>
        <v>陈兵虎</v>
      </c>
      <c r="E161" s="23" t="s">
        <v>251</v>
      </c>
      <c r="F161" s="24">
        <f t="shared" si="3"/>
        <v>562.61</v>
      </c>
      <c r="G161" s="24" t="s">
        <v>49</v>
      </c>
      <c r="H161" s="25">
        <v>46082</v>
      </c>
      <c r="I161" s="25">
        <v>46112</v>
      </c>
      <c r="J161" s="24"/>
      <c r="K161" s="24"/>
      <c r="L161" s="24"/>
      <c r="M161" s="24"/>
      <c r="N161" s="24"/>
      <c r="O161" s="24"/>
      <c r="P161" s="24"/>
      <c r="Q161" s="24">
        <v>8.99</v>
      </c>
      <c r="R161" s="43">
        <v>553.62</v>
      </c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36"/>
      <c r="AG161" s="36"/>
      <c r="AH161" s="36"/>
      <c r="AI161" s="36"/>
    </row>
    <row r="162" s="1" customFormat="1" ht="25" customHeight="1" spans="1:35">
      <c r="A162" s="17">
        <v>159</v>
      </c>
      <c r="B162" s="20">
        <v>46120</v>
      </c>
      <c r="C162" s="21" t="s">
        <v>252</v>
      </c>
      <c r="D162" s="22" t="str" cm="1">
        <f t="array" ref="D162">INDEX([1]Sheet2!A:A,MATCH(E162,[1]Sheet2!B:B,0))</f>
        <v>韦土花</v>
      </c>
      <c r="E162" s="23" t="s">
        <v>253</v>
      </c>
      <c r="F162" s="24">
        <f t="shared" si="3"/>
        <v>243.36</v>
      </c>
      <c r="G162" s="24" t="s">
        <v>49</v>
      </c>
      <c r="H162" s="25">
        <v>46082</v>
      </c>
      <c r="I162" s="25">
        <v>46112</v>
      </c>
      <c r="J162" s="24"/>
      <c r="K162" s="24"/>
      <c r="L162" s="24"/>
      <c r="M162" s="24"/>
      <c r="N162" s="24"/>
      <c r="O162" s="24"/>
      <c r="P162" s="24"/>
      <c r="Q162" s="24">
        <v>8.99</v>
      </c>
      <c r="R162" s="43">
        <v>234.37</v>
      </c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36"/>
      <c r="AG162" s="36"/>
      <c r="AH162" s="36"/>
      <c r="AI162" s="36"/>
    </row>
    <row r="163" s="1" customFormat="1" ht="25" customHeight="1" spans="1:35">
      <c r="A163" s="17">
        <v>160</v>
      </c>
      <c r="B163" s="20">
        <v>46120</v>
      </c>
      <c r="C163" s="21" t="s">
        <v>254</v>
      </c>
      <c r="D163" s="22" t="str" cm="1">
        <f t="array" ref="D163">INDEX([1]Sheet2!A:A,MATCH(E163,[1]Sheet2!B:B,0))</f>
        <v>吴赛博</v>
      </c>
      <c r="E163" s="23" t="s">
        <v>255</v>
      </c>
      <c r="F163" s="24">
        <f t="shared" si="3"/>
        <v>291.5</v>
      </c>
      <c r="G163" s="24" t="s">
        <v>49</v>
      </c>
      <c r="H163" s="25">
        <v>46082</v>
      </c>
      <c r="I163" s="25">
        <v>46112</v>
      </c>
      <c r="J163" s="24"/>
      <c r="K163" s="24"/>
      <c r="L163" s="24"/>
      <c r="M163" s="24"/>
      <c r="N163" s="24"/>
      <c r="O163" s="24"/>
      <c r="P163" s="24"/>
      <c r="Q163" s="24">
        <v>8.99</v>
      </c>
      <c r="R163" s="43">
        <v>282.51</v>
      </c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36"/>
      <c r="AG163" s="36"/>
      <c r="AH163" s="36"/>
      <c r="AI163" s="36"/>
    </row>
    <row r="164" s="1" customFormat="1" ht="25" customHeight="1" spans="1:35">
      <c r="A164" s="17">
        <v>161</v>
      </c>
      <c r="B164" s="20">
        <v>46120</v>
      </c>
      <c r="C164" s="21" t="s">
        <v>256</v>
      </c>
      <c r="D164" s="22" t="str" cm="1">
        <f t="array" ref="D164">INDEX([1]Sheet2!A:A,MATCH(E164,[1]Sheet2!B:B,0))</f>
        <v>唐斌</v>
      </c>
      <c r="E164" s="23" t="s">
        <v>257</v>
      </c>
      <c r="F164" s="24">
        <f t="shared" si="3"/>
        <v>167.69</v>
      </c>
      <c r="G164" s="24" t="s">
        <v>49</v>
      </c>
      <c r="H164" s="25">
        <v>46082</v>
      </c>
      <c r="I164" s="25">
        <v>46112</v>
      </c>
      <c r="J164" s="24"/>
      <c r="K164" s="24"/>
      <c r="L164" s="24"/>
      <c r="M164" s="24"/>
      <c r="N164" s="24"/>
      <c r="O164" s="24"/>
      <c r="P164" s="24"/>
      <c r="Q164" s="24">
        <v>8.99</v>
      </c>
      <c r="R164" s="43">
        <v>158.7</v>
      </c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36"/>
      <c r="AG164" s="36"/>
      <c r="AH164" s="36"/>
      <c r="AI164" s="36"/>
    </row>
    <row r="165" s="1" customFormat="1" ht="25" customHeight="1" spans="1:35">
      <c r="A165" s="17">
        <v>162</v>
      </c>
      <c r="B165" s="20">
        <v>46120</v>
      </c>
      <c r="C165" s="21" t="s">
        <v>258</v>
      </c>
      <c r="D165" s="22" t="s">
        <v>259</v>
      </c>
      <c r="E165" s="23" t="s">
        <v>260</v>
      </c>
      <c r="F165" s="24">
        <f t="shared" si="3"/>
        <v>99</v>
      </c>
      <c r="G165" s="24" t="s">
        <v>49</v>
      </c>
      <c r="H165" s="25">
        <v>46054</v>
      </c>
      <c r="I165" s="25">
        <v>46081</v>
      </c>
      <c r="J165" s="24"/>
      <c r="K165" s="24"/>
      <c r="L165" s="24"/>
      <c r="M165" s="24"/>
      <c r="N165" s="24"/>
      <c r="O165" s="24">
        <v>99</v>
      </c>
      <c r="P165" s="24"/>
      <c r="Q165" s="24"/>
      <c r="R165" s="43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36" t="s">
        <v>261</v>
      </c>
      <c r="AG165" s="36"/>
      <c r="AH165" s="36"/>
      <c r="AI165" s="36"/>
    </row>
    <row r="166" s="1" customFormat="1" ht="25" customHeight="1" spans="1:35">
      <c r="A166" s="17">
        <v>163</v>
      </c>
      <c r="B166" s="20">
        <v>46120</v>
      </c>
      <c r="C166" s="21" t="s">
        <v>262</v>
      </c>
      <c r="D166" s="22" t="str" cm="1">
        <f t="array" ref="D166">INDEX([1]Sheet2!A:A,MATCH(E166,[1]Sheet2!B:B,0))</f>
        <v>邓超</v>
      </c>
      <c r="E166" s="23" t="s">
        <v>263</v>
      </c>
      <c r="F166" s="24">
        <f t="shared" si="3"/>
        <v>199.99</v>
      </c>
      <c r="G166" s="24" t="s">
        <v>49</v>
      </c>
      <c r="H166" s="25">
        <v>46082</v>
      </c>
      <c r="I166" s="25">
        <v>46112</v>
      </c>
      <c r="J166" s="24"/>
      <c r="K166" s="24"/>
      <c r="L166" s="24"/>
      <c r="M166" s="24"/>
      <c r="N166" s="24"/>
      <c r="O166" s="24"/>
      <c r="P166" s="24"/>
      <c r="Q166" s="24">
        <v>8.99</v>
      </c>
      <c r="R166" s="43">
        <v>191</v>
      </c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36"/>
      <c r="AG166" s="36"/>
      <c r="AH166" s="36"/>
      <c r="AI166" s="36"/>
    </row>
    <row r="167" s="1" customFormat="1" ht="25" customHeight="1" spans="1:35">
      <c r="A167" s="17">
        <v>164</v>
      </c>
      <c r="B167" s="20">
        <v>46120</v>
      </c>
      <c r="C167" s="21" t="s">
        <v>264</v>
      </c>
      <c r="D167" s="22" t="str" cm="1">
        <f t="array" ref="D167">INDEX([1]Sheet2!A:A,MATCH(E167,[1]Sheet2!B:B,0))</f>
        <v>邓超</v>
      </c>
      <c r="E167" s="23" t="s">
        <v>265</v>
      </c>
      <c r="F167" s="24">
        <f t="shared" si="3"/>
        <v>103.12</v>
      </c>
      <c r="G167" s="24" t="s">
        <v>49</v>
      </c>
      <c r="H167" s="25">
        <v>46082</v>
      </c>
      <c r="I167" s="25">
        <v>46112</v>
      </c>
      <c r="J167" s="24"/>
      <c r="K167" s="24"/>
      <c r="L167" s="24"/>
      <c r="M167" s="24"/>
      <c r="N167" s="24"/>
      <c r="O167" s="24"/>
      <c r="P167" s="24"/>
      <c r="Q167" s="24">
        <v>9</v>
      </c>
      <c r="R167" s="43">
        <v>94.12</v>
      </c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36"/>
      <c r="AG167" s="36"/>
      <c r="AH167" s="36"/>
      <c r="AI167" s="36"/>
    </row>
    <row r="168" s="1" customFormat="1" ht="25" customHeight="1" spans="1:35">
      <c r="A168" s="17">
        <v>165</v>
      </c>
      <c r="B168" s="20">
        <v>46120</v>
      </c>
      <c r="C168" s="21" t="s">
        <v>266</v>
      </c>
      <c r="D168" s="22" t="str" cm="1">
        <f t="array" ref="D168">INDEX([1]Sheet2!A:A,MATCH(E168,[1]Sheet2!B:B,0))</f>
        <v>滕招锦</v>
      </c>
      <c r="E168" s="23" t="s">
        <v>267</v>
      </c>
      <c r="F168" s="24">
        <f t="shared" si="3"/>
        <v>1208.37</v>
      </c>
      <c r="G168" s="24" t="s">
        <v>49</v>
      </c>
      <c r="H168" s="25">
        <v>46082</v>
      </c>
      <c r="I168" s="25">
        <v>46112</v>
      </c>
      <c r="J168" s="24"/>
      <c r="K168" s="24"/>
      <c r="L168" s="24"/>
      <c r="M168" s="24"/>
      <c r="N168" s="24"/>
      <c r="O168" s="24"/>
      <c r="P168" s="24"/>
      <c r="Q168" s="24">
        <v>109.44</v>
      </c>
      <c r="R168" s="43">
        <v>1098.93</v>
      </c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36"/>
      <c r="AG168" s="36"/>
      <c r="AH168" s="36"/>
      <c r="AI168" s="36"/>
    </row>
    <row r="169" s="1" customFormat="1" ht="25" customHeight="1" spans="1:35">
      <c r="A169" s="17">
        <v>166</v>
      </c>
      <c r="B169" s="20">
        <v>46120</v>
      </c>
      <c r="C169" s="21" t="s">
        <v>268</v>
      </c>
      <c r="D169" s="22" t="s">
        <v>269</v>
      </c>
      <c r="E169" s="23" t="s">
        <v>270</v>
      </c>
      <c r="F169" s="24">
        <f t="shared" si="3"/>
        <v>1.85</v>
      </c>
      <c r="G169" s="24" t="s">
        <v>49</v>
      </c>
      <c r="H169" s="25">
        <v>46082</v>
      </c>
      <c r="I169" s="25">
        <v>46112</v>
      </c>
      <c r="J169" s="24"/>
      <c r="K169" s="24"/>
      <c r="L169" s="24"/>
      <c r="M169" s="24"/>
      <c r="N169" s="24"/>
      <c r="O169" s="24"/>
      <c r="P169" s="24"/>
      <c r="Q169" s="24"/>
      <c r="R169" s="43">
        <v>1.85</v>
      </c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36"/>
      <c r="AG169" s="36"/>
      <c r="AH169" s="36"/>
      <c r="AI169" s="36"/>
    </row>
    <row r="170" s="1" customFormat="1" ht="25" customHeight="1" spans="1:35">
      <c r="A170" s="17">
        <v>167</v>
      </c>
      <c r="B170" s="20">
        <v>46120</v>
      </c>
      <c r="C170" s="21" t="s">
        <v>271</v>
      </c>
      <c r="D170" s="22" t="str" cm="1">
        <f t="array" ref="D170">INDEX([1]Sheet2!A:A,MATCH(E170,[1]Sheet2!B:B,0))</f>
        <v>谢涛</v>
      </c>
      <c r="E170" s="23" t="s">
        <v>272</v>
      </c>
      <c r="F170" s="24">
        <f t="shared" si="3"/>
        <v>11.76</v>
      </c>
      <c r="G170" s="24" t="s">
        <v>49</v>
      </c>
      <c r="H170" s="25">
        <v>46082</v>
      </c>
      <c r="I170" s="25">
        <v>46112</v>
      </c>
      <c r="J170" s="24"/>
      <c r="K170" s="24"/>
      <c r="L170" s="24"/>
      <c r="M170" s="24"/>
      <c r="N170" s="24"/>
      <c r="O170" s="24"/>
      <c r="P170" s="24"/>
      <c r="Q170" s="24">
        <v>8.99</v>
      </c>
      <c r="R170" s="43">
        <v>2.77</v>
      </c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36"/>
      <c r="AG170" s="36"/>
      <c r="AH170" s="36"/>
      <c r="AI170" s="36"/>
    </row>
    <row r="171" s="1" customFormat="1" ht="25" customHeight="1" spans="1:35">
      <c r="A171" s="17">
        <v>168</v>
      </c>
      <c r="B171" s="20">
        <v>46120</v>
      </c>
      <c r="C171" s="21" t="s">
        <v>273</v>
      </c>
      <c r="D171" s="22" t="str" cm="1">
        <f t="array" ref="D171">INDEX([1]Sheet2!A:A,MATCH(E171,[1]Sheet2!B:B,0))</f>
        <v>伍一文</v>
      </c>
      <c r="E171" s="23" t="s">
        <v>274</v>
      </c>
      <c r="F171" s="24">
        <f t="shared" si="3"/>
        <v>7156.94</v>
      </c>
      <c r="G171" s="24" t="s">
        <v>49</v>
      </c>
      <c r="H171" s="25">
        <v>46082</v>
      </c>
      <c r="I171" s="25">
        <v>46112</v>
      </c>
      <c r="J171" s="24"/>
      <c r="K171" s="24"/>
      <c r="L171" s="24"/>
      <c r="M171" s="24"/>
      <c r="N171" s="24"/>
      <c r="O171" s="24"/>
      <c r="Q171" s="24">
        <v>273.6</v>
      </c>
      <c r="R171" s="43">
        <v>6883.34</v>
      </c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36"/>
      <c r="AG171" s="36"/>
      <c r="AH171" s="36"/>
      <c r="AI171" s="36"/>
    </row>
    <row r="172" s="1" customFormat="1" ht="25" customHeight="1" spans="1:35">
      <c r="A172" s="17">
        <v>169</v>
      </c>
      <c r="B172" s="20">
        <v>46120</v>
      </c>
      <c r="C172" s="21" t="s">
        <v>275</v>
      </c>
      <c r="D172" s="22" t="str" cm="1">
        <f t="array" ref="D172">INDEX([1]Sheet2!A:A,MATCH(E172,[1]Sheet2!B:B,0))</f>
        <v>叶丽娟</v>
      </c>
      <c r="E172" s="23" t="s">
        <v>276</v>
      </c>
      <c r="F172" s="24">
        <f t="shared" si="3"/>
        <v>1054.65</v>
      </c>
      <c r="G172" s="24" t="s">
        <v>49</v>
      </c>
      <c r="H172" s="25">
        <v>46082</v>
      </c>
      <c r="I172" s="25">
        <v>46112</v>
      </c>
      <c r="J172" s="24"/>
      <c r="K172" s="24"/>
      <c r="L172" s="24"/>
      <c r="M172" s="24"/>
      <c r="N172" s="24"/>
      <c r="O172" s="24"/>
      <c r="P172" s="24"/>
      <c r="Q172" s="24"/>
      <c r="R172" s="43">
        <v>1054.65</v>
      </c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36"/>
      <c r="AG172" s="36"/>
      <c r="AH172" s="36"/>
      <c r="AI172" s="36"/>
    </row>
    <row r="173" s="1" customFormat="1" ht="25" customHeight="1" spans="1:35">
      <c r="A173" s="17">
        <v>170</v>
      </c>
      <c r="B173" s="20">
        <v>46120</v>
      </c>
      <c r="C173" s="21" t="s">
        <v>111</v>
      </c>
      <c r="D173" s="22" t="str" cm="1">
        <f t="array" ref="D173">INDEX([1]Sheet2!A:A,MATCH(E173,[1]Sheet2!B:B,0))</f>
        <v>邹德峰</v>
      </c>
      <c r="E173" s="23" t="s">
        <v>277</v>
      </c>
      <c r="F173" s="24">
        <f t="shared" si="3"/>
        <v>1018.44</v>
      </c>
      <c r="G173" s="24" t="s">
        <v>49</v>
      </c>
      <c r="H173" s="25">
        <v>46082</v>
      </c>
      <c r="I173" s="25">
        <v>46112</v>
      </c>
      <c r="J173" s="24"/>
      <c r="K173" s="24"/>
      <c r="L173" s="24"/>
      <c r="M173" s="24"/>
      <c r="N173" s="24"/>
      <c r="O173" s="24"/>
      <c r="P173" s="24"/>
      <c r="Q173" s="24">
        <v>1018.44</v>
      </c>
      <c r="R173" s="43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36"/>
      <c r="AG173" s="36"/>
      <c r="AH173" s="36"/>
      <c r="AI173" s="36"/>
    </row>
    <row r="174" s="1" customFormat="1" ht="25" customHeight="1" spans="1:35">
      <c r="A174" s="17">
        <v>171</v>
      </c>
      <c r="B174" s="20">
        <v>46120</v>
      </c>
      <c r="C174" s="21" t="s">
        <v>169</v>
      </c>
      <c r="D174" s="22" t="s">
        <v>278</v>
      </c>
      <c r="E174" s="23" t="s">
        <v>279</v>
      </c>
      <c r="F174" s="24">
        <f t="shared" si="3"/>
        <v>6.08</v>
      </c>
      <c r="G174" s="24" t="s">
        <v>49</v>
      </c>
      <c r="H174" s="25">
        <v>46082</v>
      </c>
      <c r="I174" s="25">
        <v>46112</v>
      </c>
      <c r="J174" s="24"/>
      <c r="K174" s="24"/>
      <c r="L174" s="24"/>
      <c r="M174" s="24"/>
      <c r="N174" s="24"/>
      <c r="O174" s="24"/>
      <c r="P174" s="24"/>
      <c r="Q174" s="24">
        <v>6.08</v>
      </c>
      <c r="R174" s="43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36"/>
      <c r="AG174" s="36"/>
      <c r="AH174" s="36"/>
      <c r="AI174" s="36"/>
    </row>
    <row r="175" s="1" customFormat="1" ht="25" customHeight="1" spans="1:35">
      <c r="A175" s="17">
        <v>172</v>
      </c>
      <c r="B175" s="20">
        <v>46120</v>
      </c>
      <c r="C175" s="21" t="s">
        <v>280</v>
      </c>
      <c r="D175" s="22" t="str" cm="1">
        <f t="array" ref="D175">INDEX([1]Sheet2!A:A,MATCH(E175,[1]Sheet2!B:B,0))</f>
        <v>廖翔</v>
      </c>
      <c r="E175" s="23" t="s">
        <v>281</v>
      </c>
      <c r="F175" s="24">
        <f t="shared" si="3"/>
        <v>120.87</v>
      </c>
      <c r="G175" s="24" t="s">
        <v>49</v>
      </c>
      <c r="H175" s="25">
        <v>46082</v>
      </c>
      <c r="I175" s="25">
        <v>46112</v>
      </c>
      <c r="J175" s="24"/>
      <c r="K175" s="24"/>
      <c r="L175" s="24"/>
      <c r="M175" s="24"/>
      <c r="N175" s="24"/>
      <c r="O175" s="24"/>
      <c r="P175" s="24"/>
      <c r="Q175" s="24"/>
      <c r="R175" s="43">
        <v>120.87</v>
      </c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36"/>
      <c r="AG175" s="36"/>
      <c r="AH175" s="36"/>
      <c r="AI175" s="36"/>
    </row>
    <row r="176" s="1" customFormat="1" ht="25" customHeight="1" spans="1:35">
      <c r="A176" s="17">
        <v>173</v>
      </c>
      <c r="B176" s="20">
        <v>46120</v>
      </c>
      <c r="C176" s="21" t="s">
        <v>282</v>
      </c>
      <c r="D176" s="22" t="str" cm="1">
        <f t="array" ref="D176">INDEX([1]Sheet2!A:A,MATCH(E176,[1]Sheet2!B:B,0))</f>
        <v>宋光福</v>
      </c>
      <c r="E176" s="23" t="s">
        <v>283</v>
      </c>
      <c r="F176" s="24">
        <f t="shared" si="3"/>
        <v>62.51</v>
      </c>
      <c r="G176" s="24" t="s">
        <v>49</v>
      </c>
      <c r="H176" s="25">
        <v>46082</v>
      </c>
      <c r="I176" s="25">
        <v>46112</v>
      </c>
      <c r="J176" s="24"/>
      <c r="K176" s="24"/>
      <c r="L176" s="24"/>
      <c r="M176" s="24"/>
      <c r="N176" s="24"/>
      <c r="O176" s="24"/>
      <c r="P176" s="24"/>
      <c r="Q176" s="24">
        <v>8.99</v>
      </c>
      <c r="R176" s="43">
        <v>53.52</v>
      </c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36"/>
      <c r="AG176" s="36"/>
      <c r="AH176" s="36"/>
      <c r="AI176" s="36"/>
    </row>
    <row r="177" s="1" customFormat="1" ht="25" customHeight="1" spans="1:35">
      <c r="A177" s="17">
        <v>174</v>
      </c>
      <c r="B177" s="20">
        <v>46120</v>
      </c>
      <c r="C177" s="21" t="s">
        <v>284</v>
      </c>
      <c r="D177" s="22" t="str" cm="1">
        <f t="array" ref="D177">INDEX([1]Sheet2!A:A,MATCH(E177,[1]Sheet2!B:B,0))</f>
        <v>刘红梅</v>
      </c>
      <c r="E177" s="23" t="s">
        <v>285</v>
      </c>
      <c r="F177" s="24">
        <f t="shared" si="3"/>
        <v>64.59</v>
      </c>
      <c r="G177" s="24" t="s">
        <v>49</v>
      </c>
      <c r="H177" s="25">
        <v>46082</v>
      </c>
      <c r="I177" s="25">
        <v>46112</v>
      </c>
      <c r="J177" s="24"/>
      <c r="K177" s="24"/>
      <c r="L177" s="24"/>
      <c r="M177" s="24"/>
      <c r="N177" s="24"/>
      <c r="O177" s="24"/>
      <c r="P177" s="24"/>
      <c r="Q177" s="24"/>
      <c r="R177" s="43">
        <v>64.59</v>
      </c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36"/>
      <c r="AG177" s="36"/>
      <c r="AH177" s="36"/>
      <c r="AI177" s="36"/>
    </row>
    <row r="178" s="1" customFormat="1" ht="25" customHeight="1" spans="1:35">
      <c r="A178" s="17">
        <v>175</v>
      </c>
      <c r="B178" s="20">
        <v>46120</v>
      </c>
      <c r="C178" s="21" t="s">
        <v>73</v>
      </c>
      <c r="D178" s="22" t="str" cm="1">
        <f t="array" ref="D178">INDEX([1]Sheet2!A:A,MATCH(E178,[1]Sheet2!B:B,0))</f>
        <v>衡阳志扬体育文化有限公司</v>
      </c>
      <c r="E178" s="23" t="s">
        <v>74</v>
      </c>
      <c r="F178" s="24">
        <f t="shared" si="3"/>
        <v>5393</v>
      </c>
      <c r="G178" s="24" t="s">
        <v>49</v>
      </c>
      <c r="H178" s="25"/>
      <c r="I178" s="25"/>
      <c r="J178" s="24"/>
      <c r="K178" s="24"/>
      <c r="L178" s="24"/>
      <c r="M178" s="24"/>
      <c r="N178" s="24"/>
      <c r="O178" s="24"/>
      <c r="P178" s="24"/>
      <c r="Q178" s="24"/>
      <c r="R178" s="43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>
        <v>5393</v>
      </c>
      <c r="AF178" s="36"/>
      <c r="AG178" s="36"/>
      <c r="AH178" s="36"/>
      <c r="AI178" s="36"/>
    </row>
    <row r="179" s="1" customFormat="1" ht="25" customHeight="1" spans="1:35">
      <c r="A179" s="17">
        <v>176</v>
      </c>
      <c r="B179" s="20">
        <v>46120</v>
      </c>
      <c r="C179" s="21" t="s">
        <v>56</v>
      </c>
      <c r="D179" s="22" t="s">
        <v>57</v>
      </c>
      <c r="E179" s="23" t="s">
        <v>58</v>
      </c>
      <c r="F179" s="24">
        <f t="shared" si="3"/>
        <v>40</v>
      </c>
      <c r="G179" s="24" t="s">
        <v>49</v>
      </c>
      <c r="H179" s="25"/>
      <c r="I179" s="25"/>
      <c r="J179" s="24"/>
      <c r="K179" s="24"/>
      <c r="L179" s="24"/>
      <c r="M179" s="24"/>
      <c r="N179" s="24"/>
      <c r="O179" s="24"/>
      <c r="P179" s="24"/>
      <c r="Q179" s="24"/>
      <c r="R179" s="43"/>
      <c r="S179" s="24"/>
      <c r="T179" s="24"/>
      <c r="U179" s="24"/>
      <c r="V179" s="24">
        <v>40</v>
      </c>
      <c r="W179" s="24"/>
      <c r="X179" s="24"/>
      <c r="Y179" s="24"/>
      <c r="Z179" s="24"/>
      <c r="AA179" s="24"/>
      <c r="AB179" s="24"/>
      <c r="AC179" s="24"/>
      <c r="AD179" s="24"/>
      <c r="AE179" s="24"/>
      <c r="AF179" s="36"/>
      <c r="AG179" s="36"/>
      <c r="AH179" s="36"/>
      <c r="AI179" s="36"/>
    </row>
    <row r="180" s="1" customFormat="1" ht="25" customHeight="1" spans="1:35">
      <c r="A180" s="17">
        <v>177</v>
      </c>
      <c r="B180" s="20">
        <v>46120</v>
      </c>
      <c r="C180" s="21" t="s">
        <v>224</v>
      </c>
      <c r="D180" s="22" t="str" cm="1">
        <f t="array" ref="D180">INDEX([1]Sheet2!A:A,MATCH(E180,[1]Sheet2!B:B,0))</f>
        <v>罗安</v>
      </c>
      <c r="E180" s="23" t="s">
        <v>286</v>
      </c>
      <c r="F180" s="24">
        <f t="shared" si="3"/>
        <v>322.24</v>
      </c>
      <c r="G180" s="24" t="s">
        <v>49</v>
      </c>
      <c r="H180" s="25">
        <v>46082</v>
      </c>
      <c r="I180" s="25">
        <v>46112</v>
      </c>
      <c r="J180" s="24"/>
      <c r="K180" s="24"/>
      <c r="L180" s="24"/>
      <c r="M180" s="24"/>
      <c r="N180" s="24"/>
      <c r="O180" s="24"/>
      <c r="P180" s="24"/>
      <c r="Q180" s="24">
        <v>322.24</v>
      </c>
      <c r="R180" s="43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36"/>
      <c r="AG180" s="36"/>
      <c r="AH180" s="36"/>
      <c r="AI180" s="36"/>
    </row>
    <row r="181" s="1" customFormat="1" ht="25" customHeight="1" spans="1:35">
      <c r="A181" s="17">
        <v>178</v>
      </c>
      <c r="B181" s="20">
        <v>46120</v>
      </c>
      <c r="C181" s="21" t="s">
        <v>287</v>
      </c>
      <c r="D181" s="22" t="str" cm="1">
        <f t="array" ref="D181">INDEX([1]Sheet2!A:A,MATCH(E181,[1]Sheet2!B:B,0))</f>
        <v>杨芳</v>
      </c>
      <c r="E181" s="23" t="s">
        <v>288</v>
      </c>
      <c r="F181" s="24">
        <f t="shared" si="3"/>
        <v>264.58</v>
      </c>
      <c r="G181" s="24" t="s">
        <v>49</v>
      </c>
      <c r="H181" s="25">
        <v>46082</v>
      </c>
      <c r="I181" s="25">
        <v>46112</v>
      </c>
      <c r="J181" s="24"/>
      <c r="K181" s="24"/>
      <c r="L181" s="24"/>
      <c r="M181" s="24"/>
      <c r="N181" s="24"/>
      <c r="O181" s="24"/>
      <c r="P181" s="24"/>
      <c r="Q181" s="24">
        <v>8.99</v>
      </c>
      <c r="R181" s="43">
        <v>255.59</v>
      </c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36"/>
      <c r="AG181" s="36"/>
      <c r="AH181" s="36"/>
      <c r="AI181" s="36"/>
    </row>
    <row r="182" s="1" customFormat="1" ht="25" customHeight="1" spans="1:35">
      <c r="A182" s="17">
        <v>179</v>
      </c>
      <c r="B182" s="20">
        <v>46120</v>
      </c>
      <c r="C182" s="21" t="s">
        <v>289</v>
      </c>
      <c r="D182" s="22" t="s">
        <v>290</v>
      </c>
      <c r="E182" s="23" t="s">
        <v>291</v>
      </c>
      <c r="F182" s="24">
        <f t="shared" si="3"/>
        <v>10000</v>
      </c>
      <c r="G182" s="24" t="s">
        <v>49</v>
      </c>
      <c r="H182" s="36"/>
      <c r="I182" s="36"/>
      <c r="J182" s="24"/>
      <c r="K182" s="24"/>
      <c r="L182" s="24"/>
      <c r="M182" s="24"/>
      <c r="N182" s="24"/>
      <c r="O182" s="24"/>
      <c r="P182" s="24"/>
      <c r="Q182" s="24"/>
      <c r="R182" s="43"/>
      <c r="S182" s="24"/>
      <c r="T182" s="24"/>
      <c r="U182" s="24"/>
      <c r="V182" s="24"/>
      <c r="W182" s="24"/>
      <c r="X182" s="24">
        <v>10000</v>
      </c>
      <c r="Y182" s="24"/>
      <c r="Z182" s="24"/>
      <c r="AA182" s="24"/>
      <c r="AB182" s="24"/>
      <c r="AC182" s="24"/>
      <c r="AD182" s="24"/>
      <c r="AE182" s="24"/>
      <c r="AF182" s="36"/>
      <c r="AG182" s="36" t="s">
        <v>50</v>
      </c>
      <c r="AH182" s="36">
        <v>7483416</v>
      </c>
      <c r="AI182" s="36" t="s">
        <v>292</v>
      </c>
    </row>
    <row r="183" s="1" customFormat="1" ht="25" customHeight="1" spans="1:35">
      <c r="A183" s="17">
        <v>180</v>
      </c>
      <c r="B183" s="20">
        <v>46120</v>
      </c>
      <c r="C183" s="21" t="s">
        <v>293</v>
      </c>
      <c r="D183" s="22" t="str" cm="1">
        <f t="array" ref="D183">INDEX([1]Sheet2!A:A,MATCH(E183,[1]Sheet2!B:B,0))</f>
        <v>莫品</v>
      </c>
      <c r="E183" s="23" t="s">
        <v>294</v>
      </c>
      <c r="F183" s="24">
        <f t="shared" si="3"/>
        <v>174.08</v>
      </c>
      <c r="G183" s="24" t="s">
        <v>49</v>
      </c>
      <c r="H183" s="25">
        <v>46082</v>
      </c>
      <c r="I183" s="25">
        <v>46112</v>
      </c>
      <c r="J183" s="24"/>
      <c r="K183" s="24"/>
      <c r="L183" s="24"/>
      <c r="M183" s="24"/>
      <c r="N183" s="24"/>
      <c r="O183" s="24"/>
      <c r="P183" s="24"/>
      <c r="Q183" s="24">
        <v>8.99</v>
      </c>
      <c r="R183" s="43">
        <v>165.09</v>
      </c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36"/>
      <c r="AG183" s="36"/>
      <c r="AH183" s="36"/>
      <c r="AI183" s="36"/>
    </row>
    <row r="184" s="1" customFormat="1" ht="25" customHeight="1" spans="1:35">
      <c r="A184" s="17">
        <v>181</v>
      </c>
      <c r="B184" s="20">
        <v>46120</v>
      </c>
      <c r="C184" s="21" t="s">
        <v>295</v>
      </c>
      <c r="D184" s="22" t="str" cm="1">
        <f t="array" ref="D184">INDEX([1]Sheet2!A:A,MATCH(E184,[1]Sheet2!B:B,0))</f>
        <v>莫品</v>
      </c>
      <c r="E184" s="23" t="s">
        <v>296</v>
      </c>
      <c r="F184" s="24">
        <f t="shared" si="3"/>
        <v>379.92</v>
      </c>
      <c r="G184" s="24" t="s">
        <v>49</v>
      </c>
      <c r="H184" s="25">
        <v>46082</v>
      </c>
      <c r="I184" s="25">
        <v>46112</v>
      </c>
      <c r="J184" s="24"/>
      <c r="K184" s="24"/>
      <c r="L184" s="24"/>
      <c r="M184" s="24"/>
      <c r="N184" s="24"/>
      <c r="O184" s="24"/>
      <c r="P184" s="24"/>
      <c r="Q184" s="24">
        <v>8.99</v>
      </c>
      <c r="R184" s="43">
        <v>370.93</v>
      </c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36"/>
      <c r="AG184" s="36"/>
      <c r="AH184" s="36"/>
      <c r="AI184" s="36"/>
    </row>
    <row r="185" s="2" customFormat="1" ht="25" customHeight="1" spans="1:35">
      <c r="A185" s="27">
        <v>182</v>
      </c>
      <c r="B185" s="28">
        <v>46120</v>
      </c>
      <c r="C185" s="34" t="s">
        <v>137</v>
      </c>
      <c r="D185" s="30" t="s">
        <v>297</v>
      </c>
      <c r="E185" s="31" t="s">
        <v>298</v>
      </c>
      <c r="F185" s="32">
        <f t="shared" si="3"/>
        <v>5560</v>
      </c>
      <c r="G185" s="32" t="s">
        <v>49</v>
      </c>
      <c r="H185" s="35"/>
      <c r="I185" s="35"/>
      <c r="J185" s="32"/>
      <c r="K185" s="32"/>
      <c r="L185" s="32"/>
      <c r="M185" s="32"/>
      <c r="N185" s="32"/>
      <c r="O185" s="32"/>
      <c r="P185" s="32"/>
      <c r="Q185" s="32"/>
      <c r="R185" s="45"/>
      <c r="S185" s="32"/>
      <c r="T185" s="32"/>
      <c r="U185" s="32"/>
      <c r="V185" s="32"/>
      <c r="W185" s="32"/>
      <c r="X185" s="32"/>
      <c r="Y185" s="32"/>
      <c r="Z185" s="32"/>
      <c r="AA185" s="32">
        <v>5560</v>
      </c>
      <c r="AB185" s="32"/>
      <c r="AC185" s="32"/>
      <c r="AD185" s="32"/>
      <c r="AE185" s="32"/>
      <c r="AF185" s="35" t="s">
        <v>299</v>
      </c>
      <c r="AG185" s="35" t="s">
        <v>50</v>
      </c>
      <c r="AH185" s="35">
        <v>7483417</v>
      </c>
      <c r="AI185" s="35" t="s">
        <v>292</v>
      </c>
    </row>
    <row r="186" s="1" customFormat="1" ht="25" customHeight="1" spans="1:35">
      <c r="A186" s="17">
        <v>183</v>
      </c>
      <c r="B186" s="20">
        <v>46120</v>
      </c>
      <c r="C186" s="21" t="s">
        <v>300</v>
      </c>
      <c r="D186" s="22" t="str" cm="1">
        <f t="array" ref="D186">INDEX([1]Sheet2!A:A,MATCH(E186,[1]Sheet2!B:B,0))</f>
        <v>王明军</v>
      </c>
      <c r="E186" s="23" t="s">
        <v>301</v>
      </c>
      <c r="F186" s="24">
        <f t="shared" si="3"/>
        <v>212.91</v>
      </c>
      <c r="G186" s="24" t="s">
        <v>49</v>
      </c>
      <c r="H186" s="25">
        <v>46082</v>
      </c>
      <c r="I186" s="25">
        <v>46112</v>
      </c>
      <c r="J186" s="24"/>
      <c r="K186" s="24"/>
      <c r="L186" s="24"/>
      <c r="M186" s="24"/>
      <c r="N186" s="24"/>
      <c r="O186" s="24"/>
      <c r="P186" s="24"/>
      <c r="Q186" s="24">
        <v>8.99</v>
      </c>
      <c r="R186" s="43">
        <v>203.92</v>
      </c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36"/>
      <c r="AG186" s="36"/>
      <c r="AH186" s="36"/>
      <c r="AI186" s="36"/>
    </row>
    <row r="187" s="1" customFormat="1" ht="25" customHeight="1" spans="1:35">
      <c r="A187" s="17">
        <v>184</v>
      </c>
      <c r="B187" s="20">
        <v>46120</v>
      </c>
      <c r="C187" s="21" t="s">
        <v>302</v>
      </c>
      <c r="D187" s="22" t="str" cm="1">
        <f t="array" ref="D187">INDEX([1]Sheet2!A:A,MATCH(E187,[1]Sheet2!B:B,0))</f>
        <v>唐靖</v>
      </c>
      <c r="E187" s="23" t="s">
        <v>303</v>
      </c>
      <c r="F187" s="24">
        <f t="shared" si="3"/>
        <v>41.28</v>
      </c>
      <c r="G187" s="24" t="s">
        <v>49</v>
      </c>
      <c r="H187" s="25">
        <v>46082</v>
      </c>
      <c r="I187" s="25">
        <v>46112</v>
      </c>
      <c r="J187" s="24"/>
      <c r="K187" s="24"/>
      <c r="L187" s="24"/>
      <c r="M187" s="24"/>
      <c r="N187" s="24"/>
      <c r="O187" s="24"/>
      <c r="P187" s="24"/>
      <c r="Q187" s="24">
        <v>8.99</v>
      </c>
      <c r="R187" s="43">
        <v>32.29</v>
      </c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36"/>
      <c r="AG187" s="36"/>
      <c r="AH187" s="36"/>
      <c r="AI187" s="36"/>
    </row>
    <row r="188" s="1" customFormat="1" customHeight="1" spans="1:35">
      <c r="A188" s="17">
        <v>185</v>
      </c>
      <c r="B188" s="20">
        <v>46120</v>
      </c>
      <c r="C188" s="21" t="s">
        <v>131</v>
      </c>
      <c r="D188" s="22" t="s">
        <v>304</v>
      </c>
      <c r="E188" s="23" t="s">
        <v>305</v>
      </c>
      <c r="F188" s="24">
        <f t="shared" si="3"/>
        <v>42476</v>
      </c>
      <c r="G188" s="24" t="s">
        <v>49</v>
      </c>
      <c r="H188" s="25">
        <v>46188</v>
      </c>
      <c r="I188" s="25">
        <v>46295</v>
      </c>
      <c r="J188" s="24">
        <v>20211</v>
      </c>
      <c r="K188" s="24">
        <v>10105</v>
      </c>
      <c r="L188" s="24"/>
      <c r="M188" s="24"/>
      <c r="N188" s="24"/>
      <c r="O188" s="24"/>
      <c r="P188" s="24"/>
      <c r="Q188" s="24"/>
      <c r="R188" s="43"/>
      <c r="S188" s="24"/>
      <c r="T188" s="24"/>
      <c r="U188" s="24"/>
      <c r="V188" s="24"/>
      <c r="W188" s="24"/>
      <c r="X188" s="24">
        <v>-5000</v>
      </c>
      <c r="Y188" s="24"/>
      <c r="Z188" s="24">
        <f>12160+5000</f>
        <v>17160</v>
      </c>
      <c r="AA188" s="24"/>
      <c r="AB188" s="24"/>
      <c r="AC188" s="24"/>
      <c r="AD188" s="24"/>
      <c r="AE188" s="24"/>
      <c r="AF188" s="36"/>
      <c r="AG188" s="36"/>
      <c r="AH188" s="36"/>
      <c r="AI188" s="36"/>
    </row>
    <row r="189" s="1" customFormat="1" customHeight="1" spans="1:35">
      <c r="A189" s="17">
        <v>186</v>
      </c>
      <c r="B189" s="20">
        <v>46120</v>
      </c>
      <c r="C189" s="21" t="s">
        <v>131</v>
      </c>
      <c r="D189" s="22" t="s">
        <v>304</v>
      </c>
      <c r="E189" s="23" t="s">
        <v>305</v>
      </c>
      <c r="F189" s="24">
        <f t="shared" si="3"/>
        <v>1500</v>
      </c>
      <c r="G189" s="24" t="s">
        <v>49</v>
      </c>
      <c r="H189" s="25">
        <v>46157</v>
      </c>
      <c r="I189" s="25">
        <v>46521</v>
      </c>
      <c r="J189" s="24"/>
      <c r="K189" s="24"/>
      <c r="L189" s="24">
        <v>1500</v>
      </c>
      <c r="M189" s="24"/>
      <c r="N189" s="24"/>
      <c r="O189" s="24"/>
      <c r="P189" s="24"/>
      <c r="Q189" s="24"/>
      <c r="R189" s="43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36"/>
      <c r="AG189" s="36"/>
      <c r="AH189" s="36"/>
      <c r="AI189" s="36"/>
    </row>
    <row r="190" s="1" customFormat="1" customHeight="1" spans="1:35">
      <c r="A190" s="17">
        <v>187</v>
      </c>
      <c r="B190" s="20">
        <v>46120</v>
      </c>
      <c r="C190" s="26" t="s">
        <v>137</v>
      </c>
      <c r="D190" s="22" t="s">
        <v>297</v>
      </c>
      <c r="E190" s="23" t="s">
        <v>298</v>
      </c>
      <c r="F190" s="24">
        <f t="shared" si="3"/>
        <v>100</v>
      </c>
      <c r="G190" s="24" t="s">
        <v>49</v>
      </c>
      <c r="H190" s="36"/>
      <c r="I190" s="36"/>
      <c r="J190" s="24"/>
      <c r="K190" s="24"/>
      <c r="L190" s="24"/>
      <c r="M190" s="24"/>
      <c r="N190" s="24"/>
      <c r="O190" s="24"/>
      <c r="P190" s="24"/>
      <c r="Q190" s="24"/>
      <c r="R190" s="43"/>
      <c r="S190" s="24">
        <v>100</v>
      </c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36"/>
      <c r="AG190" s="36"/>
      <c r="AH190" s="36"/>
      <c r="AI190" s="36"/>
    </row>
    <row r="191" s="1" customFormat="1" customHeight="1" spans="1:35">
      <c r="A191" s="17">
        <v>188</v>
      </c>
      <c r="B191" s="20">
        <v>46120</v>
      </c>
      <c r="C191" s="26" t="s">
        <v>56</v>
      </c>
      <c r="D191" s="22" t="str" cm="1">
        <f t="array" ref="D191">INDEX([1]Sheet2!A:A,MATCH(E191,[1]Sheet2!B:B,0))</f>
        <v>贺妃</v>
      </c>
      <c r="E191" s="23" t="s">
        <v>58</v>
      </c>
      <c r="F191" s="24">
        <f t="shared" si="3"/>
        <v>1000</v>
      </c>
      <c r="G191" s="24" t="s">
        <v>49</v>
      </c>
      <c r="H191" s="36"/>
      <c r="I191" s="36"/>
      <c r="J191" s="24"/>
      <c r="K191" s="24"/>
      <c r="L191" s="24"/>
      <c r="M191" s="24"/>
      <c r="N191" s="24"/>
      <c r="O191" s="24"/>
      <c r="P191" s="24"/>
      <c r="Q191" s="24"/>
      <c r="R191" s="43"/>
      <c r="S191" s="24">
        <v>1000</v>
      </c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36"/>
      <c r="AG191" s="36"/>
      <c r="AH191" s="36"/>
      <c r="AI191" s="36"/>
    </row>
    <row r="192" s="1" customFormat="1" customHeight="1" spans="1:35">
      <c r="A192" s="17">
        <v>189</v>
      </c>
      <c r="B192" s="20">
        <v>46120</v>
      </c>
      <c r="C192" s="21" t="s">
        <v>306</v>
      </c>
      <c r="D192" s="22" t="str" cm="1">
        <f t="array" ref="D192">INDEX([1]Sheet2!A:A,MATCH(E192,[1]Sheet2!B:B,0))</f>
        <v>贺卿云</v>
      </c>
      <c r="E192" s="23" t="s">
        <v>307</v>
      </c>
      <c r="F192" s="24">
        <f t="shared" si="3"/>
        <v>273.8</v>
      </c>
      <c r="G192" s="24" t="s">
        <v>49</v>
      </c>
      <c r="H192" s="25">
        <v>46082</v>
      </c>
      <c r="I192" s="25">
        <v>46112</v>
      </c>
      <c r="J192" s="24"/>
      <c r="K192" s="24"/>
      <c r="L192" s="24"/>
      <c r="M192" s="24"/>
      <c r="N192" s="24"/>
      <c r="O192" s="24"/>
      <c r="P192" s="24"/>
      <c r="Q192" s="24">
        <v>8.99</v>
      </c>
      <c r="R192" s="43">
        <v>264.81</v>
      </c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36"/>
      <c r="AG192" s="36"/>
      <c r="AH192" s="36"/>
      <c r="AI192" s="36"/>
    </row>
    <row r="193" s="1" customFormat="1" customHeight="1" spans="1:35">
      <c r="A193" s="17">
        <v>190</v>
      </c>
      <c r="B193" s="20">
        <v>46120</v>
      </c>
      <c r="C193" s="26" t="s">
        <v>24</v>
      </c>
      <c r="D193" s="22" t="str" cm="1">
        <f t="array" ref="D193">INDEX([1]Sheet2!A:A,MATCH(E193,[1]Sheet2!B:B,0))</f>
        <v>充值</v>
      </c>
      <c r="E193" s="23" t="s">
        <v>72</v>
      </c>
      <c r="F193" s="24">
        <f t="shared" si="3"/>
        <v>750</v>
      </c>
      <c r="G193" s="24" t="s">
        <v>49</v>
      </c>
      <c r="H193" s="36"/>
      <c r="I193" s="36"/>
      <c r="J193" s="24"/>
      <c r="K193" s="24"/>
      <c r="L193" s="24"/>
      <c r="M193" s="24"/>
      <c r="N193" s="24"/>
      <c r="O193" s="24"/>
      <c r="P193" s="24"/>
      <c r="Q193" s="24"/>
      <c r="R193" s="43"/>
      <c r="S193" s="24"/>
      <c r="T193" s="24"/>
      <c r="U193" s="24"/>
      <c r="V193" s="24"/>
      <c r="W193" s="24">
        <v>750</v>
      </c>
      <c r="X193" s="24"/>
      <c r="Y193" s="24"/>
      <c r="Z193" s="24"/>
      <c r="AA193" s="24"/>
      <c r="AB193" s="24"/>
      <c r="AC193" s="24"/>
      <c r="AD193" s="24"/>
      <c r="AE193" s="24"/>
      <c r="AF193" s="36"/>
      <c r="AG193" s="36"/>
      <c r="AH193" s="36"/>
      <c r="AI193" s="36"/>
    </row>
    <row r="194" s="1" customFormat="1" customHeight="1" spans="1:35">
      <c r="A194" s="17">
        <v>191</v>
      </c>
      <c r="B194" s="20">
        <v>46120</v>
      </c>
      <c r="C194" s="26" t="s">
        <v>113</v>
      </c>
      <c r="D194" s="22" t="str" cm="1">
        <f t="array" ref="D194">INDEX([1]Sheet2!A:A,MATCH(E194,[1]Sheet2!B:B,0))</f>
        <v>湖南亮点体育文化发展有限公司</v>
      </c>
      <c r="E194" s="23" t="s">
        <v>114</v>
      </c>
      <c r="F194" s="24">
        <f t="shared" si="3"/>
        <v>100</v>
      </c>
      <c r="G194" s="24" t="s">
        <v>77</v>
      </c>
      <c r="H194" s="36"/>
      <c r="I194" s="36"/>
      <c r="J194" s="24"/>
      <c r="K194" s="24"/>
      <c r="L194" s="24"/>
      <c r="M194" s="24"/>
      <c r="N194" s="24"/>
      <c r="O194" s="24"/>
      <c r="P194" s="24"/>
      <c r="Q194" s="24"/>
      <c r="R194" s="43"/>
      <c r="S194" s="24">
        <v>100</v>
      </c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36"/>
      <c r="AG194" s="36"/>
      <c r="AH194" s="36"/>
      <c r="AI194" s="36"/>
    </row>
    <row r="195" s="1" customFormat="1" customHeight="1" spans="1:35">
      <c r="A195" s="17">
        <v>192</v>
      </c>
      <c r="B195" s="20">
        <v>46120</v>
      </c>
      <c r="C195" s="26" t="s">
        <v>115</v>
      </c>
      <c r="D195" s="22" t="str" cm="1">
        <f t="array" ref="D195">INDEX([1]Sheet2!A:A,MATCH(E195,[1]Sheet2!B:B,0))</f>
        <v>湖南亮点体育文化发展有限公司</v>
      </c>
      <c r="E195" s="23" t="s">
        <v>116</v>
      </c>
      <c r="F195" s="24">
        <f t="shared" si="3"/>
        <v>200</v>
      </c>
      <c r="G195" s="24" t="s">
        <v>77</v>
      </c>
      <c r="H195" s="36"/>
      <c r="I195" s="36"/>
      <c r="J195" s="24"/>
      <c r="K195" s="24"/>
      <c r="L195" s="24"/>
      <c r="M195" s="24"/>
      <c r="N195" s="24"/>
      <c r="O195" s="24"/>
      <c r="P195" s="24"/>
      <c r="Q195" s="24"/>
      <c r="R195" s="43"/>
      <c r="S195" s="24">
        <v>200</v>
      </c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36"/>
      <c r="AG195" s="36"/>
      <c r="AH195" s="36"/>
      <c r="AI195" s="36"/>
    </row>
    <row r="196" s="1" customFormat="1" customHeight="1" spans="1:35">
      <c r="A196" s="17">
        <v>193</v>
      </c>
      <c r="B196" s="20">
        <v>46120</v>
      </c>
      <c r="C196" s="26" t="s">
        <v>107</v>
      </c>
      <c r="D196" s="22" t="str" cm="1">
        <f t="array" ref="D196">INDEX([1]Sheet2!A:A,MATCH(E196,[1]Sheet2!B:B,0))</f>
        <v>陈捷</v>
      </c>
      <c r="E196" s="23" t="s">
        <v>108</v>
      </c>
      <c r="F196" s="24">
        <f t="shared" ref="F196:F259" si="4">SUM(J196:AE196)</f>
        <v>200</v>
      </c>
      <c r="G196" s="24" t="s">
        <v>77</v>
      </c>
      <c r="H196" s="36"/>
      <c r="I196" s="36"/>
      <c r="J196" s="24"/>
      <c r="K196" s="24"/>
      <c r="L196" s="24"/>
      <c r="M196" s="24"/>
      <c r="N196" s="24"/>
      <c r="O196" s="24"/>
      <c r="P196" s="24"/>
      <c r="Q196" s="24"/>
      <c r="R196" s="43"/>
      <c r="S196" s="24">
        <v>200</v>
      </c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36"/>
      <c r="AG196" s="36"/>
      <c r="AH196" s="36"/>
      <c r="AI196" s="36"/>
    </row>
    <row r="197" s="1" customFormat="1" customHeight="1" spans="1:35">
      <c r="A197" s="17">
        <v>194</v>
      </c>
      <c r="B197" s="20">
        <v>46120</v>
      </c>
      <c r="C197" s="26" t="s">
        <v>117</v>
      </c>
      <c r="D197" s="22" t="str" cm="1">
        <f t="array" ref="D197">INDEX([1]Sheet2!A:A,MATCH(E197,[1]Sheet2!B:B,0))</f>
        <v>湖南亮点体育文化发展有限公司</v>
      </c>
      <c r="E197" s="23" t="s">
        <v>118</v>
      </c>
      <c r="F197" s="24">
        <f t="shared" si="4"/>
        <v>200</v>
      </c>
      <c r="G197" s="24" t="s">
        <v>77</v>
      </c>
      <c r="H197" s="36"/>
      <c r="I197" s="36"/>
      <c r="J197" s="24"/>
      <c r="K197" s="24"/>
      <c r="L197" s="24"/>
      <c r="M197" s="24"/>
      <c r="N197" s="24"/>
      <c r="O197" s="24"/>
      <c r="P197" s="24"/>
      <c r="Q197" s="24"/>
      <c r="R197" s="43"/>
      <c r="S197" s="24">
        <v>200</v>
      </c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36"/>
      <c r="AG197" s="36"/>
      <c r="AH197" s="36"/>
      <c r="AI197" s="36"/>
    </row>
    <row r="198" s="1" customFormat="1" customHeight="1" spans="1:35">
      <c r="A198" s="17">
        <v>195</v>
      </c>
      <c r="B198" s="20">
        <v>46120</v>
      </c>
      <c r="C198" s="26" t="s">
        <v>119</v>
      </c>
      <c r="D198" s="22" t="str" cm="1">
        <f t="array" ref="D198">INDEX([1]Sheet2!A:A,MATCH(E198,[1]Sheet2!B:B,0))</f>
        <v>湖南亮点体育文化发展有限公司</v>
      </c>
      <c r="E198" s="23" t="s">
        <v>120</v>
      </c>
      <c r="F198" s="24">
        <f t="shared" si="4"/>
        <v>200</v>
      </c>
      <c r="G198" s="24" t="s">
        <v>77</v>
      </c>
      <c r="H198" s="36"/>
      <c r="I198" s="36"/>
      <c r="J198" s="24"/>
      <c r="K198" s="24"/>
      <c r="L198" s="24"/>
      <c r="M198" s="24"/>
      <c r="N198" s="24"/>
      <c r="O198" s="24"/>
      <c r="P198" s="24"/>
      <c r="Q198" s="24"/>
      <c r="R198" s="43"/>
      <c r="S198" s="24">
        <v>200</v>
      </c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36"/>
      <c r="AG198" s="36"/>
      <c r="AH198" s="36"/>
      <c r="AI198" s="36"/>
    </row>
    <row r="199" s="1" customFormat="1" customHeight="1" spans="1:35">
      <c r="A199" s="17">
        <v>196</v>
      </c>
      <c r="B199" s="20">
        <v>46120</v>
      </c>
      <c r="C199" s="26" t="s">
        <v>121</v>
      </c>
      <c r="D199" s="22" t="str" cm="1">
        <f t="array" ref="D199">INDEX([1]Sheet2!A:A,MATCH(E199,[1]Sheet2!B:B,0))</f>
        <v>湖南亮点体育文化发展有限公司</v>
      </c>
      <c r="E199" s="23" t="s">
        <v>122</v>
      </c>
      <c r="F199" s="24">
        <f t="shared" si="4"/>
        <v>100</v>
      </c>
      <c r="G199" s="24" t="s">
        <v>77</v>
      </c>
      <c r="H199" s="25"/>
      <c r="I199" s="25"/>
      <c r="J199" s="24"/>
      <c r="K199" s="24"/>
      <c r="L199" s="24"/>
      <c r="M199" s="24"/>
      <c r="N199" s="24"/>
      <c r="O199" s="24"/>
      <c r="P199" s="24"/>
      <c r="Q199" s="24"/>
      <c r="R199" s="43"/>
      <c r="S199" s="24">
        <v>100</v>
      </c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36"/>
      <c r="AG199" s="36"/>
      <c r="AH199" s="36"/>
      <c r="AI199" s="36"/>
    </row>
    <row r="200" s="1" customFormat="1" customHeight="1" spans="1:35">
      <c r="A200" s="17">
        <v>197</v>
      </c>
      <c r="B200" s="20">
        <v>46120</v>
      </c>
      <c r="C200" s="26" t="s">
        <v>78</v>
      </c>
      <c r="D200" s="22" t="str" cm="1">
        <f t="array" ref="D200">INDEX([1]Sheet2!A:A,MATCH(E200,[1]Sheet2!B:B,0))</f>
        <v>湖南亮点体育文化发展有限公司</v>
      </c>
      <c r="E200" s="23" t="s">
        <v>123</v>
      </c>
      <c r="F200" s="24">
        <f t="shared" si="4"/>
        <v>100</v>
      </c>
      <c r="G200" s="24" t="s">
        <v>77</v>
      </c>
      <c r="H200" s="36"/>
      <c r="I200" s="36"/>
      <c r="J200" s="24"/>
      <c r="K200" s="24"/>
      <c r="L200" s="24"/>
      <c r="M200" s="24"/>
      <c r="N200" s="24"/>
      <c r="O200" s="24"/>
      <c r="P200" s="24"/>
      <c r="Q200" s="24"/>
      <c r="R200" s="43"/>
      <c r="S200" s="24">
        <v>100</v>
      </c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36"/>
      <c r="AG200" s="36"/>
      <c r="AH200" s="36"/>
      <c r="AI200" s="36"/>
    </row>
    <row r="201" s="1" customFormat="1" customHeight="1" spans="1:35">
      <c r="A201" s="17">
        <v>198</v>
      </c>
      <c r="B201" s="20">
        <v>46120</v>
      </c>
      <c r="C201" s="26" t="s">
        <v>197</v>
      </c>
      <c r="D201" s="22" t="str" cm="1">
        <f t="array" ref="D201">INDEX([1]Sheet2!A:A,MATCH(E201,[1]Sheet2!B:B,0))</f>
        <v>湖南亮点体育文化发展有限公司</v>
      </c>
      <c r="E201" s="23" t="s">
        <v>198</v>
      </c>
      <c r="F201" s="24">
        <f t="shared" si="4"/>
        <v>400</v>
      </c>
      <c r="G201" s="24" t="s">
        <v>77</v>
      </c>
      <c r="H201" s="36"/>
      <c r="I201" s="36"/>
      <c r="J201" s="24"/>
      <c r="K201" s="24"/>
      <c r="L201" s="24"/>
      <c r="M201" s="24"/>
      <c r="N201" s="24"/>
      <c r="O201" s="24"/>
      <c r="P201" s="24"/>
      <c r="Q201" s="24"/>
      <c r="R201" s="43"/>
      <c r="S201" s="24">
        <v>400</v>
      </c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36"/>
      <c r="AG201" s="36"/>
      <c r="AH201" s="36"/>
      <c r="AI201" s="36"/>
    </row>
    <row r="202" s="1" customFormat="1" customHeight="1" spans="1:35">
      <c r="A202" s="17">
        <v>199</v>
      </c>
      <c r="B202" s="20">
        <v>46120</v>
      </c>
      <c r="C202" s="26" t="s">
        <v>80</v>
      </c>
      <c r="D202" s="22" t="str" cm="1">
        <f t="array" ref="D202">INDEX([1]Sheet2!A:A,MATCH(E202,[1]Sheet2!B:B,0))</f>
        <v>汪天皓</v>
      </c>
      <c r="E202" s="23" t="s">
        <v>81</v>
      </c>
      <c r="F202" s="24">
        <f t="shared" si="4"/>
        <v>500</v>
      </c>
      <c r="G202" s="24" t="s">
        <v>77</v>
      </c>
      <c r="H202" s="25"/>
      <c r="I202" s="25"/>
      <c r="J202" s="24"/>
      <c r="K202" s="24"/>
      <c r="L202" s="24"/>
      <c r="M202" s="24"/>
      <c r="N202" s="24"/>
      <c r="O202" s="24"/>
      <c r="P202" s="24"/>
      <c r="Q202" s="24"/>
      <c r="R202" s="43"/>
      <c r="S202" s="24">
        <v>500</v>
      </c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36"/>
      <c r="AG202" s="36"/>
      <c r="AH202" s="36"/>
      <c r="AI202" s="36"/>
    </row>
    <row r="203" s="1" customFormat="1" customHeight="1" spans="1:35">
      <c r="A203" s="17">
        <v>200</v>
      </c>
      <c r="B203" s="20">
        <v>46120</v>
      </c>
      <c r="C203" s="26" t="s">
        <v>154</v>
      </c>
      <c r="D203" s="22" t="str" cm="1">
        <f t="array" ref="D203">INDEX([1]Sheet2!A:A,MATCH(E203,[1]Sheet2!B:B,0))</f>
        <v>黄煌</v>
      </c>
      <c r="E203" s="23" t="s">
        <v>155</v>
      </c>
      <c r="F203" s="24">
        <f t="shared" si="4"/>
        <v>200</v>
      </c>
      <c r="G203" s="24" t="s">
        <v>77</v>
      </c>
      <c r="H203" s="25"/>
      <c r="I203" s="25"/>
      <c r="J203" s="24"/>
      <c r="K203" s="24"/>
      <c r="L203" s="24"/>
      <c r="M203" s="24"/>
      <c r="N203" s="24"/>
      <c r="O203" s="24"/>
      <c r="P203" s="24"/>
      <c r="Q203" s="24"/>
      <c r="R203" s="43"/>
      <c r="S203" s="24">
        <v>200</v>
      </c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36"/>
      <c r="AG203" s="36"/>
      <c r="AH203" s="36"/>
      <c r="AI203" s="36"/>
    </row>
    <row r="204" s="1" customFormat="1" customHeight="1" spans="1:35">
      <c r="A204" s="17">
        <v>201</v>
      </c>
      <c r="B204" s="20">
        <v>46120</v>
      </c>
      <c r="C204" s="21" t="s">
        <v>308</v>
      </c>
      <c r="D204" s="22" t="str" cm="1">
        <f t="array" ref="D204">INDEX([1]Sheet2!A:A,MATCH(E204,[1]Sheet2!B:B,0))</f>
        <v>李君英（廖伦杰转款）</v>
      </c>
      <c r="E204" s="23" t="s">
        <v>309</v>
      </c>
      <c r="F204" s="24">
        <f t="shared" si="4"/>
        <v>499</v>
      </c>
      <c r="G204" s="24" t="s">
        <v>77</v>
      </c>
      <c r="H204" s="25"/>
      <c r="I204" s="25"/>
      <c r="J204" s="24"/>
      <c r="K204" s="24"/>
      <c r="L204" s="24"/>
      <c r="M204" s="24"/>
      <c r="N204" s="24"/>
      <c r="O204" s="24"/>
      <c r="P204" s="24"/>
      <c r="Q204" s="24"/>
      <c r="R204" s="43"/>
      <c r="S204" s="24">
        <v>499</v>
      </c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36"/>
      <c r="AG204" s="36"/>
      <c r="AH204" s="36"/>
      <c r="AI204" s="36"/>
    </row>
    <row r="205" s="1" customFormat="1" customHeight="1" spans="1:35">
      <c r="A205" s="17">
        <v>202</v>
      </c>
      <c r="B205" s="20">
        <v>46120</v>
      </c>
      <c r="C205" s="21" t="s">
        <v>310</v>
      </c>
      <c r="D205" s="22" t="str" cm="1">
        <f t="array" ref="D205">INDEX([1]Sheet2!A:A,MATCH(E205,[1]Sheet2!B:B,0))</f>
        <v>衡阳市蒸湘区锦源首饰经营部（个体工商户）</v>
      </c>
      <c r="E205" s="51" t="s">
        <v>311</v>
      </c>
      <c r="F205" s="24">
        <f t="shared" si="4"/>
        <v>2000</v>
      </c>
      <c r="G205" s="24" t="s">
        <v>77</v>
      </c>
      <c r="H205" s="25"/>
      <c r="I205" s="25"/>
      <c r="J205" s="24"/>
      <c r="K205" s="24"/>
      <c r="L205" s="24"/>
      <c r="M205" s="24"/>
      <c r="N205" s="24"/>
      <c r="O205" s="24"/>
      <c r="P205" s="24"/>
      <c r="Q205" s="24"/>
      <c r="R205" s="43"/>
      <c r="S205" s="24">
        <v>2000</v>
      </c>
      <c r="T205" s="24"/>
      <c r="U205" s="24"/>
      <c r="V205" s="24"/>
      <c r="W205" s="24"/>
      <c r="X205" s="24"/>
      <c r="Y205" s="24"/>
      <c r="Z205" s="24"/>
      <c r="AA205" s="55"/>
      <c r="AB205" s="55"/>
      <c r="AC205" s="24"/>
      <c r="AD205" s="24"/>
      <c r="AE205" s="24"/>
      <c r="AF205" s="36"/>
      <c r="AG205" s="36"/>
      <c r="AH205" s="36"/>
      <c r="AI205" s="36"/>
    </row>
    <row r="206" s="1" customFormat="1" customHeight="1" spans="1:35">
      <c r="A206" s="17">
        <v>203</v>
      </c>
      <c r="B206" s="20">
        <v>46120</v>
      </c>
      <c r="C206" s="21" t="s">
        <v>312</v>
      </c>
      <c r="D206" s="22" t="str" cm="1">
        <f t="array" ref="D206">INDEX([1]Sheet2!A:A,MATCH(E206,[1]Sheet2!B:B,0))</f>
        <v>罗谋</v>
      </c>
      <c r="E206" s="51" t="s">
        <v>313</v>
      </c>
      <c r="F206" s="24">
        <f t="shared" si="4"/>
        <v>200</v>
      </c>
      <c r="G206" s="24" t="s">
        <v>77</v>
      </c>
      <c r="H206" s="25"/>
      <c r="I206" s="25"/>
      <c r="J206" s="24"/>
      <c r="K206" s="24"/>
      <c r="L206" s="24"/>
      <c r="M206" s="24"/>
      <c r="N206" s="24"/>
      <c r="O206" s="24"/>
      <c r="P206" s="24"/>
      <c r="Q206" s="24"/>
      <c r="R206" s="43"/>
      <c r="S206" s="24">
        <v>200</v>
      </c>
      <c r="T206" s="24"/>
      <c r="U206" s="24"/>
      <c r="V206" s="24"/>
      <c r="W206" s="24"/>
      <c r="X206" s="24"/>
      <c r="Y206" s="24"/>
      <c r="Z206" s="24"/>
      <c r="AA206" s="55"/>
      <c r="AB206" s="55"/>
      <c r="AC206" s="24"/>
      <c r="AD206" s="24"/>
      <c r="AE206" s="24"/>
      <c r="AF206" s="36"/>
      <c r="AG206" s="36"/>
      <c r="AH206" s="36"/>
      <c r="AI206" s="36"/>
    </row>
    <row r="207" s="1" customFormat="1" customHeight="1" spans="1:35">
      <c r="A207" s="17">
        <v>204</v>
      </c>
      <c r="B207" s="20">
        <v>46120</v>
      </c>
      <c r="C207" s="21" t="s">
        <v>88</v>
      </c>
      <c r="D207" s="22" t="str" cm="1">
        <f t="array" ref="D207">INDEX([1]Sheet2!A:A,MATCH(E207,[1]Sheet2!B:B,0))</f>
        <v>马黎平</v>
      </c>
      <c r="E207" s="23" t="s">
        <v>89</v>
      </c>
      <c r="F207" s="24">
        <f t="shared" si="4"/>
        <v>2000</v>
      </c>
      <c r="G207" s="24" t="s">
        <v>77</v>
      </c>
      <c r="H207" s="36"/>
      <c r="I207" s="36"/>
      <c r="J207" s="24"/>
      <c r="K207" s="24"/>
      <c r="L207" s="24"/>
      <c r="M207" s="24"/>
      <c r="N207" s="24"/>
      <c r="O207" s="24"/>
      <c r="P207" s="24"/>
      <c r="Q207" s="24"/>
      <c r="R207" s="43"/>
      <c r="S207" s="24">
        <v>2000</v>
      </c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36"/>
      <c r="AG207" s="36"/>
      <c r="AH207" s="36"/>
      <c r="AI207" s="50"/>
    </row>
    <row r="208" s="1" customFormat="1" customHeight="1" spans="1:35">
      <c r="A208" s="17">
        <v>205</v>
      </c>
      <c r="B208" s="20">
        <v>46120</v>
      </c>
      <c r="C208" s="26" t="s">
        <v>24</v>
      </c>
      <c r="D208" s="22" t="str" cm="1">
        <f t="array" ref="D208">INDEX([1]Sheet2!A:A,MATCH(E208,[1]Sheet2!B:B,0))</f>
        <v>充值</v>
      </c>
      <c r="E208" s="23" t="s">
        <v>72</v>
      </c>
      <c r="F208" s="24">
        <f t="shared" si="4"/>
        <v>396</v>
      </c>
      <c r="G208" s="24" t="s">
        <v>100</v>
      </c>
      <c r="H208" s="36"/>
      <c r="I208" s="36"/>
      <c r="J208" s="24"/>
      <c r="K208" s="24"/>
      <c r="L208" s="24"/>
      <c r="M208" s="24"/>
      <c r="N208" s="24"/>
      <c r="O208" s="24"/>
      <c r="P208" s="24"/>
      <c r="Q208" s="24"/>
      <c r="R208" s="43"/>
      <c r="S208" s="24"/>
      <c r="T208" s="24"/>
      <c r="U208" s="24"/>
      <c r="V208" s="24"/>
      <c r="W208" s="24">
        <v>396</v>
      </c>
      <c r="X208" s="24"/>
      <c r="Y208" s="24"/>
      <c r="Z208" s="24"/>
      <c r="AA208" s="24"/>
      <c r="AB208" s="24"/>
      <c r="AC208" s="24"/>
      <c r="AD208" s="24"/>
      <c r="AE208" s="24"/>
      <c r="AF208" s="36"/>
      <c r="AG208" s="36"/>
      <c r="AH208" s="36"/>
      <c r="AI208" s="36"/>
    </row>
    <row r="209" s="1" customFormat="1" customHeight="1" spans="1:35">
      <c r="A209" s="17">
        <v>206</v>
      </c>
      <c r="B209" s="20">
        <v>46120</v>
      </c>
      <c r="C209" s="21" t="s">
        <v>314</v>
      </c>
      <c r="D209" s="36" t="s">
        <v>315</v>
      </c>
      <c r="E209" s="23" t="s">
        <v>316</v>
      </c>
      <c r="F209" s="24">
        <f t="shared" si="4"/>
        <v>8.3</v>
      </c>
      <c r="G209" s="24" t="s">
        <v>49</v>
      </c>
      <c r="H209" s="25">
        <v>46082</v>
      </c>
      <c r="I209" s="25">
        <v>46112</v>
      </c>
      <c r="J209" s="24"/>
      <c r="K209" s="24"/>
      <c r="L209" s="24"/>
      <c r="M209" s="24"/>
      <c r="N209" s="24"/>
      <c r="O209" s="24"/>
      <c r="P209" s="24"/>
      <c r="Q209" s="24"/>
      <c r="R209" s="43">
        <v>8.3</v>
      </c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36"/>
      <c r="AG209" s="36"/>
      <c r="AH209" s="36"/>
      <c r="AI209" s="36"/>
    </row>
    <row r="210" s="1" customFormat="1" customHeight="1" spans="1:35">
      <c r="A210" s="17">
        <v>207</v>
      </c>
      <c r="B210" s="20">
        <v>46120</v>
      </c>
      <c r="C210" s="21" t="s">
        <v>317</v>
      </c>
      <c r="D210" s="36" t="s">
        <v>318</v>
      </c>
      <c r="E210" s="23" t="s">
        <v>319</v>
      </c>
      <c r="F210" s="24">
        <f t="shared" si="4"/>
        <v>100</v>
      </c>
      <c r="G210" s="24" t="s">
        <v>49</v>
      </c>
      <c r="H210" s="25">
        <v>46054</v>
      </c>
      <c r="I210" s="25">
        <v>46112</v>
      </c>
      <c r="J210" s="24"/>
      <c r="K210" s="24"/>
      <c r="L210" s="24"/>
      <c r="M210" s="24"/>
      <c r="N210" s="24"/>
      <c r="O210" s="24"/>
      <c r="P210" s="24"/>
      <c r="Q210" s="24">
        <v>100</v>
      </c>
      <c r="R210" s="43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36"/>
      <c r="AG210" s="36"/>
      <c r="AH210" s="36"/>
      <c r="AI210" s="36"/>
    </row>
    <row r="211" s="1" customFormat="1" customHeight="1" spans="1:35">
      <c r="A211" s="17">
        <v>208</v>
      </c>
      <c r="B211" s="20">
        <v>46121</v>
      </c>
      <c r="C211" s="26" t="s">
        <v>320</v>
      </c>
      <c r="D211" s="22" t="s">
        <v>321</v>
      </c>
      <c r="E211" s="23" t="s">
        <v>322</v>
      </c>
      <c r="F211" s="24">
        <f t="shared" si="4"/>
        <v>10000</v>
      </c>
      <c r="G211" s="24" t="s">
        <v>40</v>
      </c>
      <c r="H211" s="25"/>
      <c r="I211" s="25"/>
      <c r="J211" s="24"/>
      <c r="K211" s="24"/>
      <c r="L211" s="24"/>
      <c r="M211" s="24"/>
      <c r="N211" s="24"/>
      <c r="O211" s="24"/>
      <c r="P211" s="24"/>
      <c r="Q211" s="24"/>
      <c r="R211" s="43"/>
      <c r="S211" s="24"/>
      <c r="T211" s="24"/>
      <c r="U211" s="24"/>
      <c r="V211" s="24"/>
      <c r="W211" s="24"/>
      <c r="X211" s="24">
        <v>10000</v>
      </c>
      <c r="Y211" s="24"/>
      <c r="Z211" s="24"/>
      <c r="AA211" s="24"/>
      <c r="AB211" s="24"/>
      <c r="AC211" s="24"/>
      <c r="AD211" s="24"/>
      <c r="AE211" s="24"/>
      <c r="AF211" s="36"/>
      <c r="AG211" s="36"/>
      <c r="AH211" s="36"/>
      <c r="AI211" s="36"/>
    </row>
    <row r="212" s="1" customFormat="1" customHeight="1" spans="1:35">
      <c r="A212" s="17">
        <v>209</v>
      </c>
      <c r="B212" s="20">
        <v>46121</v>
      </c>
      <c r="C212" s="26" t="s">
        <v>323</v>
      </c>
      <c r="D212" s="22" t="str" cm="1">
        <f t="array" ref="D212">INDEX([1]Sheet2!A:A,MATCH(E212,[1]Sheet2!B:B,0))</f>
        <v>衡阳市蒸湘区快乐街区动漫电玩中心</v>
      </c>
      <c r="E212" s="23" t="s">
        <v>324</v>
      </c>
      <c r="F212" s="24">
        <f t="shared" si="4"/>
        <v>13000</v>
      </c>
      <c r="G212" s="24" t="s">
        <v>40</v>
      </c>
      <c r="H212" s="25"/>
      <c r="I212" s="25"/>
      <c r="J212" s="24"/>
      <c r="K212" s="24"/>
      <c r="L212" s="24"/>
      <c r="M212" s="24"/>
      <c r="N212" s="24"/>
      <c r="O212" s="24"/>
      <c r="P212" s="24"/>
      <c r="Q212" s="24"/>
      <c r="R212" s="43"/>
      <c r="S212" s="24">
        <v>13000</v>
      </c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36"/>
      <c r="AG212" s="36"/>
      <c r="AH212" s="36"/>
      <c r="AI212" s="36"/>
    </row>
    <row r="213" s="1" customFormat="1" customHeight="1" spans="1:35">
      <c r="A213" s="17">
        <v>210</v>
      </c>
      <c r="B213" s="20">
        <v>46121</v>
      </c>
      <c r="C213" s="26" t="s">
        <v>323</v>
      </c>
      <c r="D213" s="22" t="str" cm="1">
        <f t="array" ref="D213">INDEX([1]Sheet2!A:A,MATCH(E213,[1]Sheet2!B:B,0))</f>
        <v>衡阳市蒸湘区快乐街区动漫电玩中心</v>
      </c>
      <c r="E213" s="23" t="s">
        <v>325</v>
      </c>
      <c r="F213" s="24">
        <f t="shared" si="4"/>
        <v>5000</v>
      </c>
      <c r="G213" s="24" t="s">
        <v>40</v>
      </c>
      <c r="H213" s="25"/>
      <c r="I213" s="25"/>
      <c r="J213" s="24"/>
      <c r="K213" s="24"/>
      <c r="L213" s="24"/>
      <c r="M213" s="24"/>
      <c r="N213" s="24"/>
      <c r="O213" s="24"/>
      <c r="P213" s="24"/>
      <c r="Q213" s="24"/>
      <c r="R213" s="43"/>
      <c r="S213" s="24">
        <v>5000</v>
      </c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36"/>
      <c r="AG213" s="36"/>
      <c r="AH213" s="36"/>
      <c r="AI213" s="36"/>
    </row>
    <row r="214" s="1" customFormat="1" ht="27" customHeight="1" spans="1:35">
      <c r="A214" s="17">
        <v>211</v>
      </c>
      <c r="B214" s="20">
        <v>46121</v>
      </c>
      <c r="C214" s="26" t="s">
        <v>326</v>
      </c>
      <c r="D214" s="22" t="s">
        <v>327</v>
      </c>
      <c r="E214" s="23" t="s">
        <v>328</v>
      </c>
      <c r="F214" s="24">
        <f t="shared" si="4"/>
        <v>20000</v>
      </c>
      <c r="G214" s="24" t="s">
        <v>40</v>
      </c>
      <c r="H214" s="25"/>
      <c r="I214" s="25"/>
      <c r="J214" s="24"/>
      <c r="K214" s="24"/>
      <c r="L214" s="24"/>
      <c r="M214" s="24"/>
      <c r="N214" s="24"/>
      <c r="O214" s="24"/>
      <c r="P214" s="24"/>
      <c r="Q214" s="24"/>
      <c r="R214" s="43"/>
      <c r="S214" s="24"/>
      <c r="T214" s="24"/>
      <c r="U214" s="24"/>
      <c r="V214" s="24"/>
      <c r="W214" s="24"/>
      <c r="X214" s="24">
        <v>20000</v>
      </c>
      <c r="Y214" s="24"/>
      <c r="Z214" s="24"/>
      <c r="AA214" s="24"/>
      <c r="AB214" s="24"/>
      <c r="AC214" s="24"/>
      <c r="AD214" s="24"/>
      <c r="AE214" s="24"/>
      <c r="AF214" s="36"/>
      <c r="AG214" s="36"/>
      <c r="AH214" s="36"/>
      <c r="AI214" s="36"/>
    </row>
    <row r="215" s="1" customFormat="1" customHeight="1" spans="1:35">
      <c r="A215" s="17">
        <v>212</v>
      </c>
      <c r="B215" s="20">
        <v>46121</v>
      </c>
      <c r="C215" s="26" t="s">
        <v>329</v>
      </c>
      <c r="D215" s="22" t="str" cm="1">
        <f t="array" ref="D215">INDEX([1]Sheet2!A:A,MATCH(E215,[1]Sheet2!B:B,0))</f>
        <v>潍坊壳满满商贸有限公司</v>
      </c>
      <c r="E215" s="23" t="s">
        <v>330</v>
      </c>
      <c r="F215" s="24">
        <f t="shared" si="4"/>
        <v>357</v>
      </c>
      <c r="G215" s="24" t="s">
        <v>40</v>
      </c>
      <c r="H215" s="25">
        <v>46082</v>
      </c>
      <c r="I215" s="25">
        <v>46112</v>
      </c>
      <c r="J215" s="24"/>
      <c r="K215" s="24"/>
      <c r="L215" s="24"/>
      <c r="M215" s="24"/>
      <c r="N215" s="24"/>
      <c r="O215" s="24"/>
      <c r="P215" s="24"/>
      <c r="Q215" s="24"/>
      <c r="R215" s="43">
        <v>357</v>
      </c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36"/>
      <c r="AG215" s="36"/>
      <c r="AH215" s="36"/>
      <c r="AI215" s="36"/>
    </row>
    <row r="216" s="1" customFormat="1" customHeight="1" spans="1:35">
      <c r="A216" s="17">
        <v>213</v>
      </c>
      <c r="B216" s="20">
        <v>46121</v>
      </c>
      <c r="C216" s="26" t="s">
        <v>331</v>
      </c>
      <c r="D216" s="22" t="str" cm="1">
        <f t="array" ref="D216">INDEX([1]Sheet2!A:A,MATCH(E216,[1]Sheet2!B:B,0))</f>
        <v>衡阳市恒德弘扬口腔有限公司</v>
      </c>
      <c r="E216" s="23" t="s">
        <v>332</v>
      </c>
      <c r="F216" s="24">
        <f t="shared" si="4"/>
        <v>15000</v>
      </c>
      <c r="G216" s="24" t="s">
        <v>40</v>
      </c>
      <c r="H216" s="36"/>
      <c r="I216" s="36"/>
      <c r="J216" s="24"/>
      <c r="K216" s="24"/>
      <c r="L216" s="24"/>
      <c r="M216" s="24"/>
      <c r="N216" s="24"/>
      <c r="O216" s="24"/>
      <c r="P216" s="24"/>
      <c r="Q216" s="24"/>
      <c r="R216" s="43"/>
      <c r="S216" s="24">
        <v>15000</v>
      </c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36"/>
      <c r="AG216" s="36"/>
      <c r="AH216" s="36"/>
      <c r="AI216" s="36"/>
    </row>
    <row r="217" s="1" customFormat="1" customHeight="1" spans="1:35">
      <c r="A217" s="17">
        <v>214</v>
      </c>
      <c r="B217" s="20">
        <v>46121</v>
      </c>
      <c r="C217" s="26" t="s">
        <v>326</v>
      </c>
      <c r="D217" s="22" t="s">
        <v>333</v>
      </c>
      <c r="E217" s="23"/>
      <c r="F217" s="24">
        <f t="shared" si="4"/>
        <v>20000</v>
      </c>
      <c r="G217" s="24" t="s">
        <v>40</v>
      </c>
      <c r="H217" s="36"/>
      <c r="I217" s="36"/>
      <c r="J217" s="24"/>
      <c r="K217" s="24"/>
      <c r="L217" s="24"/>
      <c r="M217" s="24"/>
      <c r="N217" s="24"/>
      <c r="O217" s="24"/>
      <c r="P217" s="24"/>
      <c r="Q217" s="24"/>
      <c r="R217" s="43"/>
      <c r="S217" s="24"/>
      <c r="T217" s="24"/>
      <c r="U217" s="24"/>
      <c r="V217" s="24"/>
      <c r="W217" s="24"/>
      <c r="X217" s="24">
        <v>20000</v>
      </c>
      <c r="Y217" s="24"/>
      <c r="Z217" s="24"/>
      <c r="AA217" s="24"/>
      <c r="AB217" s="24"/>
      <c r="AC217" s="24"/>
      <c r="AD217" s="24"/>
      <c r="AE217" s="24"/>
      <c r="AF217" s="36"/>
      <c r="AG217" s="36"/>
      <c r="AH217" s="36"/>
      <c r="AI217" s="36"/>
    </row>
    <row r="218" s="1" customFormat="1" customHeight="1" spans="1:35">
      <c r="A218" s="17">
        <v>215</v>
      </c>
      <c r="B218" s="20">
        <v>46121</v>
      </c>
      <c r="C218" s="26" t="s">
        <v>334</v>
      </c>
      <c r="D218" s="22" t="str" cm="1">
        <f t="array" ref="D218">INDEX([1]Sheet2!A:A,MATCH(E218,[1]Sheet2!B:B,0))</f>
        <v>何伟伟</v>
      </c>
      <c r="E218" s="23" t="s">
        <v>335</v>
      </c>
      <c r="F218" s="24">
        <f t="shared" si="4"/>
        <v>147.4</v>
      </c>
      <c r="G218" s="24" t="s">
        <v>49</v>
      </c>
      <c r="H218" s="25">
        <v>46082</v>
      </c>
      <c r="I218" s="25">
        <v>46112</v>
      </c>
      <c r="J218" s="24"/>
      <c r="K218" s="24"/>
      <c r="L218" s="24"/>
      <c r="M218" s="24"/>
      <c r="N218" s="24"/>
      <c r="O218" s="24"/>
      <c r="P218" s="24"/>
      <c r="Q218" s="24">
        <v>8.99</v>
      </c>
      <c r="R218" s="43">
        <v>138.41</v>
      </c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36"/>
      <c r="AG218" s="36"/>
      <c r="AH218" s="36"/>
      <c r="AI218" s="36"/>
    </row>
    <row r="219" s="1" customFormat="1" customHeight="1" spans="1:35">
      <c r="A219" s="17">
        <v>216</v>
      </c>
      <c r="B219" s="20">
        <v>46121</v>
      </c>
      <c r="C219" s="26" t="s">
        <v>24</v>
      </c>
      <c r="D219" s="22" t="str" cm="1">
        <f t="array" ref="D219">INDEX([1]Sheet2!A:A,MATCH(E219,[1]Sheet2!B:B,0))</f>
        <v>充值</v>
      </c>
      <c r="E219" s="23" t="s">
        <v>72</v>
      </c>
      <c r="F219" s="24">
        <f t="shared" si="4"/>
        <v>750</v>
      </c>
      <c r="G219" s="24" t="s">
        <v>49</v>
      </c>
      <c r="H219" s="36"/>
      <c r="I219" s="36"/>
      <c r="J219" s="24"/>
      <c r="K219" s="24"/>
      <c r="L219" s="24"/>
      <c r="M219" s="24"/>
      <c r="N219" s="24"/>
      <c r="O219" s="24"/>
      <c r="P219" s="24"/>
      <c r="Q219" s="24"/>
      <c r="R219" s="43"/>
      <c r="S219" s="24"/>
      <c r="T219" s="24"/>
      <c r="U219" s="24"/>
      <c r="V219" s="24"/>
      <c r="W219" s="24">
        <v>750</v>
      </c>
      <c r="X219" s="24"/>
      <c r="Y219" s="24"/>
      <c r="Z219" s="24"/>
      <c r="AA219" s="24"/>
      <c r="AB219" s="24"/>
      <c r="AC219" s="24"/>
      <c r="AD219" s="24"/>
      <c r="AE219" s="24"/>
      <c r="AF219" s="36"/>
      <c r="AG219" s="36"/>
      <c r="AH219" s="36"/>
      <c r="AI219" s="36"/>
    </row>
    <row r="220" s="1" customFormat="1" customHeight="1" spans="1:35">
      <c r="A220" s="17">
        <v>217</v>
      </c>
      <c r="B220" s="20">
        <v>46121</v>
      </c>
      <c r="C220" s="26" t="s">
        <v>336</v>
      </c>
      <c r="D220" s="22" t="str" cm="1">
        <f t="array" ref="D220">INDEX([1]Sheet2!A:A,MATCH(E220,[1]Sheet2!B:B,0))</f>
        <v>刘桃</v>
      </c>
      <c r="E220" s="23" t="s">
        <v>337</v>
      </c>
      <c r="F220" s="24">
        <f t="shared" si="4"/>
        <v>400</v>
      </c>
      <c r="G220" s="24" t="s">
        <v>49</v>
      </c>
      <c r="H220" s="36"/>
      <c r="I220" s="36"/>
      <c r="J220" s="24"/>
      <c r="K220" s="24"/>
      <c r="L220" s="24"/>
      <c r="M220" s="24"/>
      <c r="N220" s="24"/>
      <c r="O220" s="24"/>
      <c r="P220" s="24"/>
      <c r="Q220" s="24"/>
      <c r="R220" s="43"/>
      <c r="S220" s="24">
        <v>400</v>
      </c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36"/>
      <c r="AG220" s="36"/>
      <c r="AH220" s="36"/>
      <c r="AI220" s="36"/>
    </row>
    <row r="221" s="1" customFormat="1" customHeight="1" spans="1:35">
      <c r="A221" s="17">
        <v>218</v>
      </c>
      <c r="B221" s="20">
        <v>46121</v>
      </c>
      <c r="C221" s="26" t="s">
        <v>338</v>
      </c>
      <c r="D221" s="22" t="str" cm="1">
        <f t="array" ref="D221">INDEX([1]Sheet2!A:A,MATCH(E221,[1]Sheet2!B:B,0))</f>
        <v>傅娇</v>
      </c>
      <c r="E221" s="23" t="s">
        <v>339</v>
      </c>
      <c r="F221" s="24">
        <f t="shared" si="4"/>
        <v>401.14</v>
      </c>
      <c r="G221" s="24" t="s">
        <v>49</v>
      </c>
      <c r="H221" s="25">
        <v>46082</v>
      </c>
      <c r="I221" s="25">
        <v>46112</v>
      </c>
      <c r="J221" s="24"/>
      <c r="K221" s="24"/>
      <c r="L221" s="24"/>
      <c r="M221" s="24"/>
      <c r="N221" s="24"/>
      <c r="O221" s="24"/>
      <c r="P221" s="24"/>
      <c r="Q221" s="24">
        <v>8.99</v>
      </c>
      <c r="R221" s="43">
        <v>392.15</v>
      </c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36"/>
      <c r="AG221" s="36"/>
      <c r="AH221" s="36"/>
      <c r="AI221" s="36"/>
    </row>
    <row r="222" s="1" customFormat="1" customHeight="1" spans="1:35">
      <c r="A222" s="17">
        <v>219</v>
      </c>
      <c r="B222" s="20">
        <v>46121</v>
      </c>
      <c r="C222" s="26" t="s">
        <v>340</v>
      </c>
      <c r="D222" s="22" t="str" cm="1">
        <f t="array" ref="D222">INDEX([1]Sheet2!A:A,MATCH(E222,[1]Sheet2!B:B,0))</f>
        <v>陈霞</v>
      </c>
      <c r="E222" s="23" t="s">
        <v>341</v>
      </c>
      <c r="F222" s="24">
        <f t="shared" si="4"/>
        <v>188</v>
      </c>
      <c r="G222" s="24" t="s">
        <v>49</v>
      </c>
      <c r="H222" s="25">
        <v>46082</v>
      </c>
      <c r="I222" s="25">
        <v>46112</v>
      </c>
      <c r="J222" s="24"/>
      <c r="K222" s="24"/>
      <c r="L222" s="24"/>
      <c r="M222" s="24"/>
      <c r="N222" s="24"/>
      <c r="O222" s="24"/>
      <c r="P222" s="24"/>
      <c r="Q222" s="24">
        <v>8.99</v>
      </c>
      <c r="R222" s="43">
        <v>179.01</v>
      </c>
      <c r="S222" s="5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36"/>
      <c r="AG222" s="36"/>
      <c r="AH222" s="36"/>
      <c r="AI222" s="36"/>
    </row>
    <row r="223" s="1" customFormat="1" customHeight="1" spans="1:35">
      <c r="A223" s="17">
        <v>220</v>
      </c>
      <c r="B223" s="20">
        <v>46121</v>
      </c>
      <c r="C223" s="52" t="s">
        <v>67</v>
      </c>
      <c r="D223" s="22" t="str" cm="1">
        <f t="array" ref="D223">INDEX([1]Sheet2!A:A,MATCH(E223,[1]Sheet2!B:B,0))</f>
        <v>凌海洋</v>
      </c>
      <c r="E223" s="53" t="s">
        <v>69</v>
      </c>
      <c r="F223" s="24">
        <f t="shared" si="4"/>
        <v>20</v>
      </c>
      <c r="G223" s="24" t="s">
        <v>49</v>
      </c>
      <c r="H223" s="25"/>
      <c r="I223" s="25"/>
      <c r="J223" s="24"/>
      <c r="K223" s="24"/>
      <c r="L223" s="24"/>
      <c r="M223" s="24"/>
      <c r="N223" s="24"/>
      <c r="O223" s="24"/>
      <c r="P223" s="24"/>
      <c r="Q223" s="24"/>
      <c r="R223" s="43"/>
      <c r="S223" s="24"/>
      <c r="T223" s="24"/>
      <c r="U223" s="24"/>
      <c r="V223" s="24">
        <v>20</v>
      </c>
      <c r="W223" s="24"/>
      <c r="X223" s="24"/>
      <c r="Y223" s="24"/>
      <c r="Z223" s="24"/>
      <c r="AA223" s="24"/>
      <c r="AB223" s="24"/>
      <c r="AC223" s="24"/>
      <c r="AD223" s="24"/>
      <c r="AE223" s="24"/>
      <c r="AF223" s="36"/>
      <c r="AG223" s="36"/>
      <c r="AH223" s="36"/>
      <c r="AI223" s="36"/>
    </row>
    <row r="224" s="1" customFormat="1" customHeight="1" spans="1:35">
      <c r="A224" s="17">
        <v>221</v>
      </c>
      <c r="B224" s="20">
        <v>46121</v>
      </c>
      <c r="C224" s="21" t="s">
        <v>129</v>
      </c>
      <c r="D224" s="22" t="str" cm="1">
        <f t="array" ref="D224">INDEX([1]Sheet2!A:A,MATCH(E224,[1]Sheet2!B:B,0))</f>
        <v>张成菊</v>
      </c>
      <c r="E224" s="53" t="s">
        <v>342</v>
      </c>
      <c r="F224" s="24">
        <f t="shared" si="4"/>
        <v>224.96</v>
      </c>
      <c r="G224" s="24" t="s">
        <v>49</v>
      </c>
      <c r="H224" s="25">
        <v>46082</v>
      </c>
      <c r="I224" s="25">
        <v>46112</v>
      </c>
      <c r="J224" s="24"/>
      <c r="K224" s="24"/>
      <c r="L224" s="24"/>
      <c r="M224" s="24"/>
      <c r="N224" s="24"/>
      <c r="O224" s="24"/>
      <c r="P224" s="24"/>
      <c r="Q224" s="24">
        <v>224.96</v>
      </c>
      <c r="R224" s="43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36"/>
      <c r="AG224" s="36"/>
      <c r="AH224" s="36"/>
      <c r="AI224" s="36"/>
    </row>
    <row r="225" s="1" customFormat="1" customHeight="1" spans="1:35">
      <c r="A225" s="17">
        <v>222</v>
      </c>
      <c r="B225" s="20">
        <v>46121</v>
      </c>
      <c r="C225" s="21" t="s">
        <v>124</v>
      </c>
      <c r="D225" s="22" t="str" cm="1">
        <f t="array" ref="D225">INDEX([1]Sheet2!A:A,MATCH(E225,[1]Sheet2!B:B,0))</f>
        <v>王冬林</v>
      </c>
      <c r="E225" s="23" t="s">
        <v>343</v>
      </c>
      <c r="F225" s="24">
        <f t="shared" si="4"/>
        <v>249.28</v>
      </c>
      <c r="G225" s="24" t="s">
        <v>49</v>
      </c>
      <c r="H225" s="25">
        <v>46082</v>
      </c>
      <c r="I225" s="25">
        <v>46112</v>
      </c>
      <c r="J225" s="24"/>
      <c r="K225" s="24"/>
      <c r="L225" s="24"/>
      <c r="M225" s="24"/>
      <c r="N225" s="24"/>
      <c r="O225" s="24"/>
      <c r="P225" s="24"/>
      <c r="Q225" s="24">
        <v>249.28</v>
      </c>
      <c r="R225" s="43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36"/>
      <c r="AG225" s="36"/>
      <c r="AH225" s="36"/>
      <c r="AI225" s="36"/>
    </row>
    <row r="226" s="1" customFormat="1" customHeight="1" spans="1:35">
      <c r="A226" s="17">
        <v>223</v>
      </c>
      <c r="B226" s="20">
        <v>46121</v>
      </c>
      <c r="C226" s="26" t="s">
        <v>344</v>
      </c>
      <c r="D226" s="22" t="str" cm="1">
        <f t="array" ref="D226">INDEX([1]Sheet2!A:A,MATCH(E226,[1]Sheet2!B:B,0))</f>
        <v>祝芳艳</v>
      </c>
      <c r="E226" s="23" t="s">
        <v>345</v>
      </c>
      <c r="F226" s="24">
        <f t="shared" si="4"/>
        <v>292.26</v>
      </c>
      <c r="G226" s="24" t="s">
        <v>49</v>
      </c>
      <c r="H226" s="25">
        <v>46082</v>
      </c>
      <c r="I226" s="25">
        <v>46112</v>
      </c>
      <c r="J226" s="24"/>
      <c r="K226" s="24"/>
      <c r="L226" s="24"/>
      <c r="M226" s="24"/>
      <c r="N226" s="24"/>
      <c r="O226" s="24"/>
      <c r="P226" s="24"/>
      <c r="Q226" s="24">
        <v>8.99</v>
      </c>
      <c r="R226" s="43">
        <v>283.27</v>
      </c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36"/>
      <c r="AG226" s="36"/>
      <c r="AH226" s="36"/>
      <c r="AI226" s="36"/>
    </row>
    <row r="227" s="1" customFormat="1" customHeight="1" spans="1:35">
      <c r="A227" s="17">
        <v>224</v>
      </c>
      <c r="B227" s="20">
        <v>46121</v>
      </c>
      <c r="C227" s="26" t="s">
        <v>80</v>
      </c>
      <c r="D227" s="22" t="str" cm="1">
        <f t="array" ref="D227">INDEX([1]Sheet2!A:A,MATCH(E227,[1]Sheet2!B:B,0))</f>
        <v>汪天皓</v>
      </c>
      <c r="E227" s="23" t="s">
        <v>346</v>
      </c>
      <c r="F227" s="24">
        <f t="shared" si="4"/>
        <v>498.56</v>
      </c>
      <c r="G227" s="24" t="s">
        <v>49</v>
      </c>
      <c r="H227" s="25">
        <v>46082</v>
      </c>
      <c r="I227" s="25">
        <v>46112</v>
      </c>
      <c r="J227" s="24"/>
      <c r="K227" s="24"/>
      <c r="L227" s="24"/>
      <c r="M227" s="24"/>
      <c r="N227" s="24"/>
      <c r="O227" s="24"/>
      <c r="P227" s="24"/>
      <c r="Q227" s="24">
        <v>498.56</v>
      </c>
      <c r="R227" s="43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36"/>
      <c r="AG227" s="36"/>
      <c r="AH227" s="36"/>
      <c r="AI227" s="36"/>
    </row>
    <row r="228" s="1" customFormat="1" customHeight="1" spans="1:35">
      <c r="A228" s="17">
        <v>225</v>
      </c>
      <c r="B228" s="20">
        <v>46121</v>
      </c>
      <c r="C228" s="26" t="s">
        <v>347</v>
      </c>
      <c r="D228" s="22" t="s">
        <v>348</v>
      </c>
      <c r="E228" s="23" t="s">
        <v>349</v>
      </c>
      <c r="F228" s="24">
        <f t="shared" si="4"/>
        <v>8120</v>
      </c>
      <c r="G228" s="24" t="s">
        <v>49</v>
      </c>
      <c r="H228" s="25">
        <v>46143</v>
      </c>
      <c r="I228" s="25">
        <v>46173</v>
      </c>
      <c r="J228" s="24">
        <v>5320</v>
      </c>
      <c r="K228" s="24">
        <v>2800</v>
      </c>
      <c r="L228" s="24"/>
      <c r="M228" s="24"/>
      <c r="N228" s="24"/>
      <c r="O228" s="24"/>
      <c r="P228" s="24"/>
      <c r="Q228" s="24"/>
      <c r="R228" s="43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36"/>
      <c r="AG228" s="36"/>
      <c r="AH228" s="36"/>
      <c r="AI228" s="36"/>
    </row>
    <row r="229" s="1" customFormat="1" customHeight="1" spans="1:35">
      <c r="A229" s="17">
        <v>226</v>
      </c>
      <c r="B229" s="20">
        <v>46121</v>
      </c>
      <c r="C229" s="26" t="s">
        <v>347</v>
      </c>
      <c r="D229" s="22" t="s">
        <v>348</v>
      </c>
      <c r="E229" s="23" t="s">
        <v>349</v>
      </c>
      <c r="F229" s="24">
        <f t="shared" si="4"/>
        <v>8120</v>
      </c>
      <c r="G229" s="24" t="s">
        <v>49</v>
      </c>
      <c r="H229" s="25">
        <v>46174</v>
      </c>
      <c r="I229" s="25">
        <v>46203</v>
      </c>
      <c r="J229" s="24">
        <v>5320</v>
      </c>
      <c r="K229" s="24">
        <v>2800</v>
      </c>
      <c r="L229" s="24"/>
      <c r="M229" s="24"/>
      <c r="N229" s="24"/>
      <c r="O229" s="24"/>
      <c r="P229" s="24"/>
      <c r="Q229" s="24"/>
      <c r="R229" s="43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36"/>
      <c r="AG229" s="36"/>
      <c r="AH229" s="36"/>
      <c r="AI229" s="36"/>
    </row>
    <row r="230" s="1" customFormat="1" customHeight="1" spans="1:35">
      <c r="A230" s="17">
        <v>227</v>
      </c>
      <c r="B230" s="20">
        <v>46121</v>
      </c>
      <c r="C230" s="26" t="s">
        <v>347</v>
      </c>
      <c r="D230" s="22" t="s">
        <v>348</v>
      </c>
      <c r="E230" s="23" t="s">
        <v>349</v>
      </c>
      <c r="F230" s="24">
        <f t="shared" si="4"/>
        <v>2940.1</v>
      </c>
      <c r="G230" s="24" t="s">
        <v>49</v>
      </c>
      <c r="H230" s="25">
        <v>46082</v>
      </c>
      <c r="I230" s="25">
        <v>46112</v>
      </c>
      <c r="J230" s="24"/>
      <c r="K230" s="24"/>
      <c r="L230" s="24"/>
      <c r="M230" s="24"/>
      <c r="N230" s="24"/>
      <c r="O230" s="24"/>
      <c r="P230" s="24"/>
      <c r="Q230" s="24">
        <v>334.4</v>
      </c>
      <c r="R230" s="43">
        <v>2605.7</v>
      </c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36"/>
      <c r="AG230" s="36"/>
      <c r="AH230" s="36"/>
      <c r="AI230" s="36"/>
    </row>
    <row r="231" s="1" customFormat="1" customHeight="1" spans="1:35">
      <c r="A231" s="17">
        <v>228</v>
      </c>
      <c r="B231" s="20">
        <v>46121</v>
      </c>
      <c r="C231" s="26" t="s">
        <v>73</v>
      </c>
      <c r="D231" s="22" t="str" cm="1">
        <f t="array" ref="D231">INDEX([1]Sheet2!A:A,MATCH(E231,[1]Sheet2!B:B,0))</f>
        <v>衡阳志扬体育文化有限公司</v>
      </c>
      <c r="E231" s="23" t="s">
        <v>74</v>
      </c>
      <c r="F231" s="24">
        <f t="shared" si="4"/>
        <v>2410</v>
      </c>
      <c r="G231" s="24" t="s">
        <v>49</v>
      </c>
      <c r="H231" s="25"/>
      <c r="I231" s="25"/>
      <c r="J231" s="24"/>
      <c r="K231" s="24"/>
      <c r="L231" s="24"/>
      <c r="M231" s="24"/>
      <c r="N231" s="24"/>
      <c r="O231" s="24"/>
      <c r="P231" s="24"/>
      <c r="Q231" s="24"/>
      <c r="R231" s="43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>
        <v>2410</v>
      </c>
      <c r="AF231" s="36"/>
      <c r="AG231" s="36"/>
      <c r="AH231" s="36"/>
      <c r="AI231" s="36"/>
    </row>
    <row r="232" s="1" customFormat="1" customHeight="1" spans="1:35">
      <c r="A232" s="17">
        <v>229</v>
      </c>
      <c r="B232" s="20">
        <v>46121</v>
      </c>
      <c r="C232" s="26" t="s">
        <v>168</v>
      </c>
      <c r="D232" s="22" t="e" cm="1">
        <f t="array" ref="D232">INDEX([1]Sheet2!A:A,MATCH(E232,[1]Sheet2!B:B,0))</f>
        <v>#N/A</v>
      </c>
      <c r="E232" s="23"/>
      <c r="F232" s="24">
        <f t="shared" si="4"/>
        <v>1</v>
      </c>
      <c r="G232" s="24" t="s">
        <v>49</v>
      </c>
      <c r="H232" s="36"/>
      <c r="I232" s="36"/>
      <c r="J232" s="24"/>
      <c r="K232" s="24"/>
      <c r="L232" s="24"/>
      <c r="M232" s="24"/>
      <c r="N232" s="24"/>
      <c r="O232" s="24"/>
      <c r="P232" s="24"/>
      <c r="Q232" s="24"/>
      <c r="R232" s="43"/>
      <c r="S232" s="24"/>
      <c r="T232" s="24"/>
      <c r="U232" s="24"/>
      <c r="V232" s="24">
        <v>1</v>
      </c>
      <c r="W232" s="24"/>
      <c r="X232" s="24"/>
      <c r="Y232" s="24"/>
      <c r="Z232" s="24"/>
      <c r="AA232" s="24"/>
      <c r="AB232" s="24"/>
      <c r="AC232" s="24"/>
      <c r="AD232" s="24"/>
      <c r="AE232" s="24"/>
      <c r="AF232" s="36"/>
      <c r="AG232" s="36"/>
      <c r="AH232" s="36"/>
      <c r="AI232" s="36"/>
    </row>
    <row r="233" s="1" customFormat="1" customHeight="1" spans="1:35">
      <c r="A233" s="17">
        <v>230</v>
      </c>
      <c r="B233" s="20">
        <v>46121</v>
      </c>
      <c r="C233" s="26" t="s">
        <v>350</v>
      </c>
      <c r="D233" s="22" t="str" cm="1">
        <f t="array" ref="D233">INDEX([1]Sheet2!A:A,MATCH(E233,[1]Sheet2!B:B,0))</f>
        <v>谭超</v>
      </c>
      <c r="E233" s="23" t="s">
        <v>351</v>
      </c>
      <c r="F233" s="24">
        <f t="shared" si="4"/>
        <v>60.66</v>
      </c>
      <c r="G233" s="24" t="s">
        <v>49</v>
      </c>
      <c r="H233" s="25">
        <v>46082</v>
      </c>
      <c r="I233" s="25">
        <v>46112</v>
      </c>
      <c r="J233" s="24"/>
      <c r="K233" s="24"/>
      <c r="L233" s="24"/>
      <c r="M233" s="24"/>
      <c r="N233" s="24"/>
      <c r="O233" s="24"/>
      <c r="P233" s="24"/>
      <c r="Q233" s="24">
        <v>8.99</v>
      </c>
      <c r="R233" s="43">
        <v>51.67</v>
      </c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36"/>
      <c r="AG233" s="36"/>
      <c r="AH233" s="36"/>
      <c r="AI233" s="36"/>
    </row>
    <row r="234" s="1" customFormat="1" ht="32" customHeight="1" spans="1:35">
      <c r="A234" s="17">
        <v>231</v>
      </c>
      <c r="B234" s="20">
        <v>46121</v>
      </c>
      <c r="C234" s="26" t="s">
        <v>352</v>
      </c>
      <c r="D234" s="22" t="str" cm="1">
        <f t="array" ref="D234">INDEX([1]Sheet2!A:A,MATCH(E234,[1]Sheet2!B:B,0))</f>
        <v>衡阳市蒸湘区星球很忙城市欢乐中心（个体工商户）</v>
      </c>
      <c r="E234" s="23" t="s">
        <v>353</v>
      </c>
      <c r="F234" s="24">
        <f t="shared" si="4"/>
        <v>10000</v>
      </c>
      <c r="G234" s="24" t="s">
        <v>77</v>
      </c>
      <c r="H234" s="25"/>
      <c r="I234" s="25"/>
      <c r="J234" s="24"/>
      <c r="K234" s="24"/>
      <c r="L234" s="24"/>
      <c r="M234" s="24"/>
      <c r="N234" s="24"/>
      <c r="O234" s="24"/>
      <c r="P234" s="24"/>
      <c r="Q234" s="24"/>
      <c r="R234" s="43"/>
      <c r="S234" s="24">
        <v>10000</v>
      </c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36"/>
      <c r="AG234" s="36"/>
      <c r="AH234" s="36"/>
      <c r="AI234" s="36"/>
    </row>
    <row r="235" s="1" customFormat="1" customHeight="1" spans="1:35">
      <c r="A235" s="17">
        <v>232</v>
      </c>
      <c r="B235" s="20">
        <v>46121</v>
      </c>
      <c r="C235" s="26" t="s">
        <v>354</v>
      </c>
      <c r="D235" s="22" t="str" cm="1">
        <f t="array" ref="D235">INDEX([1]Sheet2!A:A,MATCH(E235,[1]Sheet2!B:B,0))</f>
        <v>刘益豪</v>
      </c>
      <c r="E235" s="23" t="s">
        <v>355</v>
      </c>
      <c r="F235" s="24">
        <f t="shared" si="4"/>
        <v>500</v>
      </c>
      <c r="G235" s="24" t="s">
        <v>77</v>
      </c>
      <c r="H235" s="36"/>
      <c r="I235" s="36"/>
      <c r="J235" s="24"/>
      <c r="K235" s="24"/>
      <c r="L235" s="24"/>
      <c r="M235" s="24"/>
      <c r="N235" s="24"/>
      <c r="O235" s="24"/>
      <c r="P235" s="24"/>
      <c r="Q235" s="24"/>
      <c r="R235" s="43"/>
      <c r="S235" s="24">
        <v>500</v>
      </c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36"/>
      <c r="AG235" s="36"/>
      <c r="AH235" s="36"/>
      <c r="AI235" s="36"/>
    </row>
    <row r="236" s="1" customFormat="1" customHeight="1" spans="1:35">
      <c r="A236" s="17">
        <v>233</v>
      </c>
      <c r="B236" s="20">
        <v>46121</v>
      </c>
      <c r="C236" s="26" t="s">
        <v>84</v>
      </c>
      <c r="D236" s="22" t="str" cm="1">
        <f t="array" ref="D236">INDEX([1]Sheet2!A:A,MATCH(E236,[1]Sheet2!B:B,0))</f>
        <v>莫靖凡</v>
      </c>
      <c r="E236" s="23" t="s">
        <v>85</v>
      </c>
      <c r="F236" s="24">
        <f t="shared" si="4"/>
        <v>50</v>
      </c>
      <c r="G236" s="24" t="s">
        <v>77</v>
      </c>
      <c r="H236" s="36"/>
      <c r="I236" s="36"/>
      <c r="J236" s="24"/>
      <c r="K236" s="24"/>
      <c r="L236" s="24"/>
      <c r="M236" s="24"/>
      <c r="N236" s="24"/>
      <c r="O236" s="24"/>
      <c r="P236" s="24"/>
      <c r="Q236" s="24"/>
      <c r="R236" s="43"/>
      <c r="S236" s="24">
        <v>50</v>
      </c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36"/>
      <c r="AG236" s="36"/>
      <c r="AH236" s="36"/>
      <c r="AI236" s="36"/>
    </row>
    <row r="237" s="1" customFormat="1" customHeight="1" spans="1:35">
      <c r="A237" s="17">
        <v>234</v>
      </c>
      <c r="B237" s="20">
        <v>46121</v>
      </c>
      <c r="C237" s="26" t="s">
        <v>135</v>
      </c>
      <c r="D237" s="22" t="str" cm="1">
        <f t="array" ref="D237">INDEX([1]Sheet2!A:A,MATCH(E237,[1]Sheet2!B:B,0))</f>
        <v>周军伟</v>
      </c>
      <c r="E237" s="23" t="s">
        <v>136</v>
      </c>
      <c r="F237" s="24">
        <f t="shared" si="4"/>
        <v>60</v>
      </c>
      <c r="G237" s="24" t="s">
        <v>77</v>
      </c>
      <c r="H237" s="36"/>
      <c r="I237" s="36"/>
      <c r="J237" s="24"/>
      <c r="K237" s="24"/>
      <c r="L237" s="24"/>
      <c r="M237" s="24"/>
      <c r="N237" s="24"/>
      <c r="O237" s="24"/>
      <c r="P237" s="24"/>
      <c r="Q237" s="24"/>
      <c r="R237" s="43"/>
      <c r="S237" s="24">
        <v>60</v>
      </c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36"/>
      <c r="AG237" s="36"/>
      <c r="AH237" s="36"/>
      <c r="AI237" s="36"/>
    </row>
    <row r="238" s="1" customFormat="1" customHeight="1" spans="1:35">
      <c r="A238" s="17">
        <v>235</v>
      </c>
      <c r="B238" s="20">
        <v>46121</v>
      </c>
      <c r="C238" s="26" t="s">
        <v>356</v>
      </c>
      <c r="D238" s="22" t="str" cm="1">
        <f t="array" ref="D238">INDEX([1]Sheet2!A:A,MATCH(E238,[1]Sheet2!B:B,0))</f>
        <v>全云丽</v>
      </c>
      <c r="E238" s="23" t="s">
        <v>357</v>
      </c>
      <c r="F238" s="24">
        <f t="shared" si="4"/>
        <v>1000</v>
      </c>
      <c r="G238" s="24" t="s">
        <v>77</v>
      </c>
      <c r="H238" s="36"/>
      <c r="I238" s="36"/>
      <c r="J238" s="24"/>
      <c r="K238" s="24"/>
      <c r="L238" s="24"/>
      <c r="M238" s="24"/>
      <c r="N238" s="24"/>
      <c r="O238" s="24"/>
      <c r="P238" s="24"/>
      <c r="Q238" s="24"/>
      <c r="R238" s="43"/>
      <c r="S238" s="24">
        <v>1000</v>
      </c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36"/>
      <c r="AG238" s="36"/>
      <c r="AH238" s="36"/>
      <c r="AI238" s="36"/>
    </row>
    <row r="239" s="1" customFormat="1" customHeight="1" spans="1:35">
      <c r="A239" s="17">
        <v>236</v>
      </c>
      <c r="B239" s="20">
        <v>46121</v>
      </c>
      <c r="C239" s="26" t="s">
        <v>124</v>
      </c>
      <c r="D239" s="22" t="str" cm="1">
        <f t="array" ref="D239">INDEX([1]Sheet2!A:A,MATCH(E239,[1]Sheet2!B:B,0))</f>
        <v>王冬林</v>
      </c>
      <c r="E239" s="23" t="s">
        <v>125</v>
      </c>
      <c r="F239" s="24">
        <f t="shared" si="4"/>
        <v>1000</v>
      </c>
      <c r="G239" s="24" t="s">
        <v>77</v>
      </c>
      <c r="H239" s="36"/>
      <c r="I239" s="36"/>
      <c r="J239" s="24"/>
      <c r="K239" s="24"/>
      <c r="L239" s="24"/>
      <c r="M239" s="24"/>
      <c r="N239" s="24"/>
      <c r="O239" s="24"/>
      <c r="P239" s="24"/>
      <c r="Q239" s="24"/>
      <c r="R239" s="43"/>
      <c r="S239" s="24">
        <v>1000</v>
      </c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36"/>
      <c r="AG239" s="36"/>
      <c r="AH239" s="36"/>
      <c r="AI239" s="36"/>
    </row>
    <row r="240" s="1" customFormat="1" customHeight="1" spans="1:35">
      <c r="A240" s="17">
        <v>237</v>
      </c>
      <c r="B240" s="20">
        <v>46121</v>
      </c>
      <c r="C240" s="26" t="s">
        <v>24</v>
      </c>
      <c r="D240" s="22" t="str" cm="1">
        <f t="array" ref="D240">INDEX([1]Sheet2!A:A,MATCH(E240,[1]Sheet2!B:B,0))</f>
        <v>临时</v>
      </c>
      <c r="E240" s="23" t="s">
        <v>99</v>
      </c>
      <c r="F240" s="24">
        <f t="shared" si="4"/>
        <v>336</v>
      </c>
      <c r="G240" s="24" t="s">
        <v>100</v>
      </c>
      <c r="H240" s="36"/>
      <c r="I240" s="36"/>
      <c r="J240" s="24"/>
      <c r="K240" s="24"/>
      <c r="L240" s="24"/>
      <c r="M240" s="24"/>
      <c r="N240" s="24"/>
      <c r="O240" s="24"/>
      <c r="P240" s="24"/>
      <c r="Q240" s="24"/>
      <c r="R240" s="43"/>
      <c r="S240" s="24"/>
      <c r="T240" s="24"/>
      <c r="U240" s="24"/>
      <c r="V240" s="24"/>
      <c r="W240" s="24">
        <v>336</v>
      </c>
      <c r="X240" s="24"/>
      <c r="Y240" s="24"/>
      <c r="Z240" s="24"/>
      <c r="AA240" s="24"/>
      <c r="AB240" s="24"/>
      <c r="AC240" s="24"/>
      <c r="AD240" s="24"/>
      <c r="AE240" s="24"/>
      <c r="AF240" s="36"/>
      <c r="AG240" s="36"/>
      <c r="AH240" s="36"/>
      <c r="AI240" s="36"/>
    </row>
    <row r="241" s="1" customFormat="1" customHeight="1" spans="1:35">
      <c r="A241" s="17">
        <v>238</v>
      </c>
      <c r="B241" s="20">
        <v>46122</v>
      </c>
      <c r="C241" s="26" t="s">
        <v>358</v>
      </c>
      <c r="D241" s="22" t="s">
        <v>38</v>
      </c>
      <c r="E241" s="23" t="s">
        <v>359</v>
      </c>
      <c r="F241" s="24">
        <f t="shared" si="4"/>
        <v>14024.4</v>
      </c>
      <c r="G241" s="24" t="s">
        <v>40</v>
      </c>
      <c r="H241" s="25">
        <v>46023</v>
      </c>
      <c r="I241" s="25">
        <v>46053</v>
      </c>
      <c r="J241" s="24">
        <v>5444.4</v>
      </c>
      <c r="K241" s="24">
        <v>8580</v>
      </c>
      <c r="L241" s="24"/>
      <c r="M241" s="24"/>
      <c r="N241" s="24"/>
      <c r="O241" s="24"/>
      <c r="P241" s="24"/>
      <c r="Q241" s="24"/>
      <c r="R241" s="43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36"/>
      <c r="AG241" s="36"/>
      <c r="AH241" s="36"/>
      <c r="AI241" s="36"/>
    </row>
    <row r="242" s="1" customFormat="1" customHeight="1" spans="1:35">
      <c r="A242" s="17">
        <v>239</v>
      </c>
      <c r="B242" s="20">
        <v>46122</v>
      </c>
      <c r="C242" s="26" t="s">
        <v>358</v>
      </c>
      <c r="D242" s="22" t="s">
        <v>38</v>
      </c>
      <c r="E242" s="23" t="s">
        <v>359</v>
      </c>
      <c r="F242" s="24">
        <f t="shared" si="4"/>
        <v>28048.8</v>
      </c>
      <c r="G242" s="24" t="s">
        <v>40</v>
      </c>
      <c r="H242" s="25">
        <v>46054</v>
      </c>
      <c r="I242" s="25">
        <v>46112</v>
      </c>
      <c r="J242" s="24">
        <v>10888.8</v>
      </c>
      <c r="K242" s="24">
        <v>17160</v>
      </c>
      <c r="L242" s="24"/>
      <c r="M242" s="24"/>
      <c r="N242" s="24"/>
      <c r="O242" s="24"/>
      <c r="P242" s="24"/>
      <c r="Q242" s="24"/>
      <c r="R242" s="43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36"/>
      <c r="AG242" s="36"/>
      <c r="AH242" s="36"/>
      <c r="AI242" s="36"/>
    </row>
    <row r="243" s="1" customFormat="1" customHeight="1" spans="1:35">
      <c r="A243" s="17">
        <v>240</v>
      </c>
      <c r="B243" s="20">
        <v>46122</v>
      </c>
      <c r="C243" s="26" t="s">
        <v>358</v>
      </c>
      <c r="D243" s="22" t="s">
        <v>38</v>
      </c>
      <c r="E243" s="23" t="s">
        <v>359</v>
      </c>
      <c r="F243" s="24">
        <f t="shared" si="4"/>
        <v>3000</v>
      </c>
      <c r="G243" s="24" t="s">
        <v>40</v>
      </c>
      <c r="H243" s="25">
        <v>45962</v>
      </c>
      <c r="I243" s="25">
        <v>46326</v>
      </c>
      <c r="J243" s="24"/>
      <c r="K243" s="24"/>
      <c r="L243" s="24">
        <v>3000</v>
      </c>
      <c r="M243" s="24"/>
      <c r="N243" s="24"/>
      <c r="O243" s="24"/>
      <c r="P243" s="24"/>
      <c r="Q243" s="24"/>
      <c r="R243" s="43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36"/>
      <c r="AG243" s="36"/>
      <c r="AH243" s="36"/>
      <c r="AI243" s="36"/>
    </row>
    <row r="244" s="1" customFormat="1" customHeight="1" spans="1:35">
      <c r="A244" s="17">
        <v>241</v>
      </c>
      <c r="B244" s="20">
        <v>46122</v>
      </c>
      <c r="C244" s="26" t="s">
        <v>358</v>
      </c>
      <c r="D244" s="22" t="s">
        <v>38</v>
      </c>
      <c r="E244" s="23" t="s">
        <v>359</v>
      </c>
      <c r="F244" s="24">
        <f t="shared" si="4"/>
        <v>1398.4</v>
      </c>
      <c r="G244" s="24" t="s">
        <v>40</v>
      </c>
      <c r="H244" s="25">
        <v>45992</v>
      </c>
      <c r="I244" s="25">
        <v>46112</v>
      </c>
      <c r="J244" s="24"/>
      <c r="K244" s="24"/>
      <c r="L244" s="24"/>
      <c r="M244" s="24"/>
      <c r="N244" s="24"/>
      <c r="O244" s="24"/>
      <c r="P244" s="24"/>
      <c r="Q244" s="24">
        <v>1398.4</v>
      </c>
      <c r="R244" s="43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36"/>
      <c r="AG244" s="36"/>
      <c r="AH244" s="36"/>
      <c r="AI244" s="36"/>
    </row>
    <row r="245" s="1" customFormat="1" customHeight="1" spans="1:35">
      <c r="A245" s="17">
        <v>242</v>
      </c>
      <c r="B245" s="20">
        <v>46122</v>
      </c>
      <c r="C245" s="21" t="s">
        <v>360</v>
      </c>
      <c r="D245" s="22" t="str" cm="1">
        <f t="array" ref="D245">INDEX([1]Sheet2!A:A,MATCH(E245,[1]Sheet2!B:B,0))</f>
        <v>长沙市乐点通讯设备贸易有限公司</v>
      </c>
      <c r="E245" s="23" t="s">
        <v>361</v>
      </c>
      <c r="F245" s="24">
        <f t="shared" si="4"/>
        <v>651.43</v>
      </c>
      <c r="G245" s="24" t="s">
        <v>40</v>
      </c>
      <c r="H245" s="25">
        <v>46082</v>
      </c>
      <c r="I245" s="25">
        <v>46112</v>
      </c>
      <c r="J245" s="24"/>
      <c r="K245" s="24"/>
      <c r="L245" s="24"/>
      <c r="M245" s="24"/>
      <c r="N245" s="24"/>
      <c r="O245" s="24"/>
      <c r="P245" s="24"/>
      <c r="Q245" s="24"/>
      <c r="R245" s="43">
        <v>651.43</v>
      </c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36"/>
      <c r="AG245" s="36"/>
      <c r="AH245" s="36"/>
      <c r="AI245" s="36"/>
    </row>
    <row r="246" s="1" customFormat="1" customHeight="1" spans="1:35">
      <c r="A246" s="17">
        <v>243</v>
      </c>
      <c r="B246" s="20">
        <v>46122</v>
      </c>
      <c r="C246" s="26" t="s">
        <v>362</v>
      </c>
      <c r="D246" s="22" t="str" cm="1">
        <f t="array" ref="D246">INDEX([1]Sheet2!A:A,MATCH(E246,[1]Sheet2!B:B,0))</f>
        <v>衡阳品丰食品有限公司</v>
      </c>
      <c r="E246" s="23" t="s">
        <v>363</v>
      </c>
      <c r="F246" s="24">
        <f t="shared" si="4"/>
        <v>3903.35</v>
      </c>
      <c r="G246" s="24" t="s">
        <v>40</v>
      </c>
      <c r="H246" s="25">
        <v>46082</v>
      </c>
      <c r="I246" s="25">
        <v>46112</v>
      </c>
      <c r="J246" s="24"/>
      <c r="K246" s="24"/>
      <c r="L246" s="24"/>
      <c r="M246" s="24"/>
      <c r="N246" s="24"/>
      <c r="O246" s="24"/>
      <c r="P246" s="24"/>
      <c r="Q246" s="24">
        <v>24.32</v>
      </c>
      <c r="R246" s="43">
        <v>3879.03</v>
      </c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36"/>
      <c r="AG246" s="36"/>
      <c r="AH246" s="36"/>
      <c r="AI246" s="36"/>
    </row>
    <row r="247" s="1" customFormat="1" customHeight="1" spans="1:35">
      <c r="A247" s="17">
        <v>244</v>
      </c>
      <c r="B247" s="20">
        <v>46122</v>
      </c>
      <c r="C247" s="26" t="s">
        <v>25</v>
      </c>
      <c r="D247" s="22" t="s">
        <v>364</v>
      </c>
      <c r="E247" s="23" t="s">
        <v>365</v>
      </c>
      <c r="F247" s="24">
        <f t="shared" si="4"/>
        <v>40000</v>
      </c>
      <c r="G247" s="24" t="s">
        <v>40</v>
      </c>
      <c r="H247" s="25"/>
      <c r="I247" s="25"/>
      <c r="J247" s="24"/>
      <c r="K247" s="24"/>
      <c r="L247" s="24"/>
      <c r="M247" s="24"/>
      <c r="N247" s="24"/>
      <c r="O247" s="24"/>
      <c r="P247" s="24"/>
      <c r="Q247" s="24"/>
      <c r="R247" s="43"/>
      <c r="S247" s="24"/>
      <c r="T247" s="24"/>
      <c r="U247" s="24"/>
      <c r="V247" s="24"/>
      <c r="W247" s="24"/>
      <c r="X247" s="24">
        <v>40000</v>
      </c>
      <c r="Y247" s="24"/>
      <c r="Z247" s="24"/>
      <c r="AA247" s="24"/>
      <c r="AB247" s="24"/>
      <c r="AC247" s="24"/>
      <c r="AD247" s="24"/>
      <c r="AE247" s="24"/>
      <c r="AF247" s="36"/>
      <c r="AG247" s="36" t="s">
        <v>50</v>
      </c>
      <c r="AH247" s="36">
        <v>7472846</v>
      </c>
      <c r="AI247" s="36" t="s">
        <v>366</v>
      </c>
    </row>
    <row r="248" s="1" customFormat="1" customHeight="1" spans="1:35">
      <c r="A248" s="17">
        <v>245</v>
      </c>
      <c r="B248" s="20">
        <v>46122</v>
      </c>
      <c r="C248" s="26" t="s">
        <v>367</v>
      </c>
      <c r="D248" s="22" t="s">
        <v>368</v>
      </c>
      <c r="E248" s="23" t="s">
        <v>369</v>
      </c>
      <c r="F248" s="24">
        <f t="shared" si="4"/>
        <v>25198.8</v>
      </c>
      <c r="G248" s="24" t="s">
        <v>40</v>
      </c>
      <c r="H248" s="25">
        <v>46113</v>
      </c>
      <c r="I248" s="25">
        <v>45838</v>
      </c>
      <c r="J248" s="24">
        <v>16123.8</v>
      </c>
      <c r="K248" s="24">
        <v>9075</v>
      </c>
      <c r="L248" s="24"/>
      <c r="M248" s="24"/>
      <c r="N248" s="24"/>
      <c r="O248" s="24"/>
      <c r="P248" s="24"/>
      <c r="Q248" s="24"/>
      <c r="R248" s="43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36"/>
      <c r="AG248" s="36"/>
      <c r="AH248" s="36"/>
      <c r="AI248" s="36"/>
    </row>
    <row r="249" s="1" customFormat="1" customHeight="1" spans="1:35">
      <c r="A249" s="17">
        <v>246</v>
      </c>
      <c r="B249" s="20">
        <v>46122</v>
      </c>
      <c r="C249" s="26" t="s">
        <v>367</v>
      </c>
      <c r="D249" s="22" t="s">
        <v>368</v>
      </c>
      <c r="E249" s="23" t="s">
        <v>369</v>
      </c>
      <c r="F249" s="24">
        <f t="shared" si="4"/>
        <v>1320</v>
      </c>
      <c r="G249" s="24" t="s">
        <v>40</v>
      </c>
      <c r="H249" s="25">
        <v>46023</v>
      </c>
      <c r="I249" s="25">
        <v>46112</v>
      </c>
      <c r="J249" s="24"/>
      <c r="K249" s="24"/>
      <c r="L249" s="24"/>
      <c r="M249" s="24"/>
      <c r="N249" s="24"/>
      <c r="O249" s="24">
        <v>1200</v>
      </c>
      <c r="P249" s="24"/>
      <c r="Q249" s="24"/>
      <c r="R249" s="43"/>
      <c r="S249" s="24"/>
      <c r="T249" s="24"/>
      <c r="U249" s="24"/>
      <c r="V249" s="24"/>
      <c r="W249" s="24"/>
      <c r="X249" s="24"/>
      <c r="Y249" s="24"/>
      <c r="Z249" s="24"/>
      <c r="AA249" s="24">
        <v>120</v>
      </c>
      <c r="AB249" s="24"/>
      <c r="AC249" s="24"/>
      <c r="AD249" s="24"/>
      <c r="AE249" s="24"/>
      <c r="AF249" s="36"/>
      <c r="AG249" s="36"/>
      <c r="AH249" s="36"/>
      <c r="AI249" s="36"/>
    </row>
    <row r="250" s="1" customFormat="1" customHeight="1" spans="1:35">
      <c r="A250" s="17">
        <v>247</v>
      </c>
      <c r="B250" s="20">
        <v>46122</v>
      </c>
      <c r="C250" s="26" t="s">
        <v>370</v>
      </c>
      <c r="D250" s="22" t="str" cm="1">
        <f t="array" ref="D250">INDEX([1]Sheet2!A:A,MATCH(E250,[1]Sheet2!B:B,0))</f>
        <v>衡阳市春迎饮品有限公司</v>
      </c>
      <c r="E250" s="23" t="s">
        <v>371</v>
      </c>
      <c r="F250" s="24">
        <f t="shared" si="4"/>
        <v>717.44</v>
      </c>
      <c r="G250" s="24" t="s">
        <v>40</v>
      </c>
      <c r="H250" s="25">
        <v>46082</v>
      </c>
      <c r="I250" s="25">
        <v>46112</v>
      </c>
      <c r="J250" s="24"/>
      <c r="K250" s="24"/>
      <c r="L250" s="24"/>
      <c r="M250" s="24"/>
      <c r="N250" s="24"/>
      <c r="O250" s="24"/>
      <c r="P250" s="24"/>
      <c r="Q250" s="24">
        <v>717.44</v>
      </c>
      <c r="R250" s="43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36"/>
      <c r="AG250" s="36"/>
      <c r="AH250" s="36"/>
      <c r="AI250" s="36"/>
    </row>
    <row r="251" s="1" customFormat="1" customHeight="1" spans="1:35">
      <c r="A251" s="17">
        <v>248</v>
      </c>
      <c r="B251" s="20">
        <v>46122</v>
      </c>
      <c r="C251" s="26" t="s">
        <v>370</v>
      </c>
      <c r="D251" s="22" t="str" cm="1">
        <f t="array" ref="D251">INDEX([1]Sheet2!A:A,MATCH(E251,[1]Sheet2!B:B,0))</f>
        <v>衡阳市春迎饮品有限公司</v>
      </c>
      <c r="E251" s="23" t="s">
        <v>371</v>
      </c>
      <c r="F251" s="24">
        <f t="shared" si="4"/>
        <v>6000</v>
      </c>
      <c r="G251" s="24" t="s">
        <v>40</v>
      </c>
      <c r="H251" s="36"/>
      <c r="I251" s="36"/>
      <c r="J251" s="24"/>
      <c r="K251" s="24"/>
      <c r="L251" s="24"/>
      <c r="M251" s="24"/>
      <c r="N251" s="24"/>
      <c r="O251" s="24"/>
      <c r="P251" s="24"/>
      <c r="Q251" s="24"/>
      <c r="R251" s="43"/>
      <c r="S251" s="24">
        <v>6000</v>
      </c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36"/>
      <c r="AG251" s="36"/>
      <c r="AH251" s="36"/>
      <c r="AI251" s="36"/>
    </row>
    <row r="252" s="1" customFormat="1" customHeight="1" spans="1:35">
      <c r="A252" s="17">
        <v>249</v>
      </c>
      <c r="B252" s="20">
        <v>46122</v>
      </c>
      <c r="C252" s="26" t="s">
        <v>331</v>
      </c>
      <c r="D252" s="22" t="str" cm="1">
        <f t="array" ref="D252">INDEX([1]Sheet2!A:A,MATCH(E252,[1]Sheet2!B:B,0))</f>
        <v>衡阳市恒德弘扬口腔有限公司</v>
      </c>
      <c r="E252" s="23" t="s">
        <v>332</v>
      </c>
      <c r="F252" s="24">
        <f t="shared" si="4"/>
        <v>1276.8</v>
      </c>
      <c r="G252" s="24" t="s">
        <v>49</v>
      </c>
      <c r="H252" s="25">
        <v>46082</v>
      </c>
      <c r="I252" s="25">
        <v>46112</v>
      </c>
      <c r="J252" s="24"/>
      <c r="K252" s="24"/>
      <c r="L252" s="24"/>
      <c r="M252" s="24"/>
      <c r="N252" s="24"/>
      <c r="O252" s="24"/>
      <c r="P252" s="24"/>
      <c r="Q252" s="24">
        <v>1276.8</v>
      </c>
      <c r="R252" s="43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36"/>
      <c r="AG252" s="36"/>
      <c r="AH252" s="36"/>
      <c r="AI252" s="36"/>
    </row>
    <row r="253" s="2" customFormat="1" customHeight="1" spans="1:35">
      <c r="A253" s="27">
        <v>250</v>
      </c>
      <c r="B253" s="28">
        <v>46122</v>
      </c>
      <c r="C253" s="29" t="s">
        <v>372</v>
      </c>
      <c r="D253" s="30" t="s">
        <v>373</v>
      </c>
      <c r="E253" s="31" t="s">
        <v>374</v>
      </c>
      <c r="F253" s="32">
        <f t="shared" si="4"/>
        <v>9885.9</v>
      </c>
      <c r="G253" s="32" t="s">
        <v>49</v>
      </c>
      <c r="H253" s="33"/>
      <c r="I253" s="33"/>
      <c r="J253" s="32"/>
      <c r="K253" s="32"/>
      <c r="L253" s="32"/>
      <c r="M253" s="32"/>
      <c r="N253" s="32"/>
      <c r="O253" s="32"/>
      <c r="P253" s="32"/>
      <c r="Q253" s="32"/>
      <c r="R253" s="45"/>
      <c r="S253" s="32"/>
      <c r="T253" s="32"/>
      <c r="U253" s="32"/>
      <c r="V253" s="32"/>
      <c r="W253" s="32"/>
      <c r="X253" s="32"/>
      <c r="Y253" s="32"/>
      <c r="Z253" s="32"/>
      <c r="AA253" s="32">
        <v>9885.9</v>
      </c>
      <c r="AB253" s="32"/>
      <c r="AC253" s="32"/>
      <c r="AD253" s="32"/>
      <c r="AE253" s="32"/>
      <c r="AF253" s="35" t="s">
        <v>375</v>
      </c>
      <c r="AG253" s="35"/>
      <c r="AH253" s="35"/>
      <c r="AI253" s="35"/>
    </row>
    <row r="254" s="1" customFormat="1" customHeight="1" spans="1:35">
      <c r="A254" s="17">
        <v>251</v>
      </c>
      <c r="B254" s="20">
        <v>46122</v>
      </c>
      <c r="C254" s="26" t="s">
        <v>376</v>
      </c>
      <c r="D254" s="22" t="e" cm="1">
        <f t="array" ref="D254">INDEX([1]Sheet2!A:A,MATCH(E254,[1]Sheet2!B:B,0))</f>
        <v>#N/A</v>
      </c>
      <c r="E254" s="23" t="s">
        <v>377</v>
      </c>
      <c r="F254" s="24">
        <f t="shared" si="4"/>
        <v>2133.73</v>
      </c>
      <c r="G254" s="24" t="s">
        <v>49</v>
      </c>
      <c r="H254" s="25">
        <v>46082</v>
      </c>
      <c r="I254" s="25">
        <v>46112</v>
      </c>
      <c r="J254" s="24"/>
      <c r="K254" s="24"/>
      <c r="L254" s="24"/>
      <c r="M254" s="24"/>
      <c r="N254" s="24"/>
      <c r="O254" s="24"/>
      <c r="P254" s="24"/>
      <c r="Q254" s="24">
        <v>66.88</v>
      </c>
      <c r="R254" s="43">
        <v>2066.85</v>
      </c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36"/>
      <c r="AG254" s="36"/>
      <c r="AH254" s="36"/>
      <c r="AI254" s="36"/>
    </row>
    <row r="255" s="1" customFormat="1" customHeight="1" spans="1:35">
      <c r="A255" s="17">
        <v>252</v>
      </c>
      <c r="B255" s="20">
        <v>46122</v>
      </c>
      <c r="C255" s="26" t="s">
        <v>73</v>
      </c>
      <c r="D255" s="22" t="str" cm="1">
        <f t="array" ref="D255">INDEX([1]Sheet2!A:A,MATCH(E255,[1]Sheet2!B:B,0))</f>
        <v>衡阳志扬体育文化有限公司</v>
      </c>
      <c r="E255" s="23" t="s">
        <v>74</v>
      </c>
      <c r="F255" s="24">
        <f t="shared" si="4"/>
        <v>1188</v>
      </c>
      <c r="G255" s="24" t="s">
        <v>49</v>
      </c>
      <c r="H255" s="25"/>
      <c r="I255" s="25"/>
      <c r="J255" s="24"/>
      <c r="K255" s="24"/>
      <c r="L255" s="24"/>
      <c r="M255" s="24"/>
      <c r="N255" s="24"/>
      <c r="O255" s="24"/>
      <c r="P255" s="24"/>
      <c r="Q255" s="24"/>
      <c r="R255" s="43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>
        <v>1188</v>
      </c>
      <c r="AF255" s="36"/>
      <c r="AG255" s="36"/>
      <c r="AH255" s="36"/>
      <c r="AI255" s="36"/>
    </row>
    <row r="256" s="1" customFormat="1" customHeight="1" spans="1:35">
      <c r="A256" s="17">
        <v>253</v>
      </c>
      <c r="B256" s="20">
        <v>46122</v>
      </c>
      <c r="C256" s="26" t="s">
        <v>24</v>
      </c>
      <c r="D256" s="22" t="str" cm="1">
        <f t="array" ref="D256">INDEX([1]Sheet2!A:A,MATCH(E256,[1]Sheet2!B:B,0))</f>
        <v>充值</v>
      </c>
      <c r="E256" s="23" t="s">
        <v>72</v>
      </c>
      <c r="F256" s="24">
        <f t="shared" si="4"/>
        <v>150</v>
      </c>
      <c r="G256" s="24" t="s">
        <v>49</v>
      </c>
      <c r="H256" s="36"/>
      <c r="I256" s="36"/>
      <c r="J256" s="24"/>
      <c r="K256" s="24"/>
      <c r="L256" s="24"/>
      <c r="M256" s="24"/>
      <c r="N256" s="24"/>
      <c r="O256" s="24"/>
      <c r="P256" s="24"/>
      <c r="Q256" s="24"/>
      <c r="R256" s="43"/>
      <c r="S256" s="24"/>
      <c r="T256" s="24"/>
      <c r="U256" s="24"/>
      <c r="V256" s="24"/>
      <c r="W256" s="24">
        <v>150</v>
      </c>
      <c r="X256" s="24"/>
      <c r="Y256" s="24"/>
      <c r="Z256" s="24"/>
      <c r="AA256" s="24"/>
      <c r="AB256" s="24"/>
      <c r="AC256" s="24"/>
      <c r="AD256" s="24"/>
      <c r="AE256" s="24"/>
      <c r="AF256" s="36"/>
      <c r="AG256" s="36"/>
      <c r="AH256" s="36"/>
      <c r="AI256" s="36"/>
    </row>
    <row r="257" s="2" customFormat="1" customHeight="1" spans="1:35">
      <c r="A257" s="27">
        <v>254</v>
      </c>
      <c r="B257" s="28">
        <v>46122</v>
      </c>
      <c r="C257" s="29" t="s">
        <v>378</v>
      </c>
      <c r="D257" s="30" t="s">
        <v>379</v>
      </c>
      <c r="E257" s="31" t="s">
        <v>380</v>
      </c>
      <c r="F257" s="32">
        <f t="shared" si="4"/>
        <v>12000</v>
      </c>
      <c r="G257" s="32" t="s">
        <v>49</v>
      </c>
      <c r="H257" s="33">
        <v>46124</v>
      </c>
      <c r="I257" s="33">
        <v>46214</v>
      </c>
      <c r="J257" s="32"/>
      <c r="K257" s="32"/>
      <c r="L257" s="32"/>
      <c r="M257" s="32"/>
      <c r="N257" s="32"/>
      <c r="O257" s="32"/>
      <c r="P257" s="32"/>
      <c r="Q257" s="32"/>
      <c r="R257" s="45"/>
      <c r="S257" s="32"/>
      <c r="T257" s="32"/>
      <c r="U257" s="32"/>
      <c r="V257" s="32"/>
      <c r="W257" s="32"/>
      <c r="X257" s="32"/>
      <c r="Y257" s="32"/>
      <c r="Z257" s="32"/>
      <c r="AA257" s="32">
        <v>12000</v>
      </c>
      <c r="AB257" s="32"/>
      <c r="AC257" s="32"/>
      <c r="AD257" s="32"/>
      <c r="AE257" s="32"/>
      <c r="AF257" s="35" t="s">
        <v>60</v>
      </c>
      <c r="AG257" s="35"/>
      <c r="AH257" s="35"/>
      <c r="AI257" s="35"/>
    </row>
    <row r="258" s="1" customFormat="1" customHeight="1" spans="1:35">
      <c r="A258" s="17">
        <v>255</v>
      </c>
      <c r="B258" s="20">
        <v>46122</v>
      </c>
      <c r="C258" s="26" t="s">
        <v>232</v>
      </c>
      <c r="D258" s="22" t="str" cm="1">
        <f t="array" ref="D258">INDEX([1]Sheet2!A:A,MATCH(E258,[1]Sheet2!B:B,0))</f>
        <v>付勇</v>
      </c>
      <c r="E258" s="23" t="s">
        <v>381</v>
      </c>
      <c r="F258" s="24">
        <f t="shared" si="4"/>
        <v>3000</v>
      </c>
      <c r="G258" s="24" t="s">
        <v>77</v>
      </c>
      <c r="H258" s="36"/>
      <c r="I258" s="36"/>
      <c r="J258" s="24"/>
      <c r="K258" s="24"/>
      <c r="L258" s="24"/>
      <c r="M258" s="24"/>
      <c r="N258" s="24"/>
      <c r="O258" s="24"/>
      <c r="P258" s="24"/>
      <c r="Q258" s="24"/>
      <c r="R258" s="43"/>
      <c r="S258" s="24">
        <v>3000</v>
      </c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36"/>
      <c r="AG258" s="36"/>
      <c r="AH258" s="36"/>
      <c r="AI258" s="36"/>
    </row>
    <row r="259" s="1" customFormat="1" customHeight="1" spans="1:35">
      <c r="A259" s="17">
        <v>256</v>
      </c>
      <c r="B259" s="20">
        <v>46122</v>
      </c>
      <c r="C259" s="21" t="s">
        <v>113</v>
      </c>
      <c r="D259" s="22" t="str" cm="1">
        <f t="array" ref="D259">INDEX([1]Sheet2!A:A,MATCH(E259,[1]Sheet2!B:B,0))</f>
        <v>湖南亮点体育文化发展有限公司</v>
      </c>
      <c r="E259" s="23" t="s">
        <v>114</v>
      </c>
      <c r="F259" s="24">
        <f t="shared" si="4"/>
        <v>200</v>
      </c>
      <c r="G259" s="24" t="s">
        <v>77</v>
      </c>
      <c r="H259" s="36"/>
      <c r="I259" s="36"/>
      <c r="J259" s="24"/>
      <c r="K259" s="24"/>
      <c r="L259" s="24"/>
      <c r="M259" s="24"/>
      <c r="N259" s="24"/>
      <c r="O259" s="24"/>
      <c r="P259" s="24"/>
      <c r="Q259" s="24"/>
      <c r="R259" s="43"/>
      <c r="S259" s="24">
        <v>200</v>
      </c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36"/>
      <c r="AG259" s="36"/>
      <c r="AH259" s="36"/>
      <c r="AI259" s="36"/>
    </row>
    <row r="260" s="1" customFormat="1" customHeight="1" spans="1:35">
      <c r="A260" s="17">
        <v>257</v>
      </c>
      <c r="B260" s="20">
        <v>46122</v>
      </c>
      <c r="C260" s="26" t="s">
        <v>115</v>
      </c>
      <c r="D260" s="22" t="str" cm="1">
        <f t="array" ref="D260">INDEX([1]Sheet2!A:A,MATCH(E260,[1]Sheet2!B:B,0))</f>
        <v>湖南亮点体育文化发展有限公司</v>
      </c>
      <c r="E260" s="23" t="s">
        <v>116</v>
      </c>
      <c r="F260" s="24">
        <f t="shared" ref="F260:F323" si="5">SUM(J260:AE260)</f>
        <v>300</v>
      </c>
      <c r="G260" s="24" t="s">
        <v>77</v>
      </c>
      <c r="H260" s="36"/>
      <c r="I260" s="36"/>
      <c r="J260" s="24"/>
      <c r="K260" s="24"/>
      <c r="L260" s="24"/>
      <c r="M260" s="24"/>
      <c r="N260" s="24"/>
      <c r="O260" s="24"/>
      <c r="P260" s="24"/>
      <c r="Q260" s="24"/>
      <c r="R260" s="43"/>
      <c r="S260" s="24">
        <v>300</v>
      </c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36"/>
      <c r="AG260" s="36"/>
      <c r="AH260" s="36"/>
      <c r="AI260" s="36"/>
    </row>
    <row r="261" s="1" customFormat="1" customHeight="1" spans="1:35">
      <c r="A261" s="17">
        <v>258</v>
      </c>
      <c r="B261" s="20">
        <v>46122</v>
      </c>
      <c r="C261" s="26" t="s">
        <v>117</v>
      </c>
      <c r="D261" s="22" t="str" cm="1">
        <f t="array" ref="D261">INDEX([1]Sheet2!A:A,MATCH(E261,[1]Sheet2!B:B,0))</f>
        <v>湖南亮点体育文化发展有限公司</v>
      </c>
      <c r="E261" s="23" t="s">
        <v>118</v>
      </c>
      <c r="F261" s="24">
        <f t="shared" si="5"/>
        <v>100</v>
      </c>
      <c r="G261" s="24" t="s">
        <v>77</v>
      </c>
      <c r="H261" s="36"/>
      <c r="I261" s="36"/>
      <c r="J261" s="24"/>
      <c r="K261" s="24"/>
      <c r="L261" s="24"/>
      <c r="M261" s="24"/>
      <c r="N261" s="24"/>
      <c r="O261" s="24"/>
      <c r="P261" s="24"/>
      <c r="Q261" s="24"/>
      <c r="R261" s="43"/>
      <c r="S261" s="24">
        <v>100</v>
      </c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36"/>
      <c r="AG261" s="36"/>
      <c r="AH261" s="36"/>
      <c r="AI261" s="36"/>
    </row>
    <row r="262" s="1" customFormat="1" customHeight="1" spans="1:35">
      <c r="A262" s="17">
        <v>259</v>
      </c>
      <c r="B262" s="20">
        <v>46122</v>
      </c>
      <c r="C262" s="26" t="s">
        <v>119</v>
      </c>
      <c r="D262" s="22" t="str" cm="1">
        <f t="array" ref="D262">INDEX([1]Sheet2!A:A,MATCH(E262,[1]Sheet2!B:B,0))</f>
        <v>湖南亮点体育文化发展有限公司</v>
      </c>
      <c r="E262" s="23" t="s">
        <v>120</v>
      </c>
      <c r="F262" s="24">
        <f t="shared" si="5"/>
        <v>300</v>
      </c>
      <c r="G262" s="24" t="s">
        <v>77</v>
      </c>
      <c r="H262" s="36"/>
      <c r="I262" s="36"/>
      <c r="J262" s="24"/>
      <c r="K262" s="24"/>
      <c r="L262" s="24"/>
      <c r="M262" s="24"/>
      <c r="N262" s="24"/>
      <c r="O262" s="24"/>
      <c r="P262" s="24"/>
      <c r="Q262" s="24"/>
      <c r="R262" s="43"/>
      <c r="S262" s="24">
        <v>300</v>
      </c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36"/>
      <c r="AG262" s="36"/>
      <c r="AH262" s="36"/>
      <c r="AI262" s="36"/>
    </row>
    <row r="263" s="1" customFormat="1" customHeight="1" spans="1:35">
      <c r="A263" s="17">
        <v>260</v>
      </c>
      <c r="B263" s="20">
        <v>46122</v>
      </c>
      <c r="C263" s="26" t="s">
        <v>121</v>
      </c>
      <c r="D263" s="22" t="str" cm="1">
        <f t="array" ref="D263">INDEX([1]Sheet2!A:A,MATCH(E263,[1]Sheet2!B:B,0))</f>
        <v>湖南亮点体育文化发展有限公司</v>
      </c>
      <c r="E263" s="23" t="s">
        <v>122</v>
      </c>
      <c r="F263" s="24">
        <f t="shared" si="5"/>
        <v>100</v>
      </c>
      <c r="G263" s="24" t="s">
        <v>77</v>
      </c>
      <c r="H263" s="36"/>
      <c r="I263" s="36"/>
      <c r="J263" s="24"/>
      <c r="K263" s="24"/>
      <c r="L263" s="24"/>
      <c r="M263" s="24"/>
      <c r="N263" s="24"/>
      <c r="O263" s="24"/>
      <c r="P263" s="24"/>
      <c r="Q263" s="24"/>
      <c r="R263" s="43"/>
      <c r="S263" s="24">
        <v>100</v>
      </c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36"/>
      <c r="AG263" s="36"/>
      <c r="AH263" s="36"/>
      <c r="AI263" s="36"/>
    </row>
    <row r="264" s="1" customFormat="1" customHeight="1" spans="1:35">
      <c r="A264" s="17">
        <v>261</v>
      </c>
      <c r="B264" s="20">
        <v>46122</v>
      </c>
      <c r="C264" s="26" t="s">
        <v>78</v>
      </c>
      <c r="D264" s="22" t="str" cm="1">
        <f t="array" ref="D264">INDEX([1]Sheet2!A:A,MATCH(E264,[1]Sheet2!B:B,0))</f>
        <v>湖南亮点体育文化发展有限公司</v>
      </c>
      <c r="E264" s="23" t="s">
        <v>123</v>
      </c>
      <c r="F264" s="24">
        <f t="shared" si="5"/>
        <v>100</v>
      </c>
      <c r="G264" s="24" t="s">
        <v>77</v>
      </c>
      <c r="H264" s="36"/>
      <c r="I264" s="36"/>
      <c r="J264" s="24"/>
      <c r="K264" s="24"/>
      <c r="L264" s="24"/>
      <c r="M264" s="24"/>
      <c r="N264" s="24"/>
      <c r="O264" s="24"/>
      <c r="P264" s="24"/>
      <c r="Q264" s="24"/>
      <c r="R264" s="43"/>
      <c r="S264" s="24">
        <v>100</v>
      </c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36"/>
      <c r="AG264" s="36"/>
      <c r="AH264" s="36"/>
      <c r="AI264" s="36"/>
    </row>
    <row r="265" s="1" customFormat="1" customHeight="1" spans="1:35">
      <c r="A265" s="17">
        <v>262</v>
      </c>
      <c r="B265" s="20">
        <v>46122</v>
      </c>
      <c r="C265" s="26" t="s">
        <v>197</v>
      </c>
      <c r="D265" s="22" t="str" cm="1">
        <f t="array" ref="D265">INDEX([1]Sheet2!A:A,MATCH(E265,[1]Sheet2!B:B,0))</f>
        <v>湖南亮点体育文化发展有限公司</v>
      </c>
      <c r="E265" s="23" t="s">
        <v>198</v>
      </c>
      <c r="F265" s="24">
        <f t="shared" si="5"/>
        <v>400</v>
      </c>
      <c r="G265" s="24" t="s">
        <v>77</v>
      </c>
      <c r="H265" s="36"/>
      <c r="I265" s="36"/>
      <c r="J265" s="24"/>
      <c r="K265" s="24"/>
      <c r="L265" s="24"/>
      <c r="M265" s="24"/>
      <c r="N265" s="24"/>
      <c r="O265" s="24"/>
      <c r="P265" s="24"/>
      <c r="Q265" s="24"/>
      <c r="R265" s="43"/>
      <c r="S265" s="24">
        <v>400</v>
      </c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36"/>
      <c r="AG265" s="36"/>
      <c r="AH265" s="36"/>
      <c r="AI265" s="36"/>
    </row>
    <row r="266" s="1" customFormat="1" customHeight="1" spans="1:35">
      <c r="A266" s="17">
        <v>263</v>
      </c>
      <c r="B266" s="20">
        <v>46122</v>
      </c>
      <c r="C266" s="26" t="s">
        <v>84</v>
      </c>
      <c r="D266" s="22" t="str" cm="1">
        <f t="array" ref="D266">INDEX([1]Sheet2!A:A,MATCH(E266,[1]Sheet2!B:B,0))</f>
        <v>莫靖凡</v>
      </c>
      <c r="E266" s="23" t="s">
        <v>85</v>
      </c>
      <c r="F266" s="24">
        <f t="shared" si="5"/>
        <v>50</v>
      </c>
      <c r="G266" s="24" t="s">
        <v>77</v>
      </c>
      <c r="H266" s="36"/>
      <c r="I266" s="36"/>
      <c r="J266" s="24"/>
      <c r="K266" s="24"/>
      <c r="L266" s="24"/>
      <c r="M266" s="24"/>
      <c r="N266" s="24"/>
      <c r="O266" s="24"/>
      <c r="P266" s="24"/>
      <c r="Q266" s="24"/>
      <c r="R266" s="43"/>
      <c r="S266" s="24">
        <v>50</v>
      </c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36"/>
      <c r="AG266" s="36"/>
      <c r="AH266" s="36"/>
      <c r="AI266" s="36"/>
    </row>
    <row r="267" s="1" customFormat="1" customHeight="1" spans="1:35">
      <c r="A267" s="17">
        <v>264</v>
      </c>
      <c r="B267" s="20">
        <v>46122</v>
      </c>
      <c r="C267" s="26" t="s">
        <v>105</v>
      </c>
      <c r="D267" s="22" t="str" cm="1">
        <f t="array" ref="D267">INDEX([1]Sheet2!A:A,MATCH(E267,[1]Sheet2!B:B,0))</f>
        <v>莫德明</v>
      </c>
      <c r="E267" s="23" t="s">
        <v>126</v>
      </c>
      <c r="F267" s="24">
        <f t="shared" si="5"/>
        <v>1000</v>
      </c>
      <c r="G267" s="24" t="s">
        <v>77</v>
      </c>
      <c r="H267" s="36"/>
      <c r="I267" s="36"/>
      <c r="J267" s="24"/>
      <c r="K267" s="24"/>
      <c r="L267" s="24"/>
      <c r="M267" s="24"/>
      <c r="N267" s="24"/>
      <c r="O267" s="24"/>
      <c r="P267" s="24"/>
      <c r="Q267" s="24"/>
      <c r="R267" s="43"/>
      <c r="S267" s="24">
        <v>1000</v>
      </c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36"/>
      <c r="AG267" s="36"/>
      <c r="AH267" s="36"/>
      <c r="AI267" s="36"/>
    </row>
    <row r="268" s="1" customFormat="1" customHeight="1" spans="1:35">
      <c r="A268" s="17">
        <v>265</v>
      </c>
      <c r="B268" s="20">
        <v>46122</v>
      </c>
      <c r="C268" s="26" t="s">
        <v>382</v>
      </c>
      <c r="D268" s="22" t="str" cm="1">
        <f t="array" ref="D268">INDEX([1]Sheet2!A:A,MATCH(E268,[1]Sheet2!B:B,0))</f>
        <v>胡嘉熙</v>
      </c>
      <c r="E268" s="23" t="s">
        <v>383</v>
      </c>
      <c r="F268" s="24">
        <f t="shared" si="5"/>
        <v>2000</v>
      </c>
      <c r="G268" s="24" t="s">
        <v>77</v>
      </c>
      <c r="H268" s="36"/>
      <c r="I268" s="36"/>
      <c r="J268" s="24"/>
      <c r="K268" s="24"/>
      <c r="L268" s="24"/>
      <c r="M268" s="24"/>
      <c r="N268" s="24"/>
      <c r="O268" s="24"/>
      <c r="P268" s="24"/>
      <c r="Q268" s="24"/>
      <c r="R268" s="43"/>
      <c r="S268" s="24">
        <v>2000</v>
      </c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36"/>
      <c r="AG268" s="36"/>
      <c r="AH268" s="36"/>
      <c r="AI268" s="36"/>
    </row>
    <row r="269" s="1" customFormat="1" customHeight="1" spans="1:35">
      <c r="A269" s="17">
        <v>266</v>
      </c>
      <c r="B269" s="20">
        <v>46122</v>
      </c>
      <c r="C269" s="26" t="s">
        <v>97</v>
      </c>
      <c r="D269" s="22" t="str" cm="1">
        <f t="array" ref="D269">INDEX([1]Sheet2!A:A,MATCH(E269,[1]Sheet2!B:B,0))</f>
        <v>黎合</v>
      </c>
      <c r="E269" s="23" t="s">
        <v>98</v>
      </c>
      <c r="F269" s="24">
        <f t="shared" si="5"/>
        <v>20</v>
      </c>
      <c r="G269" s="24" t="s">
        <v>77</v>
      </c>
      <c r="H269" s="25"/>
      <c r="I269" s="25"/>
      <c r="J269" s="24"/>
      <c r="K269" s="24"/>
      <c r="L269" s="24"/>
      <c r="M269" s="24"/>
      <c r="N269" s="24"/>
      <c r="O269" s="24"/>
      <c r="P269" s="24"/>
      <c r="Q269" s="24"/>
      <c r="R269" s="43"/>
      <c r="S269" s="24">
        <v>20</v>
      </c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36"/>
      <c r="AG269" s="36"/>
      <c r="AH269" s="36"/>
      <c r="AI269" s="36"/>
    </row>
    <row r="270" s="1" customFormat="1" customHeight="1" spans="1:35">
      <c r="A270" s="17">
        <v>267</v>
      </c>
      <c r="B270" s="20">
        <v>46122</v>
      </c>
      <c r="C270" s="26" t="s">
        <v>384</v>
      </c>
      <c r="D270" s="22" t="str" cm="1">
        <f t="array" ref="D270">INDEX([1]Sheet2!A:A,MATCH(E270,[1]Sheet2!B:B,0))</f>
        <v>杨杰</v>
      </c>
      <c r="E270" s="23" t="s">
        <v>134</v>
      </c>
      <c r="F270" s="24">
        <f t="shared" si="5"/>
        <v>50</v>
      </c>
      <c r="G270" s="24" t="s">
        <v>77</v>
      </c>
      <c r="H270" s="25"/>
      <c r="I270" s="25"/>
      <c r="J270" s="24"/>
      <c r="K270" s="24"/>
      <c r="L270" s="24"/>
      <c r="M270" s="24"/>
      <c r="N270" s="24"/>
      <c r="O270" s="24"/>
      <c r="P270" s="24"/>
      <c r="Q270" s="24"/>
      <c r="R270" s="43"/>
      <c r="S270" s="24">
        <v>50</v>
      </c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36"/>
      <c r="AG270" s="36"/>
      <c r="AH270" s="36"/>
      <c r="AI270" s="36"/>
    </row>
    <row r="271" s="1" customFormat="1" customHeight="1" spans="1:35">
      <c r="A271" s="17">
        <v>268</v>
      </c>
      <c r="B271" s="20">
        <v>46122</v>
      </c>
      <c r="C271" s="26" t="s">
        <v>143</v>
      </c>
      <c r="D271" s="22" t="str" cm="1">
        <f t="array" ref="D271">INDEX([1]Sheet2!A:A,MATCH(E271,[1]Sheet2!B:B,0))</f>
        <v>刘连</v>
      </c>
      <c r="E271" s="23" t="s">
        <v>144</v>
      </c>
      <c r="F271" s="24">
        <f t="shared" si="5"/>
        <v>100</v>
      </c>
      <c r="G271" s="24" t="s">
        <v>77</v>
      </c>
      <c r="H271" s="25"/>
      <c r="I271" s="25"/>
      <c r="J271" s="24"/>
      <c r="K271" s="24"/>
      <c r="L271" s="24"/>
      <c r="M271" s="24"/>
      <c r="N271" s="24"/>
      <c r="O271" s="24"/>
      <c r="P271" s="24"/>
      <c r="Q271" s="24"/>
      <c r="R271" s="43"/>
      <c r="S271" s="24">
        <v>100</v>
      </c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36"/>
      <c r="AG271" s="36"/>
      <c r="AH271" s="36"/>
      <c r="AI271" s="36"/>
    </row>
    <row r="272" s="1" customFormat="1" customHeight="1" spans="1:35">
      <c r="A272" s="17">
        <v>269</v>
      </c>
      <c r="B272" s="20">
        <v>46122</v>
      </c>
      <c r="C272" s="21" t="s">
        <v>385</v>
      </c>
      <c r="D272" s="22" t="str" cm="1">
        <f t="array" ref="D272">INDEX([1]Sheet2!A:A,MATCH(E272,[1]Sheet2!B:B,0))</f>
        <v>衡阳树山文化传媒有限公司</v>
      </c>
      <c r="E272" s="23" t="s">
        <v>386</v>
      </c>
      <c r="F272" s="24">
        <f t="shared" si="5"/>
        <v>40</v>
      </c>
      <c r="G272" s="24" t="s">
        <v>77</v>
      </c>
      <c r="H272" s="36"/>
      <c r="I272" s="36"/>
      <c r="J272" s="24"/>
      <c r="K272" s="24"/>
      <c r="L272" s="24"/>
      <c r="M272" s="24"/>
      <c r="N272" s="24"/>
      <c r="O272" s="24"/>
      <c r="P272" s="24"/>
      <c r="Q272" s="24"/>
      <c r="R272" s="43"/>
      <c r="S272" s="24">
        <v>40</v>
      </c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36"/>
      <c r="AG272" s="36"/>
      <c r="AH272" s="36"/>
      <c r="AI272" s="36"/>
    </row>
    <row r="273" s="1" customFormat="1" customHeight="1" spans="1:35">
      <c r="A273" s="17">
        <v>270</v>
      </c>
      <c r="B273" s="20">
        <v>46122</v>
      </c>
      <c r="C273" s="21" t="s">
        <v>214</v>
      </c>
      <c r="D273" s="22" t="str" cm="1">
        <f t="array" ref="D273">INDEX([1]Sheet2!A:A,MATCH(E273,[1]Sheet2!B:B,0))</f>
        <v>黄沐彬</v>
      </c>
      <c r="E273" s="23" t="s">
        <v>387</v>
      </c>
      <c r="F273" s="24">
        <f t="shared" si="5"/>
        <v>1000</v>
      </c>
      <c r="G273" s="24" t="s">
        <v>77</v>
      </c>
      <c r="H273" s="36"/>
      <c r="I273" s="36"/>
      <c r="J273" s="24"/>
      <c r="K273" s="24"/>
      <c r="L273" s="24"/>
      <c r="M273" s="24"/>
      <c r="N273" s="24"/>
      <c r="O273" s="24"/>
      <c r="P273" s="24"/>
      <c r="Q273" s="24"/>
      <c r="R273" s="61"/>
      <c r="S273" s="24">
        <v>1000</v>
      </c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36"/>
      <c r="AG273" s="36"/>
      <c r="AH273" s="36"/>
      <c r="AI273" s="36"/>
    </row>
    <row r="274" s="1" customFormat="1" customHeight="1" spans="1:35">
      <c r="A274" s="17">
        <v>271</v>
      </c>
      <c r="B274" s="20">
        <v>46122</v>
      </c>
      <c r="C274" s="21" t="s">
        <v>95</v>
      </c>
      <c r="D274" s="22" t="str" cm="1">
        <f t="array" ref="D274">INDEX([1]Sheet2!A:A,MATCH(E274,[1]Sheet2!B:B,0))</f>
        <v>周建华</v>
      </c>
      <c r="E274" s="23" t="s">
        <v>96</v>
      </c>
      <c r="F274" s="24">
        <f t="shared" si="5"/>
        <v>300</v>
      </c>
      <c r="G274" s="24" t="s">
        <v>77</v>
      </c>
      <c r="H274" s="36"/>
      <c r="I274" s="36"/>
      <c r="J274" s="24"/>
      <c r="K274" s="24"/>
      <c r="L274" s="24"/>
      <c r="M274" s="24"/>
      <c r="N274" s="24"/>
      <c r="O274" s="24"/>
      <c r="P274" s="24"/>
      <c r="Q274" s="24"/>
      <c r="R274" s="43"/>
      <c r="S274" s="24">
        <v>300</v>
      </c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36"/>
      <c r="AG274" s="36"/>
      <c r="AH274" s="36"/>
      <c r="AI274" s="36"/>
    </row>
    <row r="275" s="1" customFormat="1" customHeight="1" spans="1:35">
      <c r="A275" s="17">
        <v>272</v>
      </c>
      <c r="B275" s="20">
        <v>46122</v>
      </c>
      <c r="C275" s="21" t="s">
        <v>173</v>
      </c>
      <c r="D275" s="22" t="str" cm="1">
        <f t="array" ref="D275">INDEX([1]Sheet2!A:A,MATCH(E275,[1]Sheet2!B:B,0))</f>
        <v>王成宁</v>
      </c>
      <c r="E275" s="23" t="s">
        <v>174</v>
      </c>
      <c r="F275" s="24">
        <f t="shared" si="5"/>
        <v>500</v>
      </c>
      <c r="G275" s="24" t="s">
        <v>77</v>
      </c>
      <c r="H275" s="36"/>
      <c r="I275" s="36"/>
      <c r="J275" s="24"/>
      <c r="K275" s="24"/>
      <c r="L275" s="24"/>
      <c r="M275" s="24"/>
      <c r="N275" s="24"/>
      <c r="O275" s="24"/>
      <c r="P275" s="24"/>
      <c r="Q275" s="24"/>
      <c r="R275" s="43"/>
      <c r="S275" s="24">
        <v>500</v>
      </c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36"/>
      <c r="AG275" s="36"/>
      <c r="AH275" s="36"/>
      <c r="AI275" s="36"/>
    </row>
    <row r="276" s="1" customFormat="1" customHeight="1" spans="1:35">
      <c r="A276" s="17">
        <v>273</v>
      </c>
      <c r="B276" s="20">
        <v>46122</v>
      </c>
      <c r="C276" s="26" t="s">
        <v>162</v>
      </c>
      <c r="D276" s="22" t="str" cm="1">
        <f t="array" ref="D276">INDEX([1]Sheet2!A:A,MATCH(E276,[1]Sheet2!B:B,0))</f>
        <v>丁海军</v>
      </c>
      <c r="E276" s="23" t="s">
        <v>163</v>
      </c>
      <c r="F276" s="24">
        <f t="shared" si="5"/>
        <v>200</v>
      </c>
      <c r="G276" s="24" t="s">
        <v>77</v>
      </c>
      <c r="H276" s="36"/>
      <c r="I276" s="36"/>
      <c r="J276" s="24"/>
      <c r="K276" s="24"/>
      <c r="L276" s="24"/>
      <c r="M276" s="24"/>
      <c r="N276" s="24"/>
      <c r="O276" s="24"/>
      <c r="P276" s="24"/>
      <c r="Q276" s="24"/>
      <c r="R276" s="43"/>
      <c r="S276" s="24">
        <v>200</v>
      </c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36"/>
      <c r="AG276" s="36"/>
      <c r="AH276" s="36"/>
      <c r="AI276" s="36"/>
    </row>
    <row r="277" s="1" customFormat="1" customHeight="1" spans="1:35">
      <c r="A277" s="17">
        <v>274</v>
      </c>
      <c r="B277" s="20">
        <v>46122</v>
      </c>
      <c r="C277" s="26" t="s">
        <v>24</v>
      </c>
      <c r="D277" s="22" t="str" cm="1">
        <f t="array" ref="D277">INDEX([1]Sheet2!A:A,MATCH(E277,[1]Sheet2!B:B,0))</f>
        <v>临时</v>
      </c>
      <c r="E277" s="23" t="s">
        <v>99</v>
      </c>
      <c r="F277" s="24">
        <f t="shared" si="5"/>
        <v>330</v>
      </c>
      <c r="G277" s="24" t="s">
        <v>100</v>
      </c>
      <c r="H277" s="36"/>
      <c r="I277" s="36"/>
      <c r="J277" s="24"/>
      <c r="K277" s="24"/>
      <c r="L277" s="24"/>
      <c r="M277" s="24"/>
      <c r="N277" s="24"/>
      <c r="O277" s="24"/>
      <c r="P277" s="24"/>
      <c r="Q277" s="24"/>
      <c r="R277" s="43"/>
      <c r="S277" s="24"/>
      <c r="T277" s="24"/>
      <c r="U277" s="24"/>
      <c r="V277" s="24"/>
      <c r="W277" s="24">
        <v>330</v>
      </c>
      <c r="X277" s="24"/>
      <c r="Y277" s="24"/>
      <c r="Z277" s="24"/>
      <c r="AA277" s="24"/>
      <c r="AB277" s="24"/>
      <c r="AC277" s="24"/>
      <c r="AD277" s="24"/>
      <c r="AE277" s="24"/>
      <c r="AF277" s="36"/>
      <c r="AG277" s="36"/>
      <c r="AH277" s="36"/>
      <c r="AI277" s="36"/>
    </row>
    <row r="278" s="1" customFormat="1" customHeight="1" spans="1:35">
      <c r="A278" s="17">
        <v>275</v>
      </c>
      <c r="B278" s="20">
        <v>46123</v>
      </c>
      <c r="C278" s="26" t="s">
        <v>388</v>
      </c>
      <c r="D278" s="22" t="s">
        <v>389</v>
      </c>
      <c r="E278" s="23" t="s">
        <v>390</v>
      </c>
      <c r="F278" s="24">
        <f t="shared" si="5"/>
        <v>17955</v>
      </c>
      <c r="G278" s="24" t="s">
        <v>40</v>
      </c>
      <c r="H278" s="25">
        <v>46113</v>
      </c>
      <c r="I278" s="25">
        <v>46203</v>
      </c>
      <c r="J278" s="24">
        <v>8550</v>
      </c>
      <c r="K278" s="24">
        <v>9405</v>
      </c>
      <c r="L278" s="24"/>
      <c r="M278" s="24"/>
      <c r="N278" s="24"/>
      <c r="O278" s="24"/>
      <c r="P278" s="24"/>
      <c r="Q278" s="24"/>
      <c r="R278" s="43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36"/>
      <c r="AG278" s="36"/>
      <c r="AH278" s="36"/>
      <c r="AI278" s="36"/>
    </row>
    <row r="279" s="1" customFormat="1" customHeight="1" spans="1:35">
      <c r="A279" s="17">
        <v>276</v>
      </c>
      <c r="B279" s="20">
        <v>46123</v>
      </c>
      <c r="C279" s="26" t="s">
        <v>388</v>
      </c>
      <c r="D279" s="22" t="s">
        <v>389</v>
      </c>
      <c r="E279" s="23" t="s">
        <v>390</v>
      </c>
      <c r="F279" s="24">
        <f t="shared" si="5"/>
        <v>3000</v>
      </c>
      <c r="G279" s="24" t="s">
        <v>40</v>
      </c>
      <c r="H279" s="25">
        <v>46113</v>
      </c>
      <c r="I279" s="25">
        <v>46477</v>
      </c>
      <c r="J279" s="24"/>
      <c r="K279" s="24"/>
      <c r="L279" s="24">
        <v>3000</v>
      </c>
      <c r="M279" s="24"/>
      <c r="N279" s="24"/>
      <c r="O279" s="24"/>
      <c r="P279" s="24"/>
      <c r="Q279" s="24"/>
      <c r="R279" s="43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36"/>
      <c r="AG279" s="36"/>
      <c r="AH279" s="36"/>
      <c r="AI279" s="36"/>
    </row>
    <row r="280" s="1" customFormat="1" customHeight="1" spans="1:35">
      <c r="A280" s="17">
        <v>277</v>
      </c>
      <c r="B280" s="20">
        <v>46123</v>
      </c>
      <c r="C280" s="26" t="s">
        <v>391</v>
      </c>
      <c r="D280" s="22" t="s">
        <v>392</v>
      </c>
      <c r="E280" s="23" t="s">
        <v>393</v>
      </c>
      <c r="F280" s="24">
        <f t="shared" si="5"/>
        <v>18618</v>
      </c>
      <c r="G280" s="24" t="s">
        <v>40</v>
      </c>
      <c r="H280" s="25">
        <v>46023</v>
      </c>
      <c r="I280" s="25">
        <v>46112</v>
      </c>
      <c r="J280" s="24">
        <v>8346</v>
      </c>
      <c r="K280" s="24">
        <v>10272</v>
      </c>
      <c r="L280" s="24"/>
      <c r="M280" s="24"/>
      <c r="N280" s="24"/>
      <c r="O280" s="24"/>
      <c r="P280" s="24"/>
      <c r="Q280" s="24"/>
      <c r="R280" s="43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36"/>
      <c r="AG280" s="36"/>
      <c r="AH280" s="36"/>
      <c r="AI280" s="36"/>
    </row>
    <row r="281" s="1" customFormat="1" customHeight="1" spans="1:35">
      <c r="A281" s="17">
        <v>278</v>
      </c>
      <c r="B281" s="20">
        <v>46123</v>
      </c>
      <c r="C281" s="26" t="s">
        <v>391</v>
      </c>
      <c r="D281" s="22" t="s">
        <v>392</v>
      </c>
      <c r="E281" s="23" t="s">
        <v>393</v>
      </c>
      <c r="F281" s="24">
        <f t="shared" si="5"/>
        <v>18618</v>
      </c>
      <c r="G281" s="24" t="s">
        <v>40</v>
      </c>
      <c r="H281" s="25">
        <v>46113</v>
      </c>
      <c r="I281" s="25">
        <v>46203</v>
      </c>
      <c r="J281" s="24">
        <v>8346</v>
      </c>
      <c r="K281" s="24">
        <v>10272</v>
      </c>
      <c r="L281" s="24"/>
      <c r="M281" s="24"/>
      <c r="N281" s="24"/>
      <c r="O281" s="24"/>
      <c r="P281" s="24"/>
      <c r="Q281" s="24"/>
      <c r="R281" s="43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36"/>
      <c r="AG281" s="36"/>
      <c r="AH281" s="36"/>
      <c r="AI281" s="36"/>
    </row>
    <row r="282" s="1" customFormat="1" customHeight="1" spans="1:35">
      <c r="A282" s="17">
        <v>279</v>
      </c>
      <c r="B282" s="20">
        <v>46123</v>
      </c>
      <c r="C282" s="26" t="s">
        <v>394</v>
      </c>
      <c r="D282" s="22" t="str" cm="1">
        <f t="array" ref="D282">INDEX([1]Sheet2!A:A,MATCH(E282,[1]Sheet2!B:B,0))</f>
        <v>刘磊</v>
      </c>
      <c r="E282" s="23" t="s">
        <v>395</v>
      </c>
      <c r="F282" s="24">
        <f t="shared" si="5"/>
        <v>712.32</v>
      </c>
      <c r="G282" s="24" t="s">
        <v>40</v>
      </c>
      <c r="H282" s="25">
        <v>46082</v>
      </c>
      <c r="I282" s="25">
        <v>46112</v>
      </c>
      <c r="J282" s="24"/>
      <c r="K282" s="24"/>
      <c r="L282" s="24"/>
      <c r="M282" s="24"/>
      <c r="N282" s="24"/>
      <c r="O282" s="24"/>
      <c r="P282" s="24"/>
      <c r="Q282" s="24"/>
      <c r="R282" s="43">
        <v>712.32</v>
      </c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36"/>
      <c r="AG282" s="36"/>
      <c r="AH282" s="36"/>
      <c r="AI282" s="36"/>
    </row>
    <row r="283" s="1" customFormat="1" customHeight="1" spans="1:35">
      <c r="A283" s="17">
        <v>280</v>
      </c>
      <c r="B283" s="20">
        <v>46123</v>
      </c>
      <c r="C283" s="26" t="s">
        <v>396</v>
      </c>
      <c r="D283" s="22" t="str" cm="1">
        <f t="array" ref="D283">INDEX([1]Sheet2!A:A,MATCH(E283,[1]Sheet2!B:B,0))</f>
        <v>福建车与家科技有限公司</v>
      </c>
      <c r="E283" s="23" t="s">
        <v>397</v>
      </c>
      <c r="F283" s="24">
        <f t="shared" si="5"/>
        <v>13500</v>
      </c>
      <c r="G283" s="24" t="s">
        <v>40</v>
      </c>
      <c r="H283" s="25">
        <v>46148</v>
      </c>
      <c r="I283" s="25">
        <v>46239</v>
      </c>
      <c r="J283" s="24"/>
      <c r="K283" s="24"/>
      <c r="L283" s="24"/>
      <c r="M283" s="24"/>
      <c r="N283" s="24"/>
      <c r="O283" s="24">
        <v>13500</v>
      </c>
      <c r="P283" s="24"/>
      <c r="Q283" s="24"/>
      <c r="R283" s="43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36"/>
      <c r="AG283" s="36"/>
      <c r="AH283" s="36"/>
      <c r="AI283" s="36"/>
    </row>
    <row r="284" s="1" customFormat="1" customHeight="1" spans="1:35">
      <c r="A284" s="17">
        <v>281</v>
      </c>
      <c r="B284" s="20">
        <v>46123</v>
      </c>
      <c r="C284" s="26" t="s">
        <v>396</v>
      </c>
      <c r="D284" s="22" t="str" cm="1">
        <f t="array" ref="D284">INDEX([1]Sheet2!A:A,MATCH(E284,[1]Sheet2!B:B,0))</f>
        <v>福建车与家科技有限公司</v>
      </c>
      <c r="E284" s="23" t="s">
        <v>397</v>
      </c>
      <c r="F284" s="24">
        <f t="shared" si="5"/>
        <v>2520.74</v>
      </c>
      <c r="G284" s="24" t="s">
        <v>40</v>
      </c>
      <c r="H284" s="25">
        <v>46082</v>
      </c>
      <c r="I284" s="25">
        <v>46112</v>
      </c>
      <c r="J284" s="24"/>
      <c r="K284" s="24"/>
      <c r="L284" s="24"/>
      <c r="M284" s="24"/>
      <c r="N284" s="24"/>
      <c r="O284" s="24"/>
      <c r="P284" s="24"/>
      <c r="Q284" s="24">
        <v>968.76</v>
      </c>
      <c r="R284" s="43">
        <v>1551.98</v>
      </c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36"/>
      <c r="AG284" s="36"/>
      <c r="AH284" s="36"/>
      <c r="AI284" s="36"/>
    </row>
    <row r="285" s="1" customFormat="1" customHeight="1" spans="1:35">
      <c r="A285" s="17">
        <v>282</v>
      </c>
      <c r="B285" s="20">
        <v>46123</v>
      </c>
      <c r="C285" s="26" t="s">
        <v>398</v>
      </c>
      <c r="D285" s="22" t="str" cm="1">
        <f t="array" ref="D285">INDEX([1]Sheet2!A:A,MATCH(E285,[1]Sheet2!B:B,0))</f>
        <v>左家雁</v>
      </c>
      <c r="E285" s="23" t="s">
        <v>399</v>
      </c>
      <c r="F285" s="24">
        <f t="shared" si="5"/>
        <v>80.04</v>
      </c>
      <c r="G285" s="24" t="s">
        <v>49</v>
      </c>
      <c r="H285" s="25">
        <v>46082</v>
      </c>
      <c r="I285" s="25">
        <v>46112</v>
      </c>
      <c r="J285" s="24"/>
      <c r="K285" s="24"/>
      <c r="L285" s="24"/>
      <c r="M285" s="24"/>
      <c r="N285" s="24"/>
      <c r="O285" s="24"/>
      <c r="P285" s="24"/>
      <c r="Q285" s="24">
        <v>8.99</v>
      </c>
      <c r="R285" s="43">
        <v>71.05</v>
      </c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36"/>
      <c r="AG285" s="36"/>
      <c r="AH285" s="36"/>
      <c r="AI285" s="36"/>
    </row>
    <row r="286" s="1" customFormat="1" customHeight="1" spans="1:35">
      <c r="A286" s="17">
        <v>283</v>
      </c>
      <c r="B286" s="20">
        <v>46123</v>
      </c>
      <c r="C286" s="26" t="s">
        <v>131</v>
      </c>
      <c r="D286" s="22" t="str" cm="1">
        <f t="array" ref="D286">INDEX([1]Sheet2!A:A,MATCH(E286,[1]Sheet2!B:B,0))</f>
        <v>吴艳芳</v>
      </c>
      <c r="E286" s="23" t="s">
        <v>305</v>
      </c>
      <c r="F286" s="24">
        <f t="shared" si="5"/>
        <v>10765</v>
      </c>
      <c r="G286" s="24" t="s">
        <v>49</v>
      </c>
      <c r="H286" s="25"/>
      <c r="I286" s="25"/>
      <c r="J286" s="24"/>
      <c r="K286" s="24"/>
      <c r="L286" s="24"/>
      <c r="M286" s="24"/>
      <c r="N286" s="24"/>
      <c r="O286" s="24"/>
      <c r="P286" s="24"/>
      <c r="Q286" s="24"/>
      <c r="R286" s="43"/>
      <c r="S286" s="24"/>
      <c r="T286" s="24">
        <v>715</v>
      </c>
      <c r="U286" s="24"/>
      <c r="V286" s="24">
        <v>50</v>
      </c>
      <c r="W286" s="24"/>
      <c r="X286" s="24"/>
      <c r="Y286" s="24">
        <v>10000</v>
      </c>
      <c r="Z286" s="24"/>
      <c r="AA286" s="24"/>
      <c r="AB286" s="24"/>
      <c r="AC286" s="24"/>
      <c r="AD286" s="24"/>
      <c r="AE286" s="24"/>
      <c r="AF286" s="36"/>
      <c r="AG286" s="36"/>
      <c r="AH286" s="36"/>
      <c r="AI286" s="36"/>
    </row>
    <row r="287" s="1" customFormat="1" customHeight="1" spans="1:35">
      <c r="A287" s="17">
        <v>284</v>
      </c>
      <c r="B287" s="20">
        <v>46123</v>
      </c>
      <c r="C287" s="26" t="s">
        <v>73</v>
      </c>
      <c r="D287" s="22" t="str" cm="1">
        <f t="array" ref="D287">INDEX([1]Sheet2!A:A,MATCH(E287,[1]Sheet2!B:B,0))</f>
        <v>衡阳志扬体育文化有限公司</v>
      </c>
      <c r="E287" s="23" t="s">
        <v>74</v>
      </c>
      <c r="F287" s="24">
        <f t="shared" si="5"/>
        <v>590</v>
      </c>
      <c r="G287" s="24" t="s">
        <v>49</v>
      </c>
      <c r="H287" s="25"/>
      <c r="I287" s="25"/>
      <c r="J287" s="24"/>
      <c r="K287" s="24"/>
      <c r="L287" s="24"/>
      <c r="M287" s="24"/>
      <c r="N287" s="24"/>
      <c r="O287" s="24"/>
      <c r="P287" s="24"/>
      <c r="Q287" s="24"/>
      <c r="R287" s="43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>
        <v>590</v>
      </c>
      <c r="AF287" s="36"/>
      <c r="AG287" s="36"/>
      <c r="AH287" s="36"/>
      <c r="AI287" s="36"/>
    </row>
    <row r="288" s="1" customFormat="1" customHeight="1" spans="1:35">
      <c r="A288" s="17">
        <v>285</v>
      </c>
      <c r="B288" s="20">
        <v>46123</v>
      </c>
      <c r="C288" s="26" t="s">
        <v>400</v>
      </c>
      <c r="D288" s="22" t="e" cm="1">
        <f t="array" ref="D288">INDEX([1]Sheet2!A:A,MATCH(E288,[1]Sheet2!B:B,0))</f>
        <v>#N/A</v>
      </c>
      <c r="E288" s="23" t="s">
        <v>400</v>
      </c>
      <c r="F288" s="24">
        <f t="shared" si="5"/>
        <v>1000</v>
      </c>
      <c r="G288" s="24" t="s">
        <v>49</v>
      </c>
      <c r="H288" s="25"/>
      <c r="I288" s="25"/>
      <c r="J288" s="24"/>
      <c r="K288" s="24"/>
      <c r="L288" s="24"/>
      <c r="M288" s="24"/>
      <c r="N288" s="24"/>
      <c r="O288" s="24"/>
      <c r="P288" s="24"/>
      <c r="Q288" s="24"/>
      <c r="R288" s="43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>
        <v>1000</v>
      </c>
      <c r="AD288" s="24"/>
      <c r="AE288" s="24"/>
      <c r="AF288" s="36"/>
      <c r="AG288" s="36"/>
      <c r="AH288" s="36"/>
      <c r="AI288" s="36"/>
    </row>
    <row r="289" s="1" customFormat="1" customHeight="1" spans="1:35">
      <c r="A289" s="17">
        <v>286</v>
      </c>
      <c r="B289" s="20">
        <v>46123</v>
      </c>
      <c r="C289" s="26" t="s">
        <v>401</v>
      </c>
      <c r="D289" s="23" t="s">
        <v>402</v>
      </c>
      <c r="E289" s="23" t="s">
        <v>403</v>
      </c>
      <c r="F289" s="24">
        <f t="shared" si="5"/>
        <v>10000</v>
      </c>
      <c r="G289" s="24" t="s">
        <v>49</v>
      </c>
      <c r="H289" s="25"/>
      <c r="I289" s="25"/>
      <c r="J289" s="24"/>
      <c r="K289" s="24"/>
      <c r="L289" s="24"/>
      <c r="M289" s="24"/>
      <c r="N289" s="24"/>
      <c r="O289" s="24"/>
      <c r="P289" s="24"/>
      <c r="Q289" s="24"/>
      <c r="R289" s="43"/>
      <c r="S289" s="24"/>
      <c r="T289" s="24"/>
      <c r="U289" s="24"/>
      <c r="V289" s="24"/>
      <c r="W289" s="24"/>
      <c r="X289" s="24">
        <v>10000</v>
      </c>
      <c r="Y289" s="24"/>
      <c r="Z289" s="24"/>
      <c r="AA289" s="24"/>
      <c r="AB289" s="24"/>
      <c r="AC289" s="24"/>
      <c r="AD289" s="24"/>
      <c r="AE289" s="24"/>
      <c r="AF289" s="36"/>
      <c r="AG289" s="36" t="s">
        <v>50</v>
      </c>
      <c r="AH289" s="36">
        <v>7483419</v>
      </c>
      <c r="AI289" s="36" t="s">
        <v>404</v>
      </c>
    </row>
    <row r="290" s="1" customFormat="1" customHeight="1" spans="1:35">
      <c r="A290" s="17">
        <v>287</v>
      </c>
      <c r="B290" s="20">
        <v>46123</v>
      </c>
      <c r="C290" s="21" t="s">
        <v>75</v>
      </c>
      <c r="D290" s="22" t="str" cm="1">
        <f t="array" ref="D290">INDEX([1]Sheet2!A:A,MATCH(E290,[1]Sheet2!B:B,0))</f>
        <v>刘连</v>
      </c>
      <c r="E290" s="23" t="s">
        <v>76</v>
      </c>
      <c r="F290" s="24">
        <f t="shared" si="5"/>
        <v>100</v>
      </c>
      <c r="G290" s="24" t="s">
        <v>77</v>
      </c>
      <c r="H290" s="25"/>
      <c r="I290" s="25"/>
      <c r="J290" s="24"/>
      <c r="K290" s="24"/>
      <c r="L290" s="24"/>
      <c r="M290" s="24"/>
      <c r="N290" s="24"/>
      <c r="O290" s="24"/>
      <c r="P290" s="24"/>
      <c r="Q290" s="24"/>
      <c r="R290" s="43"/>
      <c r="S290" s="24">
        <v>100</v>
      </c>
      <c r="T290" s="24"/>
      <c r="U290" s="24"/>
      <c r="V290" s="58"/>
      <c r="W290" s="24"/>
      <c r="X290" s="24"/>
      <c r="Y290" s="24"/>
      <c r="Z290" s="24"/>
      <c r="AA290" s="24"/>
      <c r="AB290" s="24"/>
      <c r="AC290" s="24"/>
      <c r="AD290" s="24"/>
      <c r="AE290" s="24"/>
      <c r="AF290" s="36"/>
      <c r="AG290" s="36"/>
      <c r="AH290" s="36"/>
      <c r="AI290" s="36"/>
    </row>
    <row r="291" s="1" customFormat="1" customHeight="1" spans="1:35">
      <c r="A291" s="17">
        <v>288</v>
      </c>
      <c r="B291" s="20">
        <v>46123</v>
      </c>
      <c r="C291" s="21" t="s">
        <v>169</v>
      </c>
      <c r="D291" s="22" t="str" cm="1">
        <f t="array" ref="D291">INDEX([1]Sheet2!A:A,MATCH(E291,[1]Sheet2!B:B,0))</f>
        <v>周乐群</v>
      </c>
      <c r="E291" s="23" t="s">
        <v>170</v>
      </c>
      <c r="F291" s="24">
        <f t="shared" si="5"/>
        <v>100</v>
      </c>
      <c r="G291" s="24" t="s">
        <v>77</v>
      </c>
      <c r="H291" s="36"/>
      <c r="I291" s="36"/>
      <c r="J291" s="24"/>
      <c r="K291" s="24"/>
      <c r="L291" s="24"/>
      <c r="M291" s="24"/>
      <c r="N291" s="24"/>
      <c r="O291" s="24"/>
      <c r="P291" s="24"/>
      <c r="Q291" s="24"/>
      <c r="R291" s="43"/>
      <c r="S291" s="24">
        <v>100</v>
      </c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36"/>
      <c r="AG291" s="36"/>
      <c r="AH291" s="36"/>
      <c r="AI291" s="36"/>
    </row>
    <row r="292" s="1" customFormat="1" customHeight="1" spans="1:35">
      <c r="A292" s="17">
        <v>289</v>
      </c>
      <c r="B292" s="20">
        <v>46123</v>
      </c>
      <c r="C292" s="21" t="s">
        <v>367</v>
      </c>
      <c r="D292" s="22" t="str" cm="1">
        <f t="array" ref="D292">INDEX([1]Sheet2!A:A,MATCH(E292,[1]Sheet2!B:B,0))</f>
        <v>洪菊香</v>
      </c>
      <c r="E292" s="23" t="s">
        <v>405</v>
      </c>
      <c r="F292" s="24">
        <f t="shared" si="5"/>
        <v>500</v>
      </c>
      <c r="G292" s="24" t="s">
        <v>77</v>
      </c>
      <c r="H292" s="25"/>
      <c r="I292" s="25"/>
      <c r="J292" s="24"/>
      <c r="K292" s="24"/>
      <c r="L292" s="24"/>
      <c r="M292" s="24"/>
      <c r="N292" s="24"/>
      <c r="O292" s="24"/>
      <c r="P292" s="24"/>
      <c r="Q292" s="24"/>
      <c r="R292" s="43"/>
      <c r="S292" s="24">
        <v>500</v>
      </c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36"/>
      <c r="AG292" s="36"/>
      <c r="AH292" s="36"/>
      <c r="AI292" s="36"/>
    </row>
    <row r="293" s="1" customFormat="1" customHeight="1" spans="1:35">
      <c r="A293" s="17">
        <v>290</v>
      </c>
      <c r="B293" s="20">
        <v>46123</v>
      </c>
      <c r="C293" s="56" t="s">
        <v>197</v>
      </c>
      <c r="D293" s="22" t="str" cm="1">
        <f t="array" ref="D293">INDEX([1]Sheet2!A:A,MATCH(E293,[1]Sheet2!B:B,0))</f>
        <v>湖南亮点体育文化发展有限公司</v>
      </c>
      <c r="E293" s="53" t="s">
        <v>198</v>
      </c>
      <c r="F293" s="24">
        <f t="shared" si="5"/>
        <v>200</v>
      </c>
      <c r="G293" s="24" t="s">
        <v>77</v>
      </c>
      <c r="H293" s="25"/>
      <c r="I293" s="25"/>
      <c r="J293" s="57"/>
      <c r="K293" s="24"/>
      <c r="L293" s="24"/>
      <c r="M293" s="24"/>
      <c r="N293" s="24"/>
      <c r="O293" s="24"/>
      <c r="P293" s="24"/>
      <c r="Q293" s="24"/>
      <c r="R293" s="43"/>
      <c r="S293" s="24">
        <v>200</v>
      </c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36"/>
      <c r="AG293" s="36"/>
      <c r="AH293" s="36"/>
      <c r="AI293" s="36"/>
    </row>
    <row r="294" s="1" customFormat="1" customHeight="1" spans="1:35">
      <c r="A294" s="17">
        <v>291</v>
      </c>
      <c r="B294" s="20">
        <v>46123</v>
      </c>
      <c r="C294" s="56" t="s">
        <v>84</v>
      </c>
      <c r="D294" s="22" t="str" cm="1">
        <f t="array" ref="D294">INDEX([1]Sheet2!A:A,MATCH(E294,[1]Sheet2!B:B,0))</f>
        <v>莫靖凡</v>
      </c>
      <c r="E294" s="57" t="s">
        <v>85</v>
      </c>
      <c r="F294" s="24">
        <f t="shared" si="5"/>
        <v>50</v>
      </c>
      <c r="G294" s="24" t="s">
        <v>77</v>
      </c>
      <c r="H294" s="25"/>
      <c r="I294" s="25"/>
      <c r="J294" s="60"/>
      <c r="K294" s="24"/>
      <c r="L294" s="24"/>
      <c r="M294" s="24"/>
      <c r="N294" s="24"/>
      <c r="O294" s="24"/>
      <c r="P294" s="24"/>
      <c r="Q294" s="24"/>
      <c r="R294" s="43"/>
      <c r="S294" s="24">
        <v>50</v>
      </c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36"/>
      <c r="AG294" s="36"/>
      <c r="AH294" s="36"/>
      <c r="AI294" s="36"/>
    </row>
    <row r="295" s="1" customFormat="1" customHeight="1" spans="1:35">
      <c r="A295" s="17">
        <v>292</v>
      </c>
      <c r="B295" s="20">
        <v>46123</v>
      </c>
      <c r="C295" s="56" t="s">
        <v>109</v>
      </c>
      <c r="D295" s="22" t="str" cm="1">
        <f t="array" ref="D295">INDEX([1]Sheet2!A:A,MATCH(E295,[1]Sheet2!B:B,0))</f>
        <v>杨美丽</v>
      </c>
      <c r="E295" s="23" t="s">
        <v>110</v>
      </c>
      <c r="F295" s="24">
        <f t="shared" si="5"/>
        <v>200</v>
      </c>
      <c r="G295" s="24" t="s">
        <v>77</v>
      </c>
      <c r="H295" s="25"/>
      <c r="I295" s="25"/>
      <c r="J295" s="24"/>
      <c r="K295" s="24"/>
      <c r="L295" s="57"/>
      <c r="M295" s="24"/>
      <c r="N295" s="24"/>
      <c r="O295" s="24"/>
      <c r="P295" s="24"/>
      <c r="Q295" s="24"/>
      <c r="R295" s="43"/>
      <c r="S295" s="24">
        <v>200</v>
      </c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36"/>
      <c r="AG295" s="36"/>
      <c r="AH295" s="36"/>
      <c r="AI295" s="36"/>
    </row>
    <row r="296" s="1" customFormat="1" customHeight="1" spans="1:35">
      <c r="A296" s="17">
        <v>293</v>
      </c>
      <c r="B296" s="20">
        <v>46123</v>
      </c>
      <c r="C296" s="26" t="s">
        <v>385</v>
      </c>
      <c r="D296" s="22" t="str" cm="1">
        <f t="array" ref="D296">INDEX([1]Sheet2!A:A,MATCH(E296,[1]Sheet2!B:B,0))</f>
        <v>衡阳树山文化传媒有限公司</v>
      </c>
      <c r="E296" s="23" t="s">
        <v>386</v>
      </c>
      <c r="F296" s="24">
        <f t="shared" si="5"/>
        <v>400</v>
      </c>
      <c r="G296" s="24" t="s">
        <v>77</v>
      </c>
      <c r="H296" s="25"/>
      <c r="I296" s="25"/>
      <c r="J296" s="24"/>
      <c r="K296" s="24"/>
      <c r="L296" s="24"/>
      <c r="M296" s="24"/>
      <c r="N296" s="24"/>
      <c r="O296" s="24"/>
      <c r="P296" s="24"/>
      <c r="Q296" s="24"/>
      <c r="R296" s="43"/>
      <c r="S296" s="24">
        <v>400</v>
      </c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36"/>
      <c r="AG296" s="36"/>
      <c r="AH296" s="36"/>
      <c r="AI296" s="36"/>
    </row>
    <row r="297" s="1" customFormat="1" customHeight="1" spans="1:35">
      <c r="A297" s="17">
        <v>294</v>
      </c>
      <c r="B297" s="20">
        <v>46123</v>
      </c>
      <c r="C297" s="26" t="s">
        <v>201</v>
      </c>
      <c r="D297" s="22" t="str" cm="1">
        <f t="array" ref="D297">INDEX([1]Sheet2!A:A,MATCH(E297,[1]Sheet2!B:B,0))</f>
        <v>阳小华</v>
      </c>
      <c r="E297" s="23" t="s">
        <v>202</v>
      </c>
      <c r="F297" s="24">
        <f t="shared" si="5"/>
        <v>200</v>
      </c>
      <c r="G297" s="24" t="s">
        <v>77</v>
      </c>
      <c r="H297" s="25"/>
      <c r="I297" s="25"/>
      <c r="J297" s="24"/>
      <c r="K297" s="24"/>
      <c r="L297" s="24"/>
      <c r="M297" s="24"/>
      <c r="N297" s="24"/>
      <c r="O297" s="24"/>
      <c r="P297" s="24"/>
      <c r="Q297" s="24"/>
      <c r="R297" s="43"/>
      <c r="S297" s="24">
        <v>200</v>
      </c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36"/>
      <c r="AG297" s="36"/>
      <c r="AH297" s="36"/>
      <c r="AI297" s="36"/>
    </row>
    <row r="298" s="1" customFormat="1" customHeight="1" spans="1:35">
      <c r="A298" s="17">
        <v>295</v>
      </c>
      <c r="B298" s="20">
        <v>46123</v>
      </c>
      <c r="C298" s="26" t="s">
        <v>199</v>
      </c>
      <c r="D298" s="22" t="str" cm="1">
        <f t="array" ref="D298">INDEX([1]Sheet2!A:A,MATCH(E298,[1]Sheet2!B:B,0))</f>
        <v>唐向群</v>
      </c>
      <c r="E298" s="23" t="s">
        <v>200</v>
      </c>
      <c r="F298" s="24">
        <f t="shared" si="5"/>
        <v>1000</v>
      </c>
      <c r="G298" s="24" t="s">
        <v>77</v>
      </c>
      <c r="H298" s="25"/>
      <c r="I298" s="25"/>
      <c r="J298" s="24"/>
      <c r="K298" s="24"/>
      <c r="L298" s="24"/>
      <c r="M298" s="24"/>
      <c r="N298" s="24"/>
      <c r="O298" s="24"/>
      <c r="P298" s="24"/>
      <c r="Q298" s="24"/>
      <c r="R298" s="43"/>
      <c r="S298" s="24">
        <v>1000</v>
      </c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36"/>
      <c r="AG298" s="36"/>
      <c r="AH298" s="36"/>
      <c r="AI298" s="36"/>
    </row>
    <row r="299" s="1" customFormat="1" customHeight="1" spans="1:35">
      <c r="A299" s="17">
        <v>296</v>
      </c>
      <c r="B299" s="20">
        <v>46123</v>
      </c>
      <c r="C299" s="26" t="s">
        <v>158</v>
      </c>
      <c r="D299" s="22" t="str" cm="1">
        <f t="array" ref="D299">INDEX([1]Sheet2!A:A,MATCH(E299,[1]Sheet2!B:B,0))</f>
        <v>刘香</v>
      </c>
      <c r="E299" s="23" t="s">
        <v>159</v>
      </c>
      <c r="F299" s="24">
        <f t="shared" si="5"/>
        <v>1000</v>
      </c>
      <c r="G299" s="24" t="s">
        <v>77</v>
      </c>
      <c r="H299" s="25"/>
      <c r="I299" s="25"/>
      <c r="J299" s="24"/>
      <c r="K299" s="24"/>
      <c r="L299" s="24"/>
      <c r="M299" s="24"/>
      <c r="N299" s="24"/>
      <c r="O299" s="24"/>
      <c r="P299" s="24"/>
      <c r="Q299" s="24"/>
      <c r="R299" s="43"/>
      <c r="S299" s="24">
        <v>1000</v>
      </c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36"/>
      <c r="AG299" s="36"/>
      <c r="AH299" s="36"/>
      <c r="AI299" s="36"/>
    </row>
    <row r="300" s="1" customFormat="1" customHeight="1" spans="1:35">
      <c r="A300" s="17">
        <v>297</v>
      </c>
      <c r="B300" s="20">
        <v>46123</v>
      </c>
      <c r="C300" s="26" t="s">
        <v>156</v>
      </c>
      <c r="D300" s="22" t="str" cm="1">
        <f t="array" ref="D300">INDEX([1]Sheet2!A:A,MATCH(E300,[1]Sheet2!B:B,0))</f>
        <v>刘露</v>
      </c>
      <c r="E300" s="23" t="s">
        <v>157</v>
      </c>
      <c r="F300" s="24">
        <f t="shared" si="5"/>
        <v>100</v>
      </c>
      <c r="G300" s="24" t="s">
        <v>77</v>
      </c>
      <c r="H300" s="25"/>
      <c r="I300" s="25"/>
      <c r="J300" s="24"/>
      <c r="K300" s="24"/>
      <c r="L300" s="24"/>
      <c r="M300" s="24"/>
      <c r="N300" s="24"/>
      <c r="O300" s="24"/>
      <c r="P300" s="24"/>
      <c r="Q300" s="24"/>
      <c r="R300" s="43"/>
      <c r="S300" s="24">
        <v>100</v>
      </c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36"/>
      <c r="AG300" s="36"/>
      <c r="AH300" s="36"/>
      <c r="AI300" s="36"/>
    </row>
    <row r="301" s="1" customFormat="1" customHeight="1" spans="1:35">
      <c r="A301" s="17">
        <v>298</v>
      </c>
      <c r="B301" s="20">
        <v>46123</v>
      </c>
      <c r="C301" s="26" t="s">
        <v>129</v>
      </c>
      <c r="D301" s="22" t="str" cm="1">
        <f t="array" ref="D301">INDEX([1]Sheet2!A:A,MATCH(E301,[1]Sheet2!B:B,0))</f>
        <v>张成菊</v>
      </c>
      <c r="E301" s="23" t="s">
        <v>130</v>
      </c>
      <c r="F301" s="24">
        <f t="shared" si="5"/>
        <v>1000</v>
      </c>
      <c r="G301" s="24" t="s">
        <v>77</v>
      </c>
      <c r="H301" s="25"/>
      <c r="I301" s="25"/>
      <c r="J301" s="24"/>
      <c r="K301" s="24"/>
      <c r="L301" s="24"/>
      <c r="M301" s="24"/>
      <c r="N301" s="24"/>
      <c r="O301" s="24"/>
      <c r="P301" s="24"/>
      <c r="Q301" s="24"/>
      <c r="R301" s="43"/>
      <c r="S301" s="24">
        <v>1000</v>
      </c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36"/>
      <c r="AG301" s="36"/>
      <c r="AH301" s="36"/>
      <c r="AI301" s="36"/>
    </row>
    <row r="302" s="1" customFormat="1" customHeight="1" spans="1:35">
      <c r="A302" s="17">
        <v>299</v>
      </c>
      <c r="B302" s="20">
        <v>46123</v>
      </c>
      <c r="C302" s="26" t="s">
        <v>406</v>
      </c>
      <c r="D302" s="22" t="str" cm="1">
        <f t="array" ref="D302">INDEX([1]Sheet2!A:A,MATCH(E302,[1]Sheet2!B:B,0))</f>
        <v>魏香英</v>
      </c>
      <c r="E302" s="23" t="s">
        <v>407</v>
      </c>
      <c r="F302" s="24">
        <f t="shared" si="5"/>
        <v>1000</v>
      </c>
      <c r="G302" s="24" t="s">
        <v>77</v>
      </c>
      <c r="H302" s="25"/>
      <c r="I302" s="25"/>
      <c r="J302" s="24"/>
      <c r="K302" s="24"/>
      <c r="L302" s="24"/>
      <c r="M302" s="24"/>
      <c r="N302" s="24"/>
      <c r="O302" s="24"/>
      <c r="P302" s="24"/>
      <c r="Q302" s="24"/>
      <c r="R302" s="43"/>
      <c r="S302" s="24">
        <v>1000</v>
      </c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36"/>
      <c r="AG302" s="36"/>
      <c r="AH302" s="36"/>
      <c r="AI302" s="36"/>
    </row>
    <row r="303" s="1" customFormat="1" customHeight="1" spans="1:35">
      <c r="A303" s="17">
        <v>300</v>
      </c>
      <c r="B303" s="20">
        <v>46123</v>
      </c>
      <c r="C303" s="26" t="s">
        <v>408</v>
      </c>
      <c r="D303" s="22" t="str" cm="1">
        <f t="array" ref="D303">INDEX([1]Sheet2!A:A,MATCH(E303,[1]Sheet2!B:B,0))</f>
        <v>朱为星</v>
      </c>
      <c r="E303" s="23" t="s">
        <v>409</v>
      </c>
      <c r="F303" s="24">
        <f t="shared" si="5"/>
        <v>200</v>
      </c>
      <c r="G303" s="24" t="s">
        <v>77</v>
      </c>
      <c r="H303" s="25"/>
      <c r="I303" s="25"/>
      <c r="J303" s="24"/>
      <c r="K303" s="24"/>
      <c r="L303" s="24"/>
      <c r="M303" s="24"/>
      <c r="N303" s="24"/>
      <c r="O303" s="24"/>
      <c r="P303" s="24"/>
      <c r="Q303" s="24"/>
      <c r="R303" s="43"/>
      <c r="S303" s="24">
        <v>200</v>
      </c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36"/>
      <c r="AG303" s="36"/>
      <c r="AH303" s="36"/>
      <c r="AI303" s="36"/>
    </row>
    <row r="304" s="1" customFormat="1" customHeight="1" spans="1:35">
      <c r="A304" s="17">
        <v>301</v>
      </c>
      <c r="B304" s="20">
        <v>46123</v>
      </c>
      <c r="C304" s="26" t="s">
        <v>67</v>
      </c>
      <c r="D304" s="22" t="str" cm="1">
        <f t="array" ref="D304">INDEX([1]Sheet2!A:A,MATCH(E304,[1]Sheet2!B:B,0))</f>
        <v>李辉</v>
      </c>
      <c r="E304" s="23" t="s">
        <v>410</v>
      </c>
      <c r="F304" s="24">
        <f t="shared" si="5"/>
        <v>100</v>
      </c>
      <c r="G304" s="24" t="s">
        <v>77</v>
      </c>
      <c r="H304" s="25"/>
      <c r="I304" s="25"/>
      <c r="J304" s="24"/>
      <c r="K304" s="24"/>
      <c r="L304" s="24"/>
      <c r="M304" s="24"/>
      <c r="N304" s="24"/>
      <c r="O304" s="24"/>
      <c r="P304" s="24"/>
      <c r="Q304" s="24"/>
      <c r="R304" s="43"/>
      <c r="S304" s="24">
        <v>100</v>
      </c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36"/>
      <c r="AG304" s="36"/>
      <c r="AH304" s="36"/>
      <c r="AI304" s="36"/>
    </row>
    <row r="305" s="1" customFormat="1" customHeight="1" spans="1:35">
      <c r="A305" s="17">
        <v>302</v>
      </c>
      <c r="B305" s="20">
        <v>46123</v>
      </c>
      <c r="C305" s="26" t="s">
        <v>111</v>
      </c>
      <c r="D305" s="22" t="str" cm="1">
        <f t="array" ref="D305">INDEX([1]Sheet2!A:A,MATCH(E305,[1]Sheet2!B:B,0))</f>
        <v>邹德峰</v>
      </c>
      <c r="E305" s="23" t="s">
        <v>112</v>
      </c>
      <c r="F305" s="24">
        <f t="shared" si="5"/>
        <v>500</v>
      </c>
      <c r="G305" s="24" t="s">
        <v>77</v>
      </c>
      <c r="H305" s="25"/>
      <c r="I305" s="25"/>
      <c r="J305" s="24"/>
      <c r="K305" s="24"/>
      <c r="L305" s="24"/>
      <c r="M305" s="24"/>
      <c r="N305" s="24"/>
      <c r="O305" s="24"/>
      <c r="P305" s="24"/>
      <c r="Q305" s="24"/>
      <c r="R305" s="43"/>
      <c r="S305" s="24">
        <v>500</v>
      </c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36"/>
      <c r="AG305" s="36"/>
      <c r="AH305" s="36"/>
      <c r="AI305" s="36"/>
    </row>
    <row r="306" s="1" customFormat="1" customHeight="1" spans="1:35">
      <c r="A306" s="17">
        <v>303</v>
      </c>
      <c r="B306" s="20">
        <v>46123</v>
      </c>
      <c r="C306" s="26" t="s">
        <v>86</v>
      </c>
      <c r="D306" s="22" t="str" cm="1">
        <f t="array" ref="D306">INDEX([1]Sheet2!A:A,MATCH(E306,[1]Sheet2!B:B,0))</f>
        <v>吴革民</v>
      </c>
      <c r="E306" s="23" t="s">
        <v>87</v>
      </c>
      <c r="F306" s="24">
        <f t="shared" si="5"/>
        <v>200</v>
      </c>
      <c r="G306" s="24" t="s">
        <v>77</v>
      </c>
      <c r="H306" s="25"/>
      <c r="I306" s="25"/>
      <c r="J306" s="24"/>
      <c r="K306" s="24"/>
      <c r="L306" s="24"/>
      <c r="M306" s="24"/>
      <c r="N306" s="24"/>
      <c r="O306" s="24"/>
      <c r="P306" s="24"/>
      <c r="Q306" s="24"/>
      <c r="R306" s="43"/>
      <c r="S306" s="24">
        <v>200</v>
      </c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36"/>
      <c r="AG306" s="36"/>
      <c r="AH306" s="36"/>
      <c r="AI306" s="36"/>
    </row>
    <row r="307" s="1" customFormat="1" customHeight="1" spans="1:35">
      <c r="A307" s="17">
        <v>304</v>
      </c>
      <c r="B307" s="20">
        <v>46123</v>
      </c>
      <c r="C307" s="26" t="s">
        <v>80</v>
      </c>
      <c r="D307" s="22" t="str" cm="1">
        <f t="array" ref="D307">INDEX([1]Sheet2!A:A,MATCH(E307,[1]Sheet2!B:B,0))</f>
        <v>汪天皓</v>
      </c>
      <c r="E307" s="23" t="s">
        <v>81</v>
      </c>
      <c r="F307" s="24">
        <f t="shared" si="5"/>
        <v>500</v>
      </c>
      <c r="G307" s="24" t="s">
        <v>77</v>
      </c>
      <c r="H307" s="25"/>
      <c r="I307" s="25"/>
      <c r="J307" s="24"/>
      <c r="K307" s="24"/>
      <c r="L307" s="24"/>
      <c r="M307" s="24"/>
      <c r="N307" s="24"/>
      <c r="O307" s="24"/>
      <c r="P307" s="24"/>
      <c r="Q307" s="24"/>
      <c r="R307" s="43"/>
      <c r="S307" s="24">
        <v>500</v>
      </c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36"/>
      <c r="AG307" s="36"/>
      <c r="AH307" s="36"/>
      <c r="AI307" s="36"/>
    </row>
    <row r="308" s="1" customFormat="1" customHeight="1" spans="1:35">
      <c r="A308" s="17">
        <v>305</v>
      </c>
      <c r="B308" s="20">
        <v>46123</v>
      </c>
      <c r="C308" s="26" t="s">
        <v>199</v>
      </c>
      <c r="D308" s="22" t="str" cm="1">
        <f t="array" ref="D308">INDEX([1]Sheet2!A:A,MATCH(E308,[1]Sheet2!B:B,0))</f>
        <v>唐向群</v>
      </c>
      <c r="E308" s="23" t="s">
        <v>200</v>
      </c>
      <c r="F308" s="24">
        <f t="shared" si="5"/>
        <v>1000</v>
      </c>
      <c r="G308" s="24" t="s">
        <v>77</v>
      </c>
      <c r="H308" s="25"/>
      <c r="I308" s="25"/>
      <c r="J308" s="24"/>
      <c r="K308" s="24"/>
      <c r="L308" s="24"/>
      <c r="M308" s="24"/>
      <c r="N308" s="24"/>
      <c r="O308" s="24"/>
      <c r="P308" s="24"/>
      <c r="Q308" s="24"/>
      <c r="R308" s="43"/>
      <c r="S308" s="24">
        <v>1000</v>
      </c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36"/>
      <c r="AG308" s="36"/>
      <c r="AH308" s="36"/>
      <c r="AI308" s="36"/>
    </row>
    <row r="309" s="1" customFormat="1" customHeight="1" spans="1:35">
      <c r="A309" s="17">
        <v>306</v>
      </c>
      <c r="B309" s="20">
        <v>46123</v>
      </c>
      <c r="C309" s="26" t="s">
        <v>411</v>
      </c>
      <c r="D309" s="22" t="str" cm="1">
        <f t="array" ref="D309">INDEX([1]Sheet2!A:A,MATCH(E309,[1]Sheet2!B:B,0))</f>
        <v>贺驰</v>
      </c>
      <c r="E309" s="23" t="s">
        <v>412</v>
      </c>
      <c r="F309" s="24">
        <f t="shared" si="5"/>
        <v>500</v>
      </c>
      <c r="G309" s="24" t="s">
        <v>77</v>
      </c>
      <c r="H309" s="25"/>
      <c r="I309" s="25"/>
      <c r="J309" s="24"/>
      <c r="K309" s="24"/>
      <c r="L309" s="24"/>
      <c r="M309" s="24"/>
      <c r="N309" s="24"/>
      <c r="O309" s="24"/>
      <c r="P309" s="24"/>
      <c r="Q309" s="24"/>
      <c r="R309" s="43"/>
      <c r="S309" s="24">
        <v>500</v>
      </c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36"/>
      <c r="AG309" s="36"/>
      <c r="AH309" s="36"/>
      <c r="AI309" s="36"/>
    </row>
    <row r="310" s="1" customFormat="1" customHeight="1" spans="1:35">
      <c r="A310" s="17">
        <v>307</v>
      </c>
      <c r="B310" s="20">
        <v>46123</v>
      </c>
      <c r="C310" s="26" t="s">
        <v>411</v>
      </c>
      <c r="D310" s="22" t="str" cm="1">
        <f t="array" ref="D310">INDEX([1]Sheet2!A:A,MATCH(E310,[1]Sheet2!B:B,0))</f>
        <v>贺驰</v>
      </c>
      <c r="E310" s="23" t="s">
        <v>412</v>
      </c>
      <c r="F310" s="24">
        <f t="shared" si="5"/>
        <v>500</v>
      </c>
      <c r="G310" s="24" t="s">
        <v>77</v>
      </c>
      <c r="H310" s="25"/>
      <c r="I310" s="25"/>
      <c r="J310" s="24"/>
      <c r="K310" s="24"/>
      <c r="L310" s="24"/>
      <c r="M310" s="24"/>
      <c r="N310" s="24"/>
      <c r="O310" s="24"/>
      <c r="P310" s="24"/>
      <c r="Q310" s="24"/>
      <c r="R310" s="43"/>
      <c r="S310" s="24">
        <v>500</v>
      </c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36"/>
      <c r="AG310" s="36"/>
      <c r="AH310" s="36"/>
      <c r="AI310" s="36"/>
    </row>
    <row r="311" s="1" customFormat="1" customHeight="1" spans="1:35">
      <c r="A311" s="17">
        <v>308</v>
      </c>
      <c r="B311" s="20">
        <v>46123</v>
      </c>
      <c r="C311" s="26" t="s">
        <v>24</v>
      </c>
      <c r="D311" s="22" t="str" cm="1">
        <f t="array" ref="D311">INDEX([1]Sheet2!A:A,MATCH(E311,[1]Sheet2!B:B,0))</f>
        <v>临时</v>
      </c>
      <c r="E311" s="23" t="s">
        <v>99</v>
      </c>
      <c r="F311" s="24">
        <f t="shared" si="5"/>
        <v>663</v>
      </c>
      <c r="G311" s="24" t="s">
        <v>100</v>
      </c>
      <c r="H311" s="25"/>
      <c r="I311" s="25"/>
      <c r="J311" s="24"/>
      <c r="K311" s="24"/>
      <c r="L311" s="24"/>
      <c r="M311" s="24"/>
      <c r="N311" s="24"/>
      <c r="O311" s="24"/>
      <c r="P311" s="24"/>
      <c r="Q311" s="24"/>
      <c r="R311" s="43"/>
      <c r="S311" s="24"/>
      <c r="T311" s="24"/>
      <c r="U311" s="24"/>
      <c r="V311" s="24"/>
      <c r="W311" s="24">
        <v>663</v>
      </c>
      <c r="X311" s="24"/>
      <c r="Y311" s="24"/>
      <c r="Z311" s="24"/>
      <c r="AA311" s="24"/>
      <c r="AB311" s="24"/>
      <c r="AC311" s="24"/>
      <c r="AD311" s="24"/>
      <c r="AE311" s="24"/>
      <c r="AF311" s="36"/>
      <c r="AG311" s="36"/>
      <c r="AH311" s="36"/>
      <c r="AI311" s="36"/>
    </row>
    <row r="312" s="1" customFormat="1" customHeight="1" spans="1:35">
      <c r="A312" s="17">
        <v>309</v>
      </c>
      <c r="B312" s="20">
        <v>46124</v>
      </c>
      <c r="C312" s="26" t="s">
        <v>326</v>
      </c>
      <c r="D312" s="22" t="s">
        <v>413</v>
      </c>
      <c r="E312" s="58" t="s">
        <v>414</v>
      </c>
      <c r="F312" s="24">
        <f t="shared" si="5"/>
        <v>20000</v>
      </c>
      <c r="G312" s="24" t="s">
        <v>40</v>
      </c>
      <c r="H312" s="25"/>
      <c r="I312" s="25"/>
      <c r="J312" s="24"/>
      <c r="K312" s="24"/>
      <c r="L312" s="24"/>
      <c r="M312" s="24"/>
      <c r="N312" s="24"/>
      <c r="O312" s="24"/>
      <c r="P312" s="24"/>
      <c r="Q312" s="24"/>
      <c r="R312" s="43"/>
      <c r="S312" s="24"/>
      <c r="T312" s="24"/>
      <c r="U312" s="24"/>
      <c r="V312" s="24"/>
      <c r="W312" s="24"/>
      <c r="X312" s="24">
        <v>20000</v>
      </c>
      <c r="Y312" s="24"/>
      <c r="Z312" s="24"/>
      <c r="AA312" s="24"/>
      <c r="AB312" s="24"/>
      <c r="AC312" s="24"/>
      <c r="AD312" s="24"/>
      <c r="AE312" s="24"/>
      <c r="AF312" s="36"/>
      <c r="AG312" s="36"/>
      <c r="AH312" s="36"/>
      <c r="AI312" s="36"/>
    </row>
    <row r="313" s="2" customFormat="1" customHeight="1" spans="1:35">
      <c r="A313" s="27">
        <v>310</v>
      </c>
      <c r="B313" s="28">
        <v>46124</v>
      </c>
      <c r="C313" s="34" t="s">
        <v>28</v>
      </c>
      <c r="D313" s="30" t="s">
        <v>415</v>
      </c>
      <c r="E313" s="59"/>
      <c r="F313" s="32">
        <f t="shared" si="5"/>
        <v>20000</v>
      </c>
      <c r="G313" s="32" t="s">
        <v>40</v>
      </c>
      <c r="H313" s="33"/>
      <c r="I313" s="33"/>
      <c r="J313" s="32"/>
      <c r="K313" s="32"/>
      <c r="L313" s="32"/>
      <c r="M313" s="32"/>
      <c r="N313" s="32"/>
      <c r="O313" s="32"/>
      <c r="P313" s="32"/>
      <c r="Q313" s="32"/>
      <c r="R313" s="45"/>
      <c r="S313" s="32"/>
      <c r="T313" s="32"/>
      <c r="U313" s="32"/>
      <c r="V313" s="32"/>
      <c r="W313" s="32"/>
      <c r="X313" s="32"/>
      <c r="Y313" s="32"/>
      <c r="Z313" s="32"/>
      <c r="AA313" s="32">
        <v>20000</v>
      </c>
      <c r="AB313" s="32"/>
      <c r="AC313" s="32"/>
      <c r="AD313" s="32"/>
      <c r="AE313" s="32"/>
      <c r="AF313" s="35" t="s">
        <v>60</v>
      </c>
      <c r="AG313" s="35"/>
      <c r="AH313" s="35"/>
      <c r="AI313" s="35"/>
    </row>
    <row r="314" s="1" customFormat="1" customHeight="1" spans="1:35">
      <c r="A314" s="17">
        <v>311</v>
      </c>
      <c r="B314" s="20">
        <v>46124</v>
      </c>
      <c r="C314" s="21" t="s">
        <v>416</v>
      </c>
      <c r="D314" s="22" t="str" cm="1">
        <f t="array" ref="D314">INDEX([1]Sheet2!A:A,MATCH(E314,[1]Sheet2!B:B,0))</f>
        <v>周健虎</v>
      </c>
      <c r="E314" s="58" t="s">
        <v>417</v>
      </c>
      <c r="F314" s="24">
        <f t="shared" si="5"/>
        <v>500</v>
      </c>
      <c r="G314" s="24" t="s">
        <v>40</v>
      </c>
      <c r="H314" s="25">
        <v>46054</v>
      </c>
      <c r="I314" s="25">
        <v>46112</v>
      </c>
      <c r="J314" s="24"/>
      <c r="K314" s="24"/>
      <c r="L314" s="24"/>
      <c r="M314" s="24"/>
      <c r="N314" s="24"/>
      <c r="O314" s="24"/>
      <c r="P314" s="24"/>
      <c r="Q314" s="24">
        <v>500</v>
      </c>
      <c r="R314" s="43"/>
      <c r="S314" s="24"/>
      <c r="T314" s="24"/>
      <c r="U314" s="24"/>
      <c r="V314" s="24"/>
      <c r="W314" s="58"/>
      <c r="X314" s="24"/>
      <c r="Y314" s="24"/>
      <c r="Z314" s="24"/>
      <c r="AA314" s="24"/>
      <c r="AB314" s="24"/>
      <c r="AC314" s="24"/>
      <c r="AD314" s="24"/>
      <c r="AE314" s="24"/>
      <c r="AF314" s="36"/>
      <c r="AG314" s="36"/>
      <c r="AH314" s="36"/>
      <c r="AI314" s="36"/>
    </row>
    <row r="315" s="1" customFormat="1" customHeight="1" spans="1:35">
      <c r="A315" s="17">
        <v>312</v>
      </c>
      <c r="B315" s="20">
        <v>46124</v>
      </c>
      <c r="C315" s="21" t="s">
        <v>224</v>
      </c>
      <c r="D315" s="22" t="s">
        <v>418</v>
      </c>
      <c r="E315" s="58" t="s">
        <v>286</v>
      </c>
      <c r="F315" s="24">
        <f t="shared" si="5"/>
        <v>76416.27</v>
      </c>
      <c r="G315" s="24" t="s">
        <v>40</v>
      </c>
      <c r="H315" s="25">
        <v>46093</v>
      </c>
      <c r="I315" s="25">
        <v>46203</v>
      </c>
      <c r="J315" s="24">
        <v>67462.13</v>
      </c>
      <c r="K315" s="24">
        <v>8771.67</v>
      </c>
      <c r="L315" s="24"/>
      <c r="M315" s="24"/>
      <c r="N315" s="24"/>
      <c r="O315" s="24"/>
      <c r="P315" s="24"/>
      <c r="Q315" s="24"/>
      <c r="R315" s="62"/>
      <c r="S315" s="24"/>
      <c r="T315" s="24"/>
      <c r="U315" s="24"/>
      <c r="V315" s="24"/>
      <c r="W315" s="24"/>
      <c r="X315" s="24"/>
      <c r="Y315" s="24"/>
      <c r="Z315" s="24"/>
      <c r="AA315" s="24">
        <v>182.47</v>
      </c>
      <c r="AB315" s="24"/>
      <c r="AC315" s="24"/>
      <c r="AD315" s="24"/>
      <c r="AE315" s="24"/>
      <c r="AF315" s="36"/>
      <c r="AG315" s="36"/>
      <c r="AH315" s="36"/>
      <c r="AI315" s="36"/>
    </row>
    <row r="316" s="1" customFormat="1" customHeight="1" spans="1:35">
      <c r="A316" s="17">
        <v>313</v>
      </c>
      <c r="B316" s="20">
        <v>46124</v>
      </c>
      <c r="C316" s="21" t="s">
        <v>224</v>
      </c>
      <c r="D316" s="22" t="s">
        <v>418</v>
      </c>
      <c r="E316" s="58" t="s">
        <v>286</v>
      </c>
      <c r="F316" s="24">
        <f t="shared" si="5"/>
        <v>30016</v>
      </c>
      <c r="G316" s="24" t="s">
        <v>40</v>
      </c>
      <c r="H316" s="25">
        <v>46093</v>
      </c>
      <c r="I316" s="25">
        <v>46457</v>
      </c>
      <c r="J316" s="24"/>
      <c r="K316" s="24"/>
      <c r="L316" s="24">
        <v>3000</v>
      </c>
      <c r="M316" s="24"/>
      <c r="N316" s="24"/>
      <c r="O316" s="24"/>
      <c r="P316" s="24"/>
      <c r="Q316" s="24"/>
      <c r="R316" s="43"/>
      <c r="S316" s="24"/>
      <c r="T316" s="24"/>
      <c r="U316" s="24"/>
      <c r="V316" s="58"/>
      <c r="W316" s="24"/>
      <c r="X316" s="24"/>
      <c r="Y316" s="24"/>
      <c r="Z316" s="24">
        <v>27016</v>
      </c>
      <c r="AA316" s="24"/>
      <c r="AB316" s="24"/>
      <c r="AC316" s="24"/>
      <c r="AD316" s="24"/>
      <c r="AE316" s="24"/>
      <c r="AF316" s="36" t="s">
        <v>419</v>
      </c>
      <c r="AG316" s="36" t="s">
        <v>50</v>
      </c>
      <c r="AH316" s="36">
        <v>7472843</v>
      </c>
      <c r="AI316" s="36" t="s">
        <v>420</v>
      </c>
    </row>
    <row r="317" s="1" customFormat="1" customHeight="1" spans="1:35">
      <c r="A317" s="17">
        <v>314</v>
      </c>
      <c r="B317" s="20">
        <v>46124</v>
      </c>
      <c r="C317" s="21" t="s">
        <v>421</v>
      </c>
      <c r="D317" s="22" t="str" cm="1">
        <f t="array" ref="D317">INDEX([1]Sheet2!A:A,MATCH(E317,[1]Sheet2!B:B,0))</f>
        <v>汤菊</v>
      </c>
      <c r="E317" s="23" t="s">
        <v>422</v>
      </c>
      <c r="F317" s="24">
        <f t="shared" si="5"/>
        <v>1367.36</v>
      </c>
      <c r="G317" s="24" t="s">
        <v>49</v>
      </c>
      <c r="H317" s="25">
        <v>46023</v>
      </c>
      <c r="I317" s="25">
        <v>46112</v>
      </c>
      <c r="J317" s="24"/>
      <c r="K317" s="24"/>
      <c r="L317" s="24"/>
      <c r="M317" s="24"/>
      <c r="N317" s="24"/>
      <c r="O317" s="24"/>
      <c r="P317" s="24"/>
      <c r="Q317" s="24">
        <v>164.16</v>
      </c>
      <c r="R317" s="43">
        <v>1203.2</v>
      </c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36"/>
      <c r="AG317" s="36"/>
      <c r="AH317" s="36"/>
      <c r="AI317" s="36"/>
    </row>
    <row r="318" s="1" customFormat="1" customHeight="1" spans="1:35">
      <c r="A318" s="17">
        <v>315</v>
      </c>
      <c r="B318" s="20">
        <v>46124</v>
      </c>
      <c r="C318" s="26" t="s">
        <v>24</v>
      </c>
      <c r="D318" s="22" t="str" cm="1">
        <f t="array" ref="D318">INDEX([1]Sheet2!A:A,MATCH(E318,[1]Sheet2!B:B,0))</f>
        <v>充值</v>
      </c>
      <c r="E318" s="23" t="s">
        <v>72</v>
      </c>
      <c r="F318" s="24">
        <f t="shared" si="5"/>
        <v>300</v>
      </c>
      <c r="G318" s="24" t="s">
        <v>49</v>
      </c>
      <c r="H318" s="36"/>
      <c r="I318" s="36"/>
      <c r="J318" s="24"/>
      <c r="K318" s="24"/>
      <c r="L318" s="24"/>
      <c r="M318" s="24"/>
      <c r="N318" s="24"/>
      <c r="O318" s="24"/>
      <c r="P318" s="24"/>
      <c r="Q318" s="24"/>
      <c r="R318" s="43"/>
      <c r="S318" s="24"/>
      <c r="T318" s="24"/>
      <c r="U318" s="24"/>
      <c r="V318" s="24"/>
      <c r="W318" s="24">
        <v>300</v>
      </c>
      <c r="X318" s="24"/>
      <c r="Y318" s="24"/>
      <c r="Z318" s="24"/>
      <c r="AA318" s="24"/>
      <c r="AB318" s="24"/>
      <c r="AC318" s="24"/>
      <c r="AD318" s="24"/>
      <c r="AE318" s="24"/>
      <c r="AF318" s="36"/>
      <c r="AG318" s="36"/>
      <c r="AH318" s="36"/>
      <c r="AI318" s="36"/>
    </row>
    <row r="319" s="1" customFormat="1" customHeight="1" spans="1:35">
      <c r="A319" s="17">
        <v>316</v>
      </c>
      <c r="B319" s="20">
        <v>46124</v>
      </c>
      <c r="C319" s="26" t="s">
        <v>423</v>
      </c>
      <c r="D319" s="22" t="str" cm="1">
        <f t="array" ref="D319">INDEX([1]Sheet2!A:A,MATCH(E319,[1]Sheet2!B:B,0))</f>
        <v>唐歆</v>
      </c>
      <c r="E319" s="23" t="s">
        <v>424</v>
      </c>
      <c r="F319" s="24">
        <f t="shared" si="5"/>
        <v>72.96</v>
      </c>
      <c r="G319" s="24" t="s">
        <v>49</v>
      </c>
      <c r="H319" s="36"/>
      <c r="I319" s="36"/>
      <c r="J319" s="24"/>
      <c r="K319" s="24"/>
      <c r="L319" s="24"/>
      <c r="M319" s="24"/>
      <c r="N319" s="24"/>
      <c r="O319" s="24"/>
      <c r="P319" s="24"/>
      <c r="Q319" s="24">
        <v>72.96</v>
      </c>
      <c r="R319" s="43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36"/>
      <c r="AG319" s="36"/>
      <c r="AH319" s="36"/>
      <c r="AI319" s="36"/>
    </row>
    <row r="320" s="1" customFormat="1" customHeight="1" spans="1:35">
      <c r="A320" s="17">
        <v>317</v>
      </c>
      <c r="B320" s="20">
        <v>46124</v>
      </c>
      <c r="C320" s="26" t="s">
        <v>73</v>
      </c>
      <c r="D320" s="22" t="str" cm="1">
        <f t="array" ref="D320">INDEX([1]Sheet2!A:A,MATCH(E320,[1]Sheet2!B:B,0))</f>
        <v>衡阳志扬体育文化有限公司</v>
      </c>
      <c r="E320" s="23" t="s">
        <v>74</v>
      </c>
      <c r="F320" s="24">
        <f t="shared" si="5"/>
        <v>761</v>
      </c>
      <c r="G320" s="24" t="s">
        <v>49</v>
      </c>
      <c r="H320" s="36"/>
      <c r="I320" s="36"/>
      <c r="J320" s="24"/>
      <c r="K320" s="24"/>
      <c r="L320" s="24"/>
      <c r="M320" s="24"/>
      <c r="N320" s="24"/>
      <c r="O320" s="24"/>
      <c r="P320" s="24"/>
      <c r="Q320" s="24"/>
      <c r="R320" s="43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>
        <v>761</v>
      </c>
      <c r="AF320" s="36"/>
      <c r="AG320" s="36"/>
      <c r="AH320" s="36"/>
      <c r="AI320" s="36"/>
    </row>
    <row r="321" s="1" customFormat="1" customHeight="1" spans="1:35">
      <c r="A321" s="17">
        <v>318</v>
      </c>
      <c r="B321" s="20">
        <v>46124</v>
      </c>
      <c r="C321" s="26" t="s">
        <v>113</v>
      </c>
      <c r="D321" s="22" t="str" cm="1">
        <f t="array" ref="D321">INDEX([1]Sheet2!A:A,MATCH(E321,[1]Sheet2!B:B,0))</f>
        <v>湖南亮点体育文化发展有限公司</v>
      </c>
      <c r="E321" s="23" t="s">
        <v>114</v>
      </c>
      <c r="F321" s="24">
        <f t="shared" si="5"/>
        <v>100</v>
      </c>
      <c r="G321" s="24" t="s">
        <v>77</v>
      </c>
      <c r="H321" s="36"/>
      <c r="I321" s="36"/>
      <c r="J321" s="24"/>
      <c r="K321" s="24"/>
      <c r="L321" s="24"/>
      <c r="M321" s="24"/>
      <c r="N321" s="24"/>
      <c r="O321" s="24"/>
      <c r="P321" s="24"/>
      <c r="Q321" s="24"/>
      <c r="R321" s="43"/>
      <c r="S321" s="24">
        <v>100</v>
      </c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36"/>
      <c r="AG321" s="36"/>
      <c r="AH321" s="36"/>
      <c r="AI321" s="36"/>
    </row>
    <row r="322" s="1" customFormat="1" customHeight="1" spans="1:35">
      <c r="A322" s="17">
        <v>319</v>
      </c>
      <c r="B322" s="20">
        <v>46124</v>
      </c>
      <c r="C322" s="26" t="s">
        <v>115</v>
      </c>
      <c r="D322" s="22" t="str" cm="1">
        <f t="array" ref="D322">INDEX([1]Sheet2!A:A,MATCH(E322,[1]Sheet2!B:B,0))</f>
        <v>湖南亮点体育文化发展有限公司</v>
      </c>
      <c r="E322" s="23" t="s">
        <v>116</v>
      </c>
      <c r="F322" s="24">
        <f t="shared" si="5"/>
        <v>100</v>
      </c>
      <c r="G322" s="24" t="s">
        <v>77</v>
      </c>
      <c r="H322" s="36"/>
      <c r="I322" s="36"/>
      <c r="J322" s="24"/>
      <c r="K322" s="24"/>
      <c r="L322" s="24"/>
      <c r="M322" s="24"/>
      <c r="N322" s="24"/>
      <c r="O322" s="24"/>
      <c r="P322" s="24"/>
      <c r="Q322" s="24"/>
      <c r="R322" s="43"/>
      <c r="S322" s="24">
        <v>100</v>
      </c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36"/>
      <c r="AG322" s="36"/>
      <c r="AH322" s="36"/>
      <c r="AI322" s="36"/>
    </row>
    <row r="323" s="1" customFormat="1" customHeight="1" spans="1:35">
      <c r="A323" s="17">
        <v>320</v>
      </c>
      <c r="B323" s="20">
        <v>46124</v>
      </c>
      <c r="C323" s="26" t="s">
        <v>117</v>
      </c>
      <c r="D323" s="22" t="str" cm="1">
        <f t="array" ref="D323">INDEX([1]Sheet2!A:A,MATCH(E323,[1]Sheet2!B:B,0))</f>
        <v>湖南亮点体育文化发展有限公司</v>
      </c>
      <c r="E323" s="23" t="s">
        <v>118</v>
      </c>
      <c r="F323" s="24">
        <f t="shared" si="5"/>
        <v>100</v>
      </c>
      <c r="G323" s="24" t="s">
        <v>77</v>
      </c>
      <c r="H323" s="36"/>
      <c r="I323" s="36"/>
      <c r="J323" s="24"/>
      <c r="K323" s="24"/>
      <c r="L323" s="24"/>
      <c r="M323" s="24"/>
      <c r="N323" s="24"/>
      <c r="O323" s="24"/>
      <c r="P323" s="24"/>
      <c r="Q323" s="24"/>
      <c r="R323" s="43"/>
      <c r="S323" s="24">
        <v>100</v>
      </c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36"/>
      <c r="AG323" s="36"/>
      <c r="AH323" s="36"/>
      <c r="AI323" s="36"/>
    </row>
    <row r="324" s="1" customFormat="1" customHeight="1" spans="1:35">
      <c r="A324" s="17">
        <v>321</v>
      </c>
      <c r="B324" s="20">
        <v>46124</v>
      </c>
      <c r="C324" s="26" t="s">
        <v>119</v>
      </c>
      <c r="D324" s="22" t="str" cm="1">
        <f t="array" ref="D324">INDEX([1]Sheet2!A:A,MATCH(E324,[1]Sheet2!B:B,0))</f>
        <v>湖南亮点体育文化发展有限公司</v>
      </c>
      <c r="E324" s="23" t="s">
        <v>120</v>
      </c>
      <c r="F324" s="24">
        <f t="shared" ref="F324:F387" si="6">SUM(J324:AE324)</f>
        <v>100</v>
      </c>
      <c r="G324" s="24" t="s">
        <v>77</v>
      </c>
      <c r="H324" s="36"/>
      <c r="I324" s="36"/>
      <c r="J324" s="24"/>
      <c r="K324" s="24"/>
      <c r="L324" s="24"/>
      <c r="M324" s="24"/>
      <c r="N324" s="24"/>
      <c r="O324" s="24"/>
      <c r="P324" s="24"/>
      <c r="Q324" s="24"/>
      <c r="R324" s="43"/>
      <c r="S324" s="24">
        <v>100</v>
      </c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36"/>
      <c r="AG324" s="36"/>
      <c r="AH324" s="36"/>
      <c r="AI324" s="36"/>
    </row>
    <row r="325" s="1" customFormat="1" customHeight="1" spans="1:35">
      <c r="A325" s="17">
        <v>322</v>
      </c>
      <c r="B325" s="20">
        <v>46124</v>
      </c>
      <c r="C325" s="26" t="s">
        <v>121</v>
      </c>
      <c r="D325" s="22" t="str" cm="1">
        <f t="array" ref="D325">INDEX([1]Sheet2!A:A,MATCH(E325,[1]Sheet2!B:B,0))</f>
        <v>湖南亮点体育文化发展有限公司</v>
      </c>
      <c r="E325" s="23" t="s">
        <v>122</v>
      </c>
      <c r="F325" s="24">
        <f t="shared" si="6"/>
        <v>100</v>
      </c>
      <c r="G325" s="24" t="s">
        <v>77</v>
      </c>
      <c r="H325" s="36"/>
      <c r="I325" s="36"/>
      <c r="J325" s="24"/>
      <c r="K325" s="24"/>
      <c r="L325" s="24"/>
      <c r="M325" s="24"/>
      <c r="N325" s="24"/>
      <c r="O325" s="24"/>
      <c r="P325" s="24"/>
      <c r="Q325" s="24"/>
      <c r="R325" s="43"/>
      <c r="S325" s="24">
        <v>100</v>
      </c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36"/>
      <c r="AG325" s="36"/>
      <c r="AH325" s="36"/>
      <c r="AI325" s="36"/>
    </row>
    <row r="326" s="1" customFormat="1" customHeight="1" spans="1:35">
      <c r="A326" s="17">
        <v>323</v>
      </c>
      <c r="B326" s="20">
        <v>46124</v>
      </c>
      <c r="C326" s="26" t="s">
        <v>197</v>
      </c>
      <c r="D326" s="22" t="str" cm="1">
        <f t="array" ref="D326">INDEX([1]Sheet2!A:A,MATCH(E326,[1]Sheet2!B:B,0))</f>
        <v>湖南亮点体育文化发展有限公司</v>
      </c>
      <c r="E326" s="23" t="s">
        <v>198</v>
      </c>
      <c r="F326" s="24">
        <f t="shared" si="6"/>
        <v>500</v>
      </c>
      <c r="G326" s="24" t="s">
        <v>77</v>
      </c>
      <c r="H326" s="36"/>
      <c r="I326" s="36"/>
      <c r="J326" s="24"/>
      <c r="K326" s="24"/>
      <c r="L326" s="24"/>
      <c r="M326" s="24"/>
      <c r="N326" s="24"/>
      <c r="O326" s="24"/>
      <c r="P326" s="24"/>
      <c r="Q326" s="24"/>
      <c r="R326" s="43"/>
      <c r="S326" s="24">
        <v>500</v>
      </c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36"/>
      <c r="AG326" s="36"/>
      <c r="AH326" s="36"/>
      <c r="AI326" s="36"/>
    </row>
    <row r="327" s="1" customFormat="1" customHeight="1" spans="1:35">
      <c r="A327" s="17">
        <v>324</v>
      </c>
      <c r="B327" s="20">
        <v>46124</v>
      </c>
      <c r="C327" s="26" t="s">
        <v>425</v>
      </c>
      <c r="D327" s="22" t="str" cm="1">
        <f t="array" ref="D327">INDEX([1]Sheet2!A:A,MATCH(E327,[1]Sheet2!B:B,0))</f>
        <v>杨帅</v>
      </c>
      <c r="E327" s="23" t="s">
        <v>426</v>
      </c>
      <c r="F327" s="24">
        <f t="shared" si="6"/>
        <v>100</v>
      </c>
      <c r="G327" s="24" t="s">
        <v>77</v>
      </c>
      <c r="H327" s="36"/>
      <c r="I327" s="36"/>
      <c r="J327" s="24"/>
      <c r="K327" s="24"/>
      <c r="L327" s="24"/>
      <c r="M327" s="24"/>
      <c r="N327" s="24"/>
      <c r="O327" s="24"/>
      <c r="P327" s="24"/>
      <c r="Q327" s="24"/>
      <c r="R327" s="43"/>
      <c r="S327" s="24">
        <v>100</v>
      </c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36"/>
      <c r="AG327" s="36"/>
      <c r="AH327" s="36"/>
      <c r="AI327" s="36"/>
    </row>
    <row r="328" s="1" customFormat="1" customHeight="1" spans="1:35">
      <c r="A328" s="17">
        <v>325</v>
      </c>
      <c r="B328" s="20">
        <v>46124</v>
      </c>
      <c r="C328" s="26" t="s">
        <v>154</v>
      </c>
      <c r="D328" s="22" t="str" cm="1">
        <f t="array" ref="D328">INDEX([1]Sheet2!A:A,MATCH(E328,[1]Sheet2!B:B,0))</f>
        <v>黄煌</v>
      </c>
      <c r="E328" s="23" t="s">
        <v>155</v>
      </c>
      <c r="F328" s="24">
        <f t="shared" si="6"/>
        <v>200</v>
      </c>
      <c r="G328" s="24" t="s">
        <v>77</v>
      </c>
      <c r="H328" s="36"/>
      <c r="I328" s="36"/>
      <c r="J328" s="24"/>
      <c r="K328" s="24"/>
      <c r="L328" s="24"/>
      <c r="M328" s="24"/>
      <c r="N328" s="24"/>
      <c r="O328" s="24"/>
      <c r="P328" s="24"/>
      <c r="Q328" s="24"/>
      <c r="R328" s="43"/>
      <c r="S328" s="24">
        <v>200</v>
      </c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36"/>
      <c r="AG328" s="36"/>
      <c r="AH328" s="36"/>
      <c r="AI328" s="36"/>
    </row>
    <row r="329" s="1" customFormat="1" customHeight="1" spans="1:35">
      <c r="A329" s="17">
        <v>326</v>
      </c>
      <c r="B329" s="20">
        <v>46124</v>
      </c>
      <c r="C329" s="21" t="s">
        <v>135</v>
      </c>
      <c r="D329" s="22" t="str" cm="1">
        <f t="array" ref="D329">INDEX([1]Sheet2!A:A,MATCH(E329,[1]Sheet2!B:B,0))</f>
        <v>周军伟</v>
      </c>
      <c r="E329" s="23" t="s">
        <v>136</v>
      </c>
      <c r="F329" s="24">
        <f t="shared" si="6"/>
        <v>30</v>
      </c>
      <c r="G329" s="24" t="s">
        <v>77</v>
      </c>
      <c r="H329" s="25"/>
      <c r="I329" s="25"/>
      <c r="J329" s="24"/>
      <c r="K329" s="24"/>
      <c r="L329" s="24"/>
      <c r="M329" s="24"/>
      <c r="N329" s="24"/>
      <c r="O329" s="24"/>
      <c r="P329" s="24"/>
      <c r="Q329" s="24"/>
      <c r="R329" s="43"/>
      <c r="S329" s="24">
        <v>30</v>
      </c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36"/>
      <c r="AG329" s="36"/>
      <c r="AH329" s="36"/>
      <c r="AI329" s="36"/>
    </row>
    <row r="330" s="1" customFormat="1" customHeight="1" spans="1:35">
      <c r="A330" s="17">
        <v>327</v>
      </c>
      <c r="B330" s="20">
        <v>46124</v>
      </c>
      <c r="C330" s="26" t="s">
        <v>124</v>
      </c>
      <c r="D330" s="22" t="str" cm="1">
        <f t="array" ref="D330">INDEX([1]Sheet2!A:A,MATCH(E330,[1]Sheet2!B:B,0))</f>
        <v>王冬林</v>
      </c>
      <c r="E330" s="23" t="s">
        <v>125</v>
      </c>
      <c r="F330" s="24">
        <f t="shared" si="6"/>
        <v>1000</v>
      </c>
      <c r="G330" s="24" t="s">
        <v>77</v>
      </c>
      <c r="H330" s="25"/>
      <c r="I330" s="25"/>
      <c r="J330" s="24"/>
      <c r="K330" s="24"/>
      <c r="L330" s="24"/>
      <c r="M330" s="24"/>
      <c r="N330" s="24"/>
      <c r="O330" s="24"/>
      <c r="P330" s="24"/>
      <c r="Q330" s="24"/>
      <c r="R330" s="43"/>
      <c r="S330" s="24">
        <v>1000</v>
      </c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36"/>
      <c r="AG330" s="36"/>
      <c r="AH330" s="36"/>
      <c r="AI330" s="36"/>
    </row>
    <row r="331" s="1" customFormat="1" customHeight="1" spans="1:35">
      <c r="A331" s="17">
        <v>328</v>
      </c>
      <c r="B331" s="20">
        <v>46124</v>
      </c>
      <c r="C331" s="26" t="s">
        <v>427</v>
      </c>
      <c r="D331" s="22" t="s">
        <v>428</v>
      </c>
      <c r="E331" s="23" t="s">
        <v>429</v>
      </c>
      <c r="F331" s="24">
        <f t="shared" si="6"/>
        <v>500</v>
      </c>
      <c r="G331" s="24" t="s">
        <v>77</v>
      </c>
      <c r="H331" s="25"/>
      <c r="I331" s="25"/>
      <c r="J331" s="24"/>
      <c r="K331" s="24"/>
      <c r="L331" s="24"/>
      <c r="M331" s="24"/>
      <c r="N331" s="24"/>
      <c r="O331" s="24"/>
      <c r="P331" s="24"/>
      <c r="Q331" s="24"/>
      <c r="R331" s="43"/>
      <c r="S331" s="24">
        <v>500</v>
      </c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36"/>
      <c r="AG331" s="36"/>
      <c r="AH331" s="36"/>
      <c r="AI331" s="36"/>
    </row>
    <row r="332" s="1" customFormat="1" customHeight="1" spans="1:35">
      <c r="A332" s="17">
        <v>329</v>
      </c>
      <c r="B332" s="20">
        <v>46124</v>
      </c>
      <c r="C332" s="26" t="s">
        <v>97</v>
      </c>
      <c r="D332" s="22" t="str" cm="1">
        <f t="array" ref="D332">INDEX([1]Sheet2!A:A,MATCH(E332,[1]Sheet2!B:B,0))</f>
        <v>黎合</v>
      </c>
      <c r="E332" s="23" t="s">
        <v>98</v>
      </c>
      <c r="F332" s="24">
        <f t="shared" si="6"/>
        <v>20</v>
      </c>
      <c r="G332" s="24" t="s">
        <v>77</v>
      </c>
      <c r="H332" s="36"/>
      <c r="I332" s="36"/>
      <c r="J332" s="24"/>
      <c r="K332" s="24"/>
      <c r="L332" s="24"/>
      <c r="M332" s="24"/>
      <c r="N332" s="24"/>
      <c r="O332" s="24"/>
      <c r="P332" s="24"/>
      <c r="Q332" s="24"/>
      <c r="R332" s="43"/>
      <c r="S332" s="24">
        <v>20</v>
      </c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36"/>
      <c r="AG332" s="36"/>
      <c r="AH332" s="36"/>
      <c r="AI332" s="36"/>
    </row>
    <row r="333" s="1" customFormat="1" customHeight="1" spans="1:35">
      <c r="A333" s="17">
        <v>330</v>
      </c>
      <c r="B333" s="20">
        <v>46124</v>
      </c>
      <c r="C333" s="26" t="s">
        <v>24</v>
      </c>
      <c r="D333" s="22" t="str" cm="1">
        <f t="array" ref="D333">INDEX([1]Sheet2!A:A,MATCH(E333,[1]Sheet2!B:B,0))</f>
        <v>临时</v>
      </c>
      <c r="E333" s="23" t="s">
        <v>99</v>
      </c>
      <c r="F333" s="24">
        <f t="shared" si="6"/>
        <v>558</v>
      </c>
      <c r="G333" s="24" t="s">
        <v>100</v>
      </c>
      <c r="H333" s="36"/>
      <c r="I333" s="36"/>
      <c r="J333" s="24"/>
      <c r="K333" s="24"/>
      <c r="L333" s="24"/>
      <c r="M333" s="24"/>
      <c r="N333" s="24"/>
      <c r="O333" s="24"/>
      <c r="P333" s="24"/>
      <c r="Q333" s="24"/>
      <c r="R333" s="43"/>
      <c r="S333" s="24"/>
      <c r="T333" s="24"/>
      <c r="U333" s="24"/>
      <c r="V333" s="24"/>
      <c r="W333" s="24">
        <v>558</v>
      </c>
      <c r="X333" s="24"/>
      <c r="Y333" s="24"/>
      <c r="Z333" s="24"/>
      <c r="AA333" s="24"/>
      <c r="AB333" s="24"/>
      <c r="AC333" s="24"/>
      <c r="AD333" s="24"/>
      <c r="AE333" s="24"/>
      <c r="AF333" s="36"/>
      <c r="AG333" s="36"/>
      <c r="AH333" s="36"/>
      <c r="AI333" s="36"/>
    </row>
    <row r="334" s="1" customFormat="1" customHeight="1" spans="1:35">
      <c r="A334" s="17">
        <v>331</v>
      </c>
      <c r="B334" s="20">
        <v>46125</v>
      </c>
      <c r="C334" s="26" t="s">
        <v>275</v>
      </c>
      <c r="D334" s="22" t="str" cm="1">
        <f t="array" ref="D334">INDEX([1]Sheet2!A:A,MATCH(E334,[1]Sheet2!B:B,0))</f>
        <v>叶丽娟</v>
      </c>
      <c r="E334" s="23" t="s">
        <v>276</v>
      </c>
      <c r="F334" s="24">
        <f t="shared" si="6"/>
        <v>24000</v>
      </c>
      <c r="G334" s="24" t="s">
        <v>40</v>
      </c>
      <c r="H334" s="25">
        <v>46006</v>
      </c>
      <c r="I334" s="25">
        <v>46095</v>
      </c>
      <c r="J334" s="24"/>
      <c r="K334" s="24"/>
      <c r="L334" s="24"/>
      <c r="M334" s="24"/>
      <c r="N334" s="24"/>
      <c r="O334" s="24">
        <v>24000</v>
      </c>
      <c r="P334" s="24"/>
      <c r="Q334" s="24"/>
      <c r="R334" s="43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36"/>
      <c r="AG334" s="36"/>
      <c r="AH334" s="36"/>
      <c r="AI334" s="36"/>
    </row>
    <row r="335" s="1" customFormat="1" customHeight="1" spans="1:35">
      <c r="A335" s="17">
        <v>332</v>
      </c>
      <c r="B335" s="20">
        <v>46125</v>
      </c>
      <c r="C335" s="26" t="s">
        <v>430</v>
      </c>
      <c r="D335" s="22" t="str" cm="1">
        <f t="array" ref="D335">INDEX([1]Sheet2!A:A,MATCH(E335,[1]Sheet2!B:B,0))</f>
        <v>贝贝熊孕婴童连锁商业有限公司</v>
      </c>
      <c r="E335" s="23" t="s">
        <v>431</v>
      </c>
      <c r="F335" s="24">
        <f t="shared" si="6"/>
        <v>1600</v>
      </c>
      <c r="G335" s="24" t="s">
        <v>40</v>
      </c>
      <c r="H335" s="36"/>
      <c r="I335" s="36"/>
      <c r="J335" s="24"/>
      <c r="K335" s="24"/>
      <c r="L335" s="24"/>
      <c r="M335" s="24"/>
      <c r="N335" s="24"/>
      <c r="O335" s="24"/>
      <c r="P335" s="24"/>
      <c r="Q335" s="24"/>
      <c r="R335" s="43"/>
      <c r="S335" s="24">
        <v>1600</v>
      </c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36"/>
      <c r="AG335" s="36"/>
      <c r="AH335" s="36"/>
      <c r="AI335" s="36"/>
    </row>
    <row r="336" s="2" customFormat="1" customHeight="1" spans="1:35">
      <c r="A336" s="27">
        <v>333</v>
      </c>
      <c r="B336" s="28">
        <v>46125</v>
      </c>
      <c r="C336" s="29" t="s">
        <v>326</v>
      </c>
      <c r="D336" s="30" t="s">
        <v>432</v>
      </c>
      <c r="E336" s="31" t="s">
        <v>433</v>
      </c>
      <c r="F336" s="32">
        <f t="shared" si="6"/>
        <v>108000</v>
      </c>
      <c r="G336" s="32" t="s">
        <v>40</v>
      </c>
      <c r="H336" s="35"/>
      <c r="I336" s="35"/>
      <c r="J336" s="32"/>
      <c r="K336" s="32"/>
      <c r="L336" s="32"/>
      <c r="M336" s="32"/>
      <c r="N336" s="32"/>
      <c r="O336" s="32"/>
      <c r="P336" s="32"/>
      <c r="Q336" s="32"/>
      <c r="R336" s="45"/>
      <c r="S336" s="32"/>
      <c r="T336" s="32"/>
      <c r="U336" s="32"/>
      <c r="V336" s="32"/>
      <c r="W336" s="32"/>
      <c r="X336" s="32"/>
      <c r="Y336" s="32"/>
      <c r="Z336" s="32"/>
      <c r="AA336" s="32">
        <v>108000</v>
      </c>
      <c r="AB336" s="32"/>
      <c r="AC336" s="32"/>
      <c r="AD336" s="32"/>
      <c r="AE336" s="32"/>
      <c r="AF336" s="35" t="s">
        <v>60</v>
      </c>
      <c r="AG336" s="35"/>
      <c r="AH336" s="35"/>
      <c r="AI336" s="35"/>
    </row>
    <row r="337" s="1" customFormat="1" customHeight="1" spans="1:35">
      <c r="A337" s="17">
        <v>334</v>
      </c>
      <c r="B337" s="20">
        <v>46125</v>
      </c>
      <c r="C337" s="26" t="s">
        <v>434</v>
      </c>
      <c r="D337" s="22" t="s">
        <v>435</v>
      </c>
      <c r="E337" s="23" t="s">
        <v>436</v>
      </c>
      <c r="F337" s="24">
        <f t="shared" si="6"/>
        <v>12600</v>
      </c>
      <c r="G337" s="24" t="s">
        <v>40</v>
      </c>
      <c r="H337" s="25">
        <v>46143</v>
      </c>
      <c r="I337" s="25">
        <v>46234</v>
      </c>
      <c r="J337" s="24"/>
      <c r="K337" s="24"/>
      <c r="L337" s="24"/>
      <c r="M337" s="24"/>
      <c r="N337" s="24"/>
      <c r="O337" s="24">
        <v>12600</v>
      </c>
      <c r="P337" s="24"/>
      <c r="Q337" s="24"/>
      <c r="R337" s="43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36"/>
      <c r="AG337" s="36"/>
      <c r="AH337" s="36"/>
      <c r="AI337" s="36"/>
    </row>
    <row r="338" s="1" customFormat="1" customHeight="1" spans="1:35">
      <c r="A338" s="17">
        <v>335</v>
      </c>
      <c r="B338" s="20">
        <v>46125</v>
      </c>
      <c r="C338" s="26" t="s">
        <v>437</v>
      </c>
      <c r="D338" s="22" t="str" cm="1">
        <f t="array" ref="D338">INDEX([1]Sheet2!A:A,MATCH(E338,[1]Sheet2!B:B,0))</f>
        <v>于长江</v>
      </c>
      <c r="E338" s="23" t="s">
        <v>438</v>
      </c>
      <c r="F338" s="24">
        <f t="shared" si="6"/>
        <v>10000</v>
      </c>
      <c r="G338" s="24" t="s">
        <v>40</v>
      </c>
      <c r="H338" s="25"/>
      <c r="I338" s="25"/>
      <c r="J338" s="24"/>
      <c r="K338" s="24"/>
      <c r="L338" s="24"/>
      <c r="M338" s="24"/>
      <c r="N338" s="24"/>
      <c r="O338" s="24"/>
      <c r="P338" s="24"/>
      <c r="Q338" s="24"/>
      <c r="R338" s="43"/>
      <c r="S338" s="24">
        <v>10000</v>
      </c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36"/>
      <c r="AG338" s="36"/>
      <c r="AH338" s="36"/>
      <c r="AI338" s="36"/>
    </row>
    <row r="339" s="1" customFormat="1" customHeight="1" spans="1:35">
      <c r="A339" s="17">
        <v>336</v>
      </c>
      <c r="B339" s="20">
        <v>46125</v>
      </c>
      <c r="C339" s="26" t="s">
        <v>437</v>
      </c>
      <c r="D339" s="22" t="str" cm="1">
        <f t="array" ref="D339">INDEX([1]Sheet2!A:A,MATCH(E339,[1]Sheet2!B:B,0))</f>
        <v>于长江</v>
      </c>
      <c r="E339" s="23" t="s">
        <v>438</v>
      </c>
      <c r="F339" s="24">
        <f t="shared" si="6"/>
        <v>918.08</v>
      </c>
      <c r="G339" s="24" t="s">
        <v>40</v>
      </c>
      <c r="H339" s="25">
        <v>46082</v>
      </c>
      <c r="I339" s="25">
        <v>46112</v>
      </c>
      <c r="J339" s="24"/>
      <c r="K339" s="24"/>
      <c r="L339" s="24"/>
      <c r="M339" s="24"/>
      <c r="N339" s="24"/>
      <c r="O339" s="24"/>
      <c r="P339" s="24"/>
      <c r="Q339" s="24">
        <v>918.08</v>
      </c>
      <c r="R339" s="43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36"/>
      <c r="AG339" s="36"/>
      <c r="AH339" s="36"/>
      <c r="AI339" s="36"/>
    </row>
    <row r="340" s="2" customFormat="1" customHeight="1" spans="1:35">
      <c r="A340" s="27">
        <v>337</v>
      </c>
      <c r="B340" s="28">
        <v>46125</v>
      </c>
      <c r="C340" s="29" t="s">
        <v>439</v>
      </c>
      <c r="D340" s="63" t="s">
        <v>440</v>
      </c>
      <c r="E340" s="31" t="s">
        <v>441</v>
      </c>
      <c r="F340" s="32">
        <f t="shared" si="6"/>
        <v>79700</v>
      </c>
      <c r="G340" s="32" t="s">
        <v>40</v>
      </c>
      <c r="H340" s="35"/>
      <c r="I340" s="35"/>
      <c r="J340" s="32"/>
      <c r="K340" s="32"/>
      <c r="L340" s="32"/>
      <c r="M340" s="32"/>
      <c r="N340" s="32"/>
      <c r="O340" s="32"/>
      <c r="P340" s="32"/>
      <c r="Q340" s="32"/>
      <c r="R340" s="45"/>
      <c r="S340" s="32"/>
      <c r="T340" s="32"/>
      <c r="U340" s="32"/>
      <c r="V340" s="32"/>
      <c r="W340" s="32"/>
      <c r="X340" s="32"/>
      <c r="Y340" s="32"/>
      <c r="Z340" s="32"/>
      <c r="AA340" s="32">
        <v>79700</v>
      </c>
      <c r="AB340" s="32"/>
      <c r="AC340" s="32"/>
      <c r="AD340" s="32"/>
      <c r="AE340" s="32"/>
      <c r="AF340" s="35" t="s">
        <v>442</v>
      </c>
      <c r="AG340" s="35" t="s">
        <v>50</v>
      </c>
      <c r="AH340" s="35" t="s">
        <v>443</v>
      </c>
      <c r="AI340" s="35" t="s">
        <v>444</v>
      </c>
    </row>
    <row r="341" s="1" customFormat="1" customHeight="1" spans="1:35">
      <c r="A341" s="17">
        <v>338</v>
      </c>
      <c r="B341" s="20">
        <v>46125</v>
      </c>
      <c r="C341" s="26" t="s">
        <v>24</v>
      </c>
      <c r="D341" s="22" t="str" cm="1">
        <f t="array" ref="D341">INDEX([1]Sheet2!A:A,MATCH(E341,[1]Sheet2!B:B,0))</f>
        <v>充值</v>
      </c>
      <c r="E341" s="23" t="s">
        <v>72</v>
      </c>
      <c r="F341" s="24">
        <f t="shared" si="6"/>
        <v>150</v>
      </c>
      <c r="G341" s="24" t="s">
        <v>49</v>
      </c>
      <c r="H341" s="36"/>
      <c r="I341" s="36"/>
      <c r="J341" s="24"/>
      <c r="K341" s="24"/>
      <c r="L341" s="24"/>
      <c r="M341" s="24"/>
      <c r="N341" s="24"/>
      <c r="O341" s="24"/>
      <c r="P341" s="24"/>
      <c r="Q341" s="24"/>
      <c r="R341" s="43"/>
      <c r="S341" s="24"/>
      <c r="T341" s="24"/>
      <c r="U341" s="24"/>
      <c r="V341" s="24"/>
      <c r="W341" s="24">
        <v>150</v>
      </c>
      <c r="X341" s="24"/>
      <c r="Y341" s="24"/>
      <c r="Z341" s="24"/>
      <c r="AA341" s="24"/>
      <c r="AB341" s="24"/>
      <c r="AC341" s="24"/>
      <c r="AD341" s="24"/>
      <c r="AE341" s="24"/>
      <c r="AF341" s="36"/>
      <c r="AG341" s="36"/>
      <c r="AH341" s="36"/>
      <c r="AI341" s="36"/>
    </row>
    <row r="342" s="1" customFormat="1" customHeight="1" spans="1:35">
      <c r="A342" s="17">
        <v>339</v>
      </c>
      <c r="B342" s="20">
        <v>46125</v>
      </c>
      <c r="C342" s="26" t="s">
        <v>445</v>
      </c>
      <c r="D342" s="22" t="str" cm="1">
        <f t="array" ref="D342">INDEX([1]Sheet2!A:A,MATCH(E342,[1]Sheet2!B:B,0))</f>
        <v>王慧霞</v>
      </c>
      <c r="E342" s="23" t="s">
        <v>446</v>
      </c>
      <c r="F342" s="24">
        <f t="shared" si="6"/>
        <v>500</v>
      </c>
      <c r="G342" s="24" t="s">
        <v>49</v>
      </c>
      <c r="H342" s="36"/>
      <c r="I342" s="36"/>
      <c r="J342" s="24"/>
      <c r="K342" s="24"/>
      <c r="L342" s="24"/>
      <c r="M342" s="24"/>
      <c r="N342" s="24"/>
      <c r="O342" s="24"/>
      <c r="P342" s="24"/>
      <c r="Q342" s="24"/>
      <c r="R342" s="43"/>
      <c r="S342" s="24">
        <v>500</v>
      </c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36"/>
      <c r="AG342" s="36"/>
      <c r="AH342" s="36"/>
      <c r="AI342" s="36"/>
    </row>
    <row r="343" s="1" customFormat="1" customHeight="1" spans="1:35">
      <c r="A343" s="17">
        <v>340</v>
      </c>
      <c r="B343" s="20">
        <v>46125</v>
      </c>
      <c r="C343" s="26" t="s">
        <v>73</v>
      </c>
      <c r="D343" s="22" t="str" cm="1">
        <f t="array" ref="D343">INDEX([1]Sheet2!A:A,MATCH(E343,[1]Sheet2!B:B,0))</f>
        <v>衡阳志扬体育文化有限公司</v>
      </c>
      <c r="E343" s="23" t="s">
        <v>74</v>
      </c>
      <c r="F343" s="24">
        <f t="shared" si="6"/>
        <v>2685</v>
      </c>
      <c r="G343" s="24" t="s">
        <v>49</v>
      </c>
      <c r="H343" s="36"/>
      <c r="I343" s="36"/>
      <c r="J343" s="24"/>
      <c r="K343" s="24"/>
      <c r="L343" s="24"/>
      <c r="M343" s="24"/>
      <c r="N343" s="24"/>
      <c r="O343" s="24"/>
      <c r="P343" s="24"/>
      <c r="Q343" s="24"/>
      <c r="R343" s="43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>
        <v>2685</v>
      </c>
      <c r="AF343" s="36"/>
      <c r="AG343" s="36"/>
      <c r="AH343" s="36"/>
      <c r="AI343" s="36"/>
    </row>
    <row r="344" s="1" customFormat="1" customHeight="1" spans="1:35">
      <c r="A344" s="17">
        <v>341</v>
      </c>
      <c r="B344" s="20">
        <v>46125</v>
      </c>
      <c r="C344" s="26" t="s">
        <v>177</v>
      </c>
      <c r="D344" s="22" t="str" cm="1">
        <f t="array" ref="D344">INDEX([1]Sheet2!A:A,MATCH(E344,[1]Sheet2!B:B,0))</f>
        <v>屈姣</v>
      </c>
      <c r="E344" s="23" t="s">
        <v>178</v>
      </c>
      <c r="F344" s="24">
        <f t="shared" si="6"/>
        <v>1500</v>
      </c>
      <c r="G344" s="24" t="s">
        <v>77</v>
      </c>
      <c r="H344" s="36"/>
      <c r="I344" s="36"/>
      <c r="J344" s="24"/>
      <c r="K344" s="24"/>
      <c r="L344" s="24"/>
      <c r="M344" s="24"/>
      <c r="N344" s="24"/>
      <c r="O344" s="24"/>
      <c r="P344" s="24"/>
      <c r="Q344" s="24"/>
      <c r="R344" s="43"/>
      <c r="S344" s="24">
        <v>1500</v>
      </c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36"/>
      <c r="AG344" s="36"/>
      <c r="AH344" s="36"/>
      <c r="AI344" s="36"/>
    </row>
    <row r="345" s="1" customFormat="1" customHeight="1" spans="1:35">
      <c r="A345" s="17">
        <v>342</v>
      </c>
      <c r="B345" s="20">
        <v>46125</v>
      </c>
      <c r="C345" s="26" t="s">
        <v>105</v>
      </c>
      <c r="D345" s="22" t="str" cm="1">
        <f t="array" ref="D345">INDEX([1]Sheet2!A:A,MATCH(E345,[1]Sheet2!B:B,0))</f>
        <v>莫德明</v>
      </c>
      <c r="E345" s="23" t="s">
        <v>126</v>
      </c>
      <c r="F345" s="24">
        <f t="shared" si="6"/>
        <v>1000</v>
      </c>
      <c r="G345" s="24" t="s">
        <v>77</v>
      </c>
      <c r="H345" s="36"/>
      <c r="I345" s="36"/>
      <c r="J345" s="24"/>
      <c r="K345" s="24"/>
      <c r="L345" s="24"/>
      <c r="M345" s="24"/>
      <c r="N345" s="24"/>
      <c r="O345" s="24"/>
      <c r="P345" s="24"/>
      <c r="Q345" s="24"/>
      <c r="R345" s="43"/>
      <c r="S345" s="24">
        <v>1000</v>
      </c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36"/>
      <c r="AG345" s="36"/>
      <c r="AH345" s="36"/>
      <c r="AI345" s="36"/>
    </row>
    <row r="346" s="1" customFormat="1" customHeight="1" spans="1:35">
      <c r="A346" s="17">
        <v>343</v>
      </c>
      <c r="B346" s="20">
        <v>46125</v>
      </c>
      <c r="C346" s="26" t="s">
        <v>84</v>
      </c>
      <c r="D346" s="22" t="str" cm="1">
        <f t="array" ref="D346">INDEX([1]Sheet2!A:A,MATCH(E346,[1]Sheet2!B:B,0))</f>
        <v>莫靖凡</v>
      </c>
      <c r="E346" s="23" t="s">
        <v>85</v>
      </c>
      <c r="F346" s="24">
        <f t="shared" si="6"/>
        <v>50</v>
      </c>
      <c r="G346" s="24" t="s">
        <v>77</v>
      </c>
      <c r="H346" s="36"/>
      <c r="I346" s="36"/>
      <c r="J346" s="24"/>
      <c r="K346" s="24"/>
      <c r="L346" s="24"/>
      <c r="M346" s="24"/>
      <c r="N346" s="24"/>
      <c r="O346" s="24"/>
      <c r="P346" s="24"/>
      <c r="Q346" s="24"/>
      <c r="R346" s="43"/>
      <c r="S346" s="24">
        <v>50</v>
      </c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36"/>
      <c r="AG346" s="36"/>
      <c r="AH346" s="36"/>
      <c r="AI346" s="36"/>
    </row>
    <row r="347" s="1" customFormat="1" customHeight="1" spans="1:35">
      <c r="A347" s="17">
        <v>344</v>
      </c>
      <c r="B347" s="20">
        <v>46125</v>
      </c>
      <c r="C347" s="26" t="s">
        <v>391</v>
      </c>
      <c r="D347" s="22" t="str" cm="1">
        <f t="array" ref="D347">INDEX([1]Sheet2!A:A,MATCH(E347,[1]Sheet2!B:B,0))</f>
        <v>周小舟</v>
      </c>
      <c r="E347" s="23" t="s">
        <v>447</v>
      </c>
      <c r="F347" s="24">
        <f t="shared" si="6"/>
        <v>1000</v>
      </c>
      <c r="G347" s="24" t="s">
        <v>77</v>
      </c>
      <c r="H347" s="25"/>
      <c r="I347" s="25"/>
      <c r="J347" s="24"/>
      <c r="K347" s="24"/>
      <c r="L347" s="24"/>
      <c r="M347" s="24"/>
      <c r="N347" s="24"/>
      <c r="O347" s="24"/>
      <c r="P347" s="24"/>
      <c r="Q347" s="24"/>
      <c r="R347" s="43"/>
      <c r="S347" s="24">
        <v>1000</v>
      </c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36"/>
      <c r="AG347" s="36"/>
      <c r="AH347" s="36"/>
      <c r="AI347" s="36"/>
    </row>
    <row r="348" s="1" customFormat="1" customHeight="1" spans="1:35">
      <c r="A348" s="17">
        <v>345</v>
      </c>
      <c r="B348" s="20">
        <v>46125</v>
      </c>
      <c r="C348" s="21" t="s">
        <v>208</v>
      </c>
      <c r="D348" s="22" t="str" cm="1">
        <f t="array" ref="D348">INDEX([1]Sheet2!A:A,MATCH(E348,[1]Sheet2!B:B,0))</f>
        <v>刘诗杰</v>
      </c>
      <c r="E348" s="23" t="s">
        <v>448</v>
      </c>
      <c r="F348" s="24">
        <f t="shared" si="6"/>
        <v>500</v>
      </c>
      <c r="G348" s="24" t="s">
        <v>77</v>
      </c>
      <c r="H348" s="36"/>
      <c r="I348" s="36"/>
      <c r="J348" s="24"/>
      <c r="K348" s="24"/>
      <c r="L348" s="24"/>
      <c r="M348" s="24"/>
      <c r="N348" s="24"/>
      <c r="O348" s="24"/>
      <c r="P348" s="24"/>
      <c r="Q348" s="24"/>
      <c r="R348" s="43"/>
      <c r="S348" s="24">
        <v>500</v>
      </c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36"/>
      <c r="AG348" s="36"/>
      <c r="AH348" s="36"/>
      <c r="AI348" s="36"/>
    </row>
    <row r="349" s="1" customFormat="1" customHeight="1" spans="1:35">
      <c r="A349" s="17">
        <v>346</v>
      </c>
      <c r="B349" s="20">
        <v>46125</v>
      </c>
      <c r="C349" s="21" t="s">
        <v>449</v>
      </c>
      <c r="D349" s="22" t="str" cm="1">
        <f t="array" ref="D349">INDEX([1]Sheet2!A:A,MATCH(E349,[1]Sheet2!B:B,0))</f>
        <v>吴利敏</v>
      </c>
      <c r="E349" s="23" t="s">
        <v>450</v>
      </c>
      <c r="F349" s="24">
        <f t="shared" si="6"/>
        <v>2000</v>
      </c>
      <c r="G349" s="24" t="s">
        <v>77</v>
      </c>
      <c r="H349" s="25"/>
      <c r="I349" s="25"/>
      <c r="J349" s="24"/>
      <c r="K349" s="24"/>
      <c r="L349" s="24"/>
      <c r="M349" s="24"/>
      <c r="N349" s="24"/>
      <c r="O349" s="24"/>
      <c r="P349" s="24"/>
      <c r="Q349" s="24"/>
      <c r="R349" s="43"/>
      <c r="S349" s="24">
        <v>2000</v>
      </c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36"/>
      <c r="AG349" s="36"/>
      <c r="AH349" s="36"/>
      <c r="AI349" s="36"/>
    </row>
    <row r="350" s="1" customFormat="1" customHeight="1" spans="1:35">
      <c r="A350" s="17">
        <v>347</v>
      </c>
      <c r="B350" s="20">
        <v>46125</v>
      </c>
      <c r="C350" s="26" t="s">
        <v>143</v>
      </c>
      <c r="D350" s="22" t="str" cm="1">
        <f t="array" ref="D350">INDEX([1]Sheet2!A:A,MATCH(E350,[1]Sheet2!B:B,0))</f>
        <v>刘连</v>
      </c>
      <c r="E350" s="23" t="s">
        <v>144</v>
      </c>
      <c r="F350" s="24">
        <f t="shared" si="6"/>
        <v>100</v>
      </c>
      <c r="G350" s="24" t="s">
        <v>77</v>
      </c>
      <c r="H350" s="25"/>
      <c r="I350" s="25"/>
      <c r="J350" s="24"/>
      <c r="K350" s="24"/>
      <c r="L350" s="24"/>
      <c r="M350" s="24"/>
      <c r="N350" s="24"/>
      <c r="O350" s="24"/>
      <c r="P350" s="24"/>
      <c r="Q350" s="24"/>
      <c r="R350" s="43"/>
      <c r="S350" s="24">
        <v>100</v>
      </c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36"/>
      <c r="AG350" s="36"/>
      <c r="AH350" s="36"/>
      <c r="AI350" s="36"/>
    </row>
    <row r="351" s="1" customFormat="1" customHeight="1" spans="1:35">
      <c r="A351" s="17">
        <v>348</v>
      </c>
      <c r="B351" s="20">
        <v>46125</v>
      </c>
      <c r="C351" s="26" t="s">
        <v>451</v>
      </c>
      <c r="D351" s="22" t="str" cm="1">
        <f t="array" ref="D351">INDEX([1]Sheet2!A:A,MATCH(E351,[1]Sheet2!B:B,0))</f>
        <v>彭思佳</v>
      </c>
      <c r="E351" s="23" t="s">
        <v>452</v>
      </c>
      <c r="F351" s="24">
        <f t="shared" si="6"/>
        <v>1000</v>
      </c>
      <c r="G351" s="24" t="s">
        <v>77</v>
      </c>
      <c r="H351" s="36"/>
      <c r="I351" s="36"/>
      <c r="J351" s="24"/>
      <c r="K351" s="24"/>
      <c r="L351" s="24"/>
      <c r="M351" s="24"/>
      <c r="N351" s="24"/>
      <c r="O351" s="24"/>
      <c r="P351" s="24"/>
      <c r="Q351" s="24"/>
      <c r="R351" s="43"/>
      <c r="S351" s="24">
        <v>1000</v>
      </c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36"/>
      <c r="AG351" s="36"/>
      <c r="AH351" s="36"/>
      <c r="AI351" s="36"/>
    </row>
    <row r="352" s="1" customFormat="1" customHeight="1" spans="1:35">
      <c r="A352" s="17">
        <v>349</v>
      </c>
      <c r="B352" s="20">
        <v>46125</v>
      </c>
      <c r="C352" s="26" t="s">
        <v>24</v>
      </c>
      <c r="D352" s="22" t="str" cm="1">
        <f t="array" ref="D352">INDEX([1]Sheet2!A:A,MATCH(E352,[1]Sheet2!B:B,0))</f>
        <v>临时</v>
      </c>
      <c r="E352" s="23" t="s">
        <v>99</v>
      </c>
      <c r="F352" s="24">
        <f t="shared" si="6"/>
        <v>369</v>
      </c>
      <c r="G352" s="24" t="s">
        <v>100</v>
      </c>
      <c r="H352" s="25"/>
      <c r="I352" s="25"/>
      <c r="J352" s="24"/>
      <c r="K352" s="24"/>
      <c r="L352" s="24"/>
      <c r="M352" s="24"/>
      <c r="N352" s="24"/>
      <c r="O352" s="24"/>
      <c r="P352" s="24"/>
      <c r="Q352" s="24"/>
      <c r="R352" s="43"/>
      <c r="S352" s="24"/>
      <c r="T352" s="24"/>
      <c r="U352" s="24"/>
      <c r="V352" s="24"/>
      <c r="W352" s="24">
        <v>369</v>
      </c>
      <c r="X352" s="24"/>
      <c r="Y352" s="24"/>
      <c r="Z352" s="24"/>
      <c r="AA352" s="24"/>
      <c r="AB352" s="24"/>
      <c r="AC352" s="24"/>
      <c r="AD352" s="24"/>
      <c r="AE352" s="24"/>
      <c r="AF352" s="36"/>
      <c r="AG352" s="36"/>
      <c r="AH352" s="36"/>
      <c r="AI352" s="36"/>
    </row>
    <row r="353" s="1" customFormat="1" customHeight="1" spans="1:35">
      <c r="A353" s="17">
        <v>350</v>
      </c>
      <c r="B353" s="20">
        <v>46126</v>
      </c>
      <c r="C353" s="26" t="s">
        <v>24</v>
      </c>
      <c r="D353" s="22" t="str" cm="1">
        <f t="array" ref="D353">INDEX([1]Sheet2!A:A,MATCH(E353,[1]Sheet2!B:B,0))</f>
        <v>充值</v>
      </c>
      <c r="E353" s="23" t="s">
        <v>72</v>
      </c>
      <c r="F353" s="24">
        <f t="shared" si="6"/>
        <v>300</v>
      </c>
      <c r="G353" s="24" t="s">
        <v>49</v>
      </c>
      <c r="H353" s="25"/>
      <c r="I353" s="25"/>
      <c r="J353" s="24"/>
      <c r="K353" s="24"/>
      <c r="L353" s="24"/>
      <c r="M353" s="24"/>
      <c r="N353" s="24"/>
      <c r="O353" s="24"/>
      <c r="P353" s="24"/>
      <c r="Q353" s="24"/>
      <c r="R353" s="43"/>
      <c r="S353" s="24"/>
      <c r="T353" s="24"/>
      <c r="U353" s="24"/>
      <c r="V353" s="24"/>
      <c r="W353" s="24">
        <v>300</v>
      </c>
      <c r="X353" s="24"/>
      <c r="Y353" s="24"/>
      <c r="Z353" s="24"/>
      <c r="AA353" s="24"/>
      <c r="AB353" s="24"/>
      <c r="AC353" s="24"/>
      <c r="AD353" s="24"/>
      <c r="AE353" s="24"/>
      <c r="AF353" s="36"/>
      <c r="AG353" s="36"/>
      <c r="AH353" s="36"/>
      <c r="AI353" s="36"/>
    </row>
    <row r="354" s="1" customFormat="1" customHeight="1" spans="1:35">
      <c r="A354" s="17">
        <v>351</v>
      </c>
      <c r="B354" s="20">
        <v>46126</v>
      </c>
      <c r="C354" s="26" t="s">
        <v>25</v>
      </c>
      <c r="D354" s="22" t="s">
        <v>453</v>
      </c>
      <c r="E354" s="23" t="s">
        <v>454</v>
      </c>
      <c r="F354" s="24">
        <f t="shared" si="6"/>
        <v>36000</v>
      </c>
      <c r="G354" s="24" t="s">
        <v>49</v>
      </c>
      <c r="H354" s="25"/>
      <c r="I354" s="25"/>
      <c r="J354" s="24"/>
      <c r="K354" s="24"/>
      <c r="L354" s="24"/>
      <c r="M354" s="24"/>
      <c r="N354" s="24"/>
      <c r="O354" s="24"/>
      <c r="P354" s="24"/>
      <c r="Q354" s="24"/>
      <c r="R354" s="43"/>
      <c r="S354" s="24"/>
      <c r="T354" s="24"/>
      <c r="U354" s="24"/>
      <c r="V354" s="24"/>
      <c r="W354" s="24"/>
      <c r="X354" s="24">
        <v>36000</v>
      </c>
      <c r="Y354" s="24"/>
      <c r="Z354" s="24"/>
      <c r="AA354" s="24"/>
      <c r="AB354" s="24"/>
      <c r="AC354" s="24"/>
      <c r="AD354" s="24"/>
      <c r="AE354" s="24"/>
      <c r="AF354" s="36"/>
      <c r="AG354" s="36" t="s">
        <v>50</v>
      </c>
      <c r="AH354" s="36">
        <v>7483420</v>
      </c>
      <c r="AI354" s="36" t="s">
        <v>455</v>
      </c>
    </row>
    <row r="355" s="1" customFormat="1" customHeight="1" spans="1:35">
      <c r="A355" s="17">
        <v>352</v>
      </c>
      <c r="B355" s="20">
        <v>46126</v>
      </c>
      <c r="C355" s="26" t="s">
        <v>113</v>
      </c>
      <c r="D355" s="22" t="s">
        <v>152</v>
      </c>
      <c r="E355" s="23" t="s">
        <v>153</v>
      </c>
      <c r="F355" s="24">
        <f t="shared" si="6"/>
        <v>1000</v>
      </c>
      <c r="G355" s="24" t="s">
        <v>49</v>
      </c>
      <c r="H355" s="25"/>
      <c r="I355" s="25"/>
      <c r="J355" s="24"/>
      <c r="K355" s="24"/>
      <c r="L355" s="24"/>
      <c r="M355" s="24"/>
      <c r="N355" s="24"/>
      <c r="O355" s="24"/>
      <c r="P355" s="24"/>
      <c r="Q355" s="24"/>
      <c r="R355" s="43"/>
      <c r="S355" s="24"/>
      <c r="T355" s="24"/>
      <c r="U355" s="24"/>
      <c r="V355" s="24"/>
      <c r="W355" s="24">
        <v>1000</v>
      </c>
      <c r="X355" s="24"/>
      <c r="Y355" s="24"/>
      <c r="Z355" s="24"/>
      <c r="AA355" s="24"/>
      <c r="AB355" s="24"/>
      <c r="AC355" s="24"/>
      <c r="AD355" s="24"/>
      <c r="AE355" s="24"/>
      <c r="AF355" s="36"/>
      <c r="AG355" s="36"/>
      <c r="AH355" s="36"/>
      <c r="AI355" s="36"/>
    </row>
    <row r="356" s="1" customFormat="1" customHeight="1" spans="1:35">
      <c r="A356" s="17">
        <v>353</v>
      </c>
      <c r="B356" s="20">
        <v>46126</v>
      </c>
      <c r="C356" s="26" t="s">
        <v>73</v>
      </c>
      <c r="D356" s="22" t="str" cm="1">
        <f t="array" ref="D356">INDEX([1]Sheet2!A:A,MATCH(E356,[1]Sheet2!B:B,0))</f>
        <v>衡阳志扬体育文化有限公司</v>
      </c>
      <c r="E356" s="23" t="s">
        <v>74</v>
      </c>
      <c r="F356" s="24">
        <f t="shared" si="6"/>
        <v>2483</v>
      </c>
      <c r="G356" s="24" t="s">
        <v>49</v>
      </c>
      <c r="H356" s="36"/>
      <c r="I356" s="36"/>
      <c r="J356" s="24"/>
      <c r="K356" s="24"/>
      <c r="L356" s="24"/>
      <c r="M356" s="24"/>
      <c r="N356" s="24"/>
      <c r="O356" s="24"/>
      <c r="P356" s="24"/>
      <c r="Q356" s="24"/>
      <c r="R356" s="43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>
        <v>2483</v>
      </c>
      <c r="AF356" s="36"/>
      <c r="AG356" s="36"/>
      <c r="AH356" s="36"/>
      <c r="AI356" s="36"/>
    </row>
    <row r="357" s="1" customFormat="1" customHeight="1" spans="1:35">
      <c r="A357" s="17">
        <v>354</v>
      </c>
      <c r="B357" s="20">
        <v>46126</v>
      </c>
      <c r="C357" s="26" t="s">
        <v>113</v>
      </c>
      <c r="D357" s="22" t="str" cm="1">
        <f t="array" ref="D357">INDEX([1]Sheet2!A:A,MATCH(E357,[1]Sheet2!B:B,0))</f>
        <v>湖南亮点体育文化发展有限公司</v>
      </c>
      <c r="E357" s="23" t="s">
        <v>114</v>
      </c>
      <c r="F357" s="24">
        <f t="shared" si="6"/>
        <v>100</v>
      </c>
      <c r="G357" s="24" t="s">
        <v>77</v>
      </c>
      <c r="H357" s="36"/>
      <c r="I357" s="36"/>
      <c r="J357" s="24"/>
      <c r="K357" s="24"/>
      <c r="L357" s="24"/>
      <c r="M357" s="24"/>
      <c r="N357" s="24"/>
      <c r="O357" s="24"/>
      <c r="P357" s="24"/>
      <c r="Q357" s="24"/>
      <c r="R357" s="43"/>
      <c r="S357" s="24">
        <v>100</v>
      </c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36"/>
      <c r="AG357" s="36"/>
      <c r="AH357" s="36"/>
      <c r="AI357" s="36"/>
    </row>
    <row r="358" s="1" customFormat="1" customHeight="1" spans="1:35">
      <c r="A358" s="17">
        <v>355</v>
      </c>
      <c r="B358" s="20">
        <v>46126</v>
      </c>
      <c r="C358" s="26" t="s">
        <v>115</v>
      </c>
      <c r="D358" s="22" t="str" cm="1">
        <f t="array" ref="D358">INDEX([1]Sheet2!A:A,MATCH(E358,[1]Sheet2!B:B,0))</f>
        <v>湖南亮点体育文化发展有限公司</v>
      </c>
      <c r="E358" s="23" t="s">
        <v>116</v>
      </c>
      <c r="F358" s="24">
        <f t="shared" si="6"/>
        <v>300</v>
      </c>
      <c r="G358" s="24" t="s">
        <v>77</v>
      </c>
      <c r="H358" s="25"/>
      <c r="I358" s="25"/>
      <c r="J358" s="24"/>
      <c r="K358" s="24"/>
      <c r="L358" s="24"/>
      <c r="M358" s="24"/>
      <c r="N358" s="24"/>
      <c r="O358" s="24"/>
      <c r="P358" s="24"/>
      <c r="Q358" s="24"/>
      <c r="R358" s="43"/>
      <c r="S358" s="24">
        <v>300</v>
      </c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36"/>
      <c r="AG358" s="36"/>
      <c r="AH358" s="36"/>
      <c r="AI358" s="36"/>
    </row>
    <row r="359" s="1" customFormat="1" customHeight="1" spans="1:35">
      <c r="A359" s="17">
        <v>356</v>
      </c>
      <c r="B359" s="20">
        <v>46126</v>
      </c>
      <c r="C359" s="26" t="s">
        <v>117</v>
      </c>
      <c r="D359" s="22" t="str" cm="1">
        <f t="array" ref="D359">INDEX([1]Sheet2!A:A,MATCH(E359,[1]Sheet2!B:B,0))</f>
        <v>湖南亮点体育文化发展有限公司</v>
      </c>
      <c r="E359" s="23" t="s">
        <v>118</v>
      </c>
      <c r="F359" s="24">
        <f t="shared" si="6"/>
        <v>200</v>
      </c>
      <c r="G359" s="24" t="s">
        <v>77</v>
      </c>
      <c r="H359" s="25"/>
      <c r="I359" s="25"/>
      <c r="J359" s="24"/>
      <c r="K359" s="24"/>
      <c r="L359" s="24"/>
      <c r="M359" s="24"/>
      <c r="N359" s="24"/>
      <c r="O359" s="24"/>
      <c r="P359" s="24"/>
      <c r="Q359" s="24"/>
      <c r="R359" s="43"/>
      <c r="S359" s="24">
        <v>200</v>
      </c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36"/>
      <c r="AG359" s="36"/>
      <c r="AH359" s="36"/>
      <c r="AI359" s="36"/>
    </row>
    <row r="360" s="1" customFormat="1" customHeight="1" spans="1:35">
      <c r="A360" s="17">
        <v>357</v>
      </c>
      <c r="B360" s="20">
        <v>46126</v>
      </c>
      <c r="C360" s="26" t="s">
        <v>119</v>
      </c>
      <c r="D360" s="22" t="str" cm="1">
        <f t="array" ref="D360">INDEX([1]Sheet2!A:A,MATCH(E360,[1]Sheet2!B:B,0))</f>
        <v>湖南亮点体育文化发展有限公司</v>
      </c>
      <c r="E360" s="23" t="s">
        <v>120</v>
      </c>
      <c r="F360" s="24">
        <f t="shared" si="6"/>
        <v>300</v>
      </c>
      <c r="G360" s="24" t="s">
        <v>77</v>
      </c>
      <c r="H360" s="25"/>
      <c r="I360" s="25"/>
      <c r="J360" s="24"/>
      <c r="K360" s="24"/>
      <c r="L360" s="24"/>
      <c r="M360" s="24"/>
      <c r="N360" s="24"/>
      <c r="O360" s="24"/>
      <c r="P360" s="24"/>
      <c r="Q360" s="24"/>
      <c r="R360" s="43"/>
      <c r="S360" s="24">
        <v>300</v>
      </c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36"/>
      <c r="AG360" s="36"/>
      <c r="AH360" s="36"/>
      <c r="AI360" s="36"/>
    </row>
    <row r="361" s="1" customFormat="1" customHeight="1" spans="1:35">
      <c r="A361" s="17">
        <v>358</v>
      </c>
      <c r="B361" s="20">
        <v>46126</v>
      </c>
      <c r="C361" s="26" t="s">
        <v>121</v>
      </c>
      <c r="D361" s="22" t="str" cm="1">
        <f t="array" ref="D361">INDEX([1]Sheet2!A:A,MATCH(E361,[1]Sheet2!B:B,0))</f>
        <v>湖南亮点体育文化发展有限公司</v>
      </c>
      <c r="E361" s="23" t="s">
        <v>122</v>
      </c>
      <c r="F361" s="24">
        <f t="shared" si="6"/>
        <v>100</v>
      </c>
      <c r="G361" s="24" t="s">
        <v>77</v>
      </c>
      <c r="H361" s="25"/>
      <c r="I361" s="25"/>
      <c r="J361" s="24"/>
      <c r="K361" s="24"/>
      <c r="L361" s="24"/>
      <c r="M361" s="24"/>
      <c r="N361" s="24"/>
      <c r="O361" s="24"/>
      <c r="P361" s="24"/>
      <c r="Q361" s="24"/>
      <c r="R361" s="43"/>
      <c r="S361" s="24">
        <v>100</v>
      </c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36"/>
      <c r="AG361" s="36"/>
      <c r="AH361" s="36"/>
      <c r="AI361" s="36"/>
    </row>
    <row r="362" s="1" customFormat="1" customHeight="1" spans="1:35">
      <c r="A362" s="17">
        <v>359</v>
      </c>
      <c r="B362" s="20">
        <v>46126</v>
      </c>
      <c r="C362" s="26" t="s">
        <v>78</v>
      </c>
      <c r="D362" s="22" t="str" cm="1">
        <f t="array" ref="D362">INDEX([1]Sheet2!A:A,MATCH(E362,[1]Sheet2!B:B,0))</f>
        <v>湖南亮点体育文化发展有限公司</v>
      </c>
      <c r="E362" s="23" t="s">
        <v>123</v>
      </c>
      <c r="F362" s="24">
        <f t="shared" si="6"/>
        <v>100</v>
      </c>
      <c r="G362" s="24" t="s">
        <v>77</v>
      </c>
      <c r="H362" s="25"/>
      <c r="I362" s="25"/>
      <c r="J362" s="24"/>
      <c r="K362" s="24"/>
      <c r="L362" s="24"/>
      <c r="M362" s="24"/>
      <c r="N362" s="24"/>
      <c r="O362" s="24"/>
      <c r="P362" s="24"/>
      <c r="Q362" s="24"/>
      <c r="R362" s="43"/>
      <c r="S362" s="24">
        <v>100</v>
      </c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36"/>
      <c r="AG362" s="36"/>
      <c r="AH362" s="36"/>
      <c r="AI362" s="36"/>
    </row>
    <row r="363" s="1" customFormat="1" customHeight="1" spans="1:35">
      <c r="A363" s="17">
        <v>360</v>
      </c>
      <c r="B363" s="20">
        <v>46126</v>
      </c>
      <c r="C363" s="26" t="s">
        <v>197</v>
      </c>
      <c r="D363" s="22" t="str" cm="1">
        <f t="array" ref="D363">INDEX([1]Sheet2!A:A,MATCH(E363,[1]Sheet2!B:B,0))</f>
        <v>湖南亮点体育文化发展有限公司</v>
      </c>
      <c r="E363" s="23" t="s">
        <v>198</v>
      </c>
      <c r="F363" s="24">
        <f t="shared" si="6"/>
        <v>300</v>
      </c>
      <c r="G363" s="24" t="s">
        <v>77</v>
      </c>
      <c r="H363" s="25"/>
      <c r="I363" s="25"/>
      <c r="J363" s="24"/>
      <c r="K363" s="24"/>
      <c r="L363" s="24"/>
      <c r="M363" s="24"/>
      <c r="N363" s="24"/>
      <c r="O363" s="24"/>
      <c r="P363" s="24"/>
      <c r="Q363" s="24"/>
      <c r="R363" s="43"/>
      <c r="S363" s="24">
        <v>300</v>
      </c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36"/>
      <c r="AG363" s="36"/>
      <c r="AH363" s="36"/>
      <c r="AI363" s="36"/>
    </row>
    <row r="364" s="1" customFormat="1" customHeight="1" spans="1:35">
      <c r="A364" s="17">
        <v>361</v>
      </c>
      <c r="B364" s="20">
        <v>46126</v>
      </c>
      <c r="C364" s="26" t="s">
        <v>456</v>
      </c>
      <c r="D364" s="22" t="str" cm="1">
        <f t="array" ref="D364">INDEX([1]Sheet2!A:A,MATCH(E364,[1]Sheet2!B:B,0))</f>
        <v>游惠莲</v>
      </c>
      <c r="E364" s="23" t="s">
        <v>457</v>
      </c>
      <c r="F364" s="24">
        <f t="shared" si="6"/>
        <v>2000</v>
      </c>
      <c r="G364" s="24" t="s">
        <v>77</v>
      </c>
      <c r="H364" s="25"/>
      <c r="I364" s="25"/>
      <c r="J364" s="24"/>
      <c r="K364" s="24"/>
      <c r="L364" s="24"/>
      <c r="M364" s="24"/>
      <c r="N364" s="24"/>
      <c r="O364" s="24"/>
      <c r="P364" s="24"/>
      <c r="Q364" s="24"/>
      <c r="R364" s="43"/>
      <c r="S364" s="24">
        <v>2000</v>
      </c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36"/>
      <c r="AG364" s="36"/>
      <c r="AH364" s="36"/>
      <c r="AI364" s="36"/>
    </row>
    <row r="365" s="1" customFormat="1" customHeight="1" spans="1:35">
      <c r="A365" s="17">
        <v>362</v>
      </c>
      <c r="B365" s="20">
        <v>46126</v>
      </c>
      <c r="C365" s="26" t="s">
        <v>95</v>
      </c>
      <c r="D365" s="22" t="str" cm="1">
        <f t="array" ref="D365">INDEX([1]Sheet2!A:A,MATCH(E365,[1]Sheet2!B:B,0))</f>
        <v>周建华</v>
      </c>
      <c r="E365" s="23" t="s">
        <v>96</v>
      </c>
      <c r="F365" s="24">
        <f t="shared" si="6"/>
        <v>300</v>
      </c>
      <c r="G365" s="24" t="s">
        <v>77</v>
      </c>
      <c r="H365" s="25"/>
      <c r="I365" s="25"/>
      <c r="J365" s="24"/>
      <c r="K365" s="24"/>
      <c r="L365" s="24"/>
      <c r="M365" s="24"/>
      <c r="N365" s="24"/>
      <c r="O365" s="24"/>
      <c r="P365" s="24"/>
      <c r="Q365" s="24"/>
      <c r="R365" s="43"/>
      <c r="S365" s="24">
        <v>300</v>
      </c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36"/>
      <c r="AG365" s="36"/>
      <c r="AH365" s="36"/>
      <c r="AI365" s="36"/>
    </row>
    <row r="366" s="1" customFormat="1" customHeight="1" spans="1:35">
      <c r="A366" s="17">
        <v>363</v>
      </c>
      <c r="B366" s="20">
        <v>46126</v>
      </c>
      <c r="C366" s="26" t="s">
        <v>458</v>
      </c>
      <c r="D366" s="22" t="str" cm="1">
        <f t="array" ref="D366">INDEX([1]Sheet2!A:A,MATCH(E366,[1]Sheet2!B:B,0))</f>
        <v>汤国权</v>
      </c>
      <c r="E366" s="23" t="s">
        <v>459</v>
      </c>
      <c r="F366" s="24">
        <f t="shared" si="6"/>
        <v>1000</v>
      </c>
      <c r="G366" s="24" t="s">
        <v>77</v>
      </c>
      <c r="H366" s="25"/>
      <c r="I366" s="25"/>
      <c r="J366" s="24"/>
      <c r="K366" s="24"/>
      <c r="L366" s="24"/>
      <c r="M366" s="24"/>
      <c r="N366" s="24"/>
      <c r="O366" s="24"/>
      <c r="P366" s="24"/>
      <c r="Q366" s="24"/>
      <c r="R366" s="43"/>
      <c r="S366" s="24">
        <v>1000</v>
      </c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36"/>
      <c r="AG366" s="36"/>
      <c r="AH366" s="36"/>
      <c r="AI366" s="36"/>
    </row>
    <row r="367" s="1" customFormat="1" customHeight="1" spans="1:35">
      <c r="A367" s="17">
        <v>364</v>
      </c>
      <c r="B367" s="20">
        <v>46126</v>
      </c>
      <c r="C367" s="26" t="s">
        <v>111</v>
      </c>
      <c r="D367" s="22" t="str" cm="1">
        <f t="array" ref="D367">INDEX([1]Sheet2!A:A,MATCH(E367,[1]Sheet2!B:B,0))</f>
        <v>邹德峰</v>
      </c>
      <c r="E367" s="23" t="s">
        <v>112</v>
      </c>
      <c r="F367" s="24">
        <f t="shared" si="6"/>
        <v>1000</v>
      </c>
      <c r="G367" s="24" t="s">
        <v>77</v>
      </c>
      <c r="H367" s="25"/>
      <c r="I367" s="25"/>
      <c r="J367" s="24"/>
      <c r="K367" s="24"/>
      <c r="L367" s="24"/>
      <c r="M367" s="24"/>
      <c r="N367" s="24"/>
      <c r="O367" s="24"/>
      <c r="P367" s="24"/>
      <c r="Q367" s="24"/>
      <c r="R367" s="43"/>
      <c r="S367" s="24">
        <v>1000</v>
      </c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36"/>
      <c r="AG367" s="36"/>
      <c r="AH367" s="36"/>
      <c r="AI367" s="36"/>
    </row>
    <row r="368" s="1" customFormat="1" customHeight="1" spans="1:35">
      <c r="A368" s="17">
        <v>365</v>
      </c>
      <c r="B368" s="20">
        <v>46126</v>
      </c>
      <c r="C368" s="26" t="s">
        <v>135</v>
      </c>
      <c r="D368" s="22" t="str" cm="1">
        <f t="array" ref="D368">INDEX([1]Sheet2!A:A,MATCH(E368,[1]Sheet2!B:B,0))</f>
        <v>周军伟</v>
      </c>
      <c r="E368" s="53" t="s">
        <v>136</v>
      </c>
      <c r="F368" s="24">
        <f t="shared" si="6"/>
        <v>40</v>
      </c>
      <c r="G368" s="24" t="s">
        <v>77</v>
      </c>
      <c r="H368" s="25"/>
      <c r="I368" s="25"/>
      <c r="J368" s="24"/>
      <c r="K368" s="24"/>
      <c r="L368" s="24"/>
      <c r="M368" s="24"/>
      <c r="N368" s="24"/>
      <c r="O368" s="24"/>
      <c r="P368" s="24"/>
      <c r="Q368" s="24"/>
      <c r="R368" s="61"/>
      <c r="S368" s="24">
        <v>40</v>
      </c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36"/>
      <c r="AG368" s="36"/>
      <c r="AH368" s="36"/>
      <c r="AI368" s="36"/>
    </row>
    <row r="369" s="1" customFormat="1" customHeight="1" spans="1:35">
      <c r="A369" s="17">
        <v>366</v>
      </c>
      <c r="B369" s="20">
        <v>46126</v>
      </c>
      <c r="C369" s="26" t="s">
        <v>460</v>
      </c>
      <c r="D369" s="22" t="str" cm="1">
        <f t="array" ref="D369">INDEX([1]Sheet2!A:A,MATCH(E369,[1]Sheet2!B:B,0))</f>
        <v>封旭</v>
      </c>
      <c r="E369" s="53" t="s">
        <v>461</v>
      </c>
      <c r="F369" s="24">
        <f t="shared" si="6"/>
        <v>500</v>
      </c>
      <c r="G369" s="24" t="s">
        <v>77</v>
      </c>
      <c r="H369" s="25"/>
      <c r="I369" s="25"/>
      <c r="J369" s="24"/>
      <c r="K369" s="24"/>
      <c r="L369" s="24"/>
      <c r="M369" s="24"/>
      <c r="N369" s="24"/>
      <c r="O369" s="24"/>
      <c r="P369" s="24"/>
      <c r="Q369" s="24"/>
      <c r="R369" s="61"/>
      <c r="S369" s="24">
        <v>500</v>
      </c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36"/>
      <c r="AG369" s="36"/>
      <c r="AH369" s="36"/>
      <c r="AI369" s="36"/>
    </row>
    <row r="370" s="1" customFormat="1" customHeight="1" spans="1:35">
      <c r="A370" s="17">
        <v>367</v>
      </c>
      <c r="B370" s="20">
        <v>46126</v>
      </c>
      <c r="C370" s="26" t="s">
        <v>24</v>
      </c>
      <c r="D370" s="22" t="str" cm="1">
        <f t="array" ref="D370">INDEX([1]Sheet2!A:A,MATCH(E370,[1]Sheet2!B:B,0))</f>
        <v>临时</v>
      </c>
      <c r="E370" s="23" t="s">
        <v>99</v>
      </c>
      <c r="F370" s="24">
        <f t="shared" si="6"/>
        <v>336</v>
      </c>
      <c r="G370" s="24" t="s">
        <v>100</v>
      </c>
      <c r="H370" s="25"/>
      <c r="I370" s="25"/>
      <c r="J370" s="24"/>
      <c r="K370" s="24"/>
      <c r="L370" s="24"/>
      <c r="M370" s="24"/>
      <c r="N370" s="24"/>
      <c r="O370" s="24"/>
      <c r="P370" s="24"/>
      <c r="Q370" s="24"/>
      <c r="R370" s="43"/>
      <c r="S370" s="24"/>
      <c r="T370" s="24"/>
      <c r="U370" s="24"/>
      <c r="V370" s="24"/>
      <c r="W370" s="24">
        <v>336</v>
      </c>
      <c r="X370" s="24"/>
      <c r="Y370" s="24"/>
      <c r="Z370" s="24"/>
      <c r="AA370" s="24"/>
      <c r="AB370" s="24"/>
      <c r="AC370" s="24"/>
      <c r="AD370" s="24"/>
      <c r="AE370" s="24"/>
      <c r="AF370" s="36"/>
      <c r="AG370" s="36"/>
      <c r="AH370" s="36"/>
      <c r="AI370" s="36"/>
    </row>
    <row r="371" s="1" customFormat="1" customHeight="1" spans="1:35">
      <c r="A371" s="17">
        <v>368</v>
      </c>
      <c r="B371" s="20">
        <v>46127</v>
      </c>
      <c r="C371" s="26" t="s">
        <v>462</v>
      </c>
      <c r="D371" s="22" t="s">
        <v>463</v>
      </c>
      <c r="E371" s="23" t="s">
        <v>464</v>
      </c>
      <c r="F371" s="24">
        <f t="shared" si="6"/>
        <v>28552.98</v>
      </c>
      <c r="G371" s="24" t="s">
        <v>40</v>
      </c>
      <c r="H371" s="25">
        <v>46082</v>
      </c>
      <c r="I371" s="25">
        <v>46112</v>
      </c>
      <c r="J371" s="24">
        <v>25692.98</v>
      </c>
      <c r="K371" s="24">
        <v>2860</v>
      </c>
      <c r="L371" s="24"/>
      <c r="M371" s="24"/>
      <c r="N371" s="24"/>
      <c r="O371" s="24"/>
      <c r="P371" s="24"/>
      <c r="Q371" s="24"/>
      <c r="R371" s="43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36"/>
      <c r="AG371" s="36"/>
      <c r="AH371" s="36"/>
      <c r="AI371" s="36"/>
    </row>
    <row r="372" s="1" customFormat="1" customHeight="1" spans="1:35">
      <c r="A372" s="17">
        <v>369</v>
      </c>
      <c r="B372" s="20">
        <v>46127</v>
      </c>
      <c r="C372" s="26" t="s">
        <v>141</v>
      </c>
      <c r="D372" s="22" t="s">
        <v>465</v>
      </c>
      <c r="E372" s="23" t="s">
        <v>466</v>
      </c>
      <c r="F372" s="24">
        <f t="shared" si="6"/>
        <v>783.16</v>
      </c>
      <c r="G372" s="24" t="s">
        <v>40</v>
      </c>
      <c r="H372" s="25">
        <v>46082</v>
      </c>
      <c r="I372" s="25">
        <v>46112</v>
      </c>
      <c r="J372" s="24"/>
      <c r="K372" s="24"/>
      <c r="L372" s="24"/>
      <c r="M372" s="24"/>
      <c r="N372" s="24"/>
      <c r="O372" s="24"/>
      <c r="P372" s="24"/>
      <c r="Q372" s="24"/>
      <c r="R372" s="43"/>
      <c r="S372" s="24"/>
      <c r="T372" s="24"/>
      <c r="U372" s="24"/>
      <c r="V372" s="24"/>
      <c r="W372" s="24"/>
      <c r="X372" s="24"/>
      <c r="Y372" s="24"/>
      <c r="Z372" s="24"/>
      <c r="AA372" s="24">
        <v>783.16</v>
      </c>
      <c r="AB372" s="24"/>
      <c r="AC372" s="24"/>
      <c r="AD372" s="24"/>
      <c r="AE372" s="24"/>
      <c r="AF372" s="36"/>
      <c r="AG372" s="36"/>
      <c r="AH372" s="36"/>
      <c r="AI372" s="36"/>
    </row>
    <row r="373" s="1" customFormat="1" customHeight="1" spans="1:35">
      <c r="A373" s="17">
        <v>370</v>
      </c>
      <c r="B373" s="20">
        <v>46127</v>
      </c>
      <c r="C373" s="26" t="s">
        <v>467</v>
      </c>
      <c r="D373" s="22" t="s">
        <v>468</v>
      </c>
      <c r="E373" s="23" t="s">
        <v>469</v>
      </c>
      <c r="F373" s="24">
        <f t="shared" si="6"/>
        <v>33411.98</v>
      </c>
      <c r="G373" s="24" t="s">
        <v>40</v>
      </c>
      <c r="H373" s="25">
        <v>46082</v>
      </c>
      <c r="I373" s="25">
        <v>46112</v>
      </c>
      <c r="J373" s="24">
        <v>33411.98</v>
      </c>
      <c r="K373" s="24"/>
      <c r="L373" s="24"/>
      <c r="M373" s="24"/>
      <c r="N373" s="24"/>
      <c r="O373" s="24"/>
      <c r="P373" s="24"/>
      <c r="Q373" s="24"/>
      <c r="R373" s="43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36"/>
      <c r="AG373" s="36"/>
      <c r="AH373" s="36"/>
      <c r="AI373" s="36"/>
    </row>
    <row r="374" s="1" customFormat="1" customHeight="1" spans="1:35">
      <c r="A374" s="17">
        <v>371</v>
      </c>
      <c r="B374" s="20">
        <v>46127</v>
      </c>
      <c r="C374" s="26" t="s">
        <v>467</v>
      </c>
      <c r="D374" s="22" t="s">
        <v>468</v>
      </c>
      <c r="E374" s="23" t="s">
        <v>469</v>
      </c>
      <c r="F374" s="24">
        <f t="shared" si="6"/>
        <v>2760</v>
      </c>
      <c r="G374" s="24" t="s">
        <v>40</v>
      </c>
      <c r="H374" s="25">
        <v>46113</v>
      </c>
      <c r="I374" s="25">
        <v>46142</v>
      </c>
      <c r="J374" s="24"/>
      <c r="K374" s="24">
        <v>2760</v>
      </c>
      <c r="L374" s="24"/>
      <c r="M374" s="24"/>
      <c r="N374" s="24"/>
      <c r="O374" s="24"/>
      <c r="P374" s="24"/>
      <c r="Q374" s="24"/>
      <c r="R374" s="43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36"/>
      <c r="AG374" s="36"/>
      <c r="AH374" s="36"/>
      <c r="AI374" s="36"/>
    </row>
    <row r="375" s="1" customFormat="1" customHeight="1" spans="1:35">
      <c r="A375" s="17">
        <v>372</v>
      </c>
      <c r="B375" s="20">
        <v>46127</v>
      </c>
      <c r="C375" s="26" t="s">
        <v>25</v>
      </c>
      <c r="D375" s="22" t="s">
        <v>470</v>
      </c>
      <c r="E375" s="23" t="s">
        <v>471</v>
      </c>
      <c r="F375" s="24">
        <f t="shared" si="6"/>
        <v>10000</v>
      </c>
      <c r="G375" s="24" t="s">
        <v>40</v>
      </c>
      <c r="H375" s="25"/>
      <c r="I375" s="25"/>
      <c r="J375" s="24"/>
      <c r="K375" s="24"/>
      <c r="L375" s="24"/>
      <c r="M375" s="24"/>
      <c r="N375" s="24"/>
      <c r="O375" s="24"/>
      <c r="P375" s="24"/>
      <c r="Q375" s="24"/>
      <c r="R375" s="43"/>
      <c r="S375" s="24"/>
      <c r="T375" s="24"/>
      <c r="U375" s="24"/>
      <c r="V375" s="24"/>
      <c r="W375" s="24"/>
      <c r="X375" s="24">
        <v>10000</v>
      </c>
      <c r="Y375" s="24"/>
      <c r="Z375" s="24"/>
      <c r="AA375" s="24"/>
      <c r="AB375" s="24"/>
      <c r="AC375" s="24"/>
      <c r="AD375" s="24"/>
      <c r="AE375" s="24"/>
      <c r="AF375" s="36"/>
      <c r="AG375" s="36"/>
      <c r="AH375" s="36"/>
      <c r="AI375" s="36"/>
    </row>
    <row r="376" s="2" customFormat="1" customHeight="1" spans="1:35">
      <c r="A376" s="27">
        <v>373</v>
      </c>
      <c r="B376" s="28">
        <v>46127</v>
      </c>
      <c r="C376" s="29" t="s">
        <v>472</v>
      </c>
      <c r="D376" s="30" t="s">
        <v>473</v>
      </c>
      <c r="E376" s="31" t="s">
        <v>474</v>
      </c>
      <c r="F376" s="32">
        <f t="shared" si="6"/>
        <v>9799.84</v>
      </c>
      <c r="G376" s="32" t="s">
        <v>49</v>
      </c>
      <c r="H376" s="33"/>
      <c r="I376" s="33"/>
      <c r="J376" s="32"/>
      <c r="K376" s="32"/>
      <c r="L376" s="32"/>
      <c r="M376" s="32"/>
      <c r="N376" s="32"/>
      <c r="O376" s="32"/>
      <c r="P376" s="32"/>
      <c r="Q376" s="32"/>
      <c r="R376" s="45"/>
      <c r="S376" s="32"/>
      <c r="T376" s="32"/>
      <c r="U376" s="32"/>
      <c r="V376" s="32"/>
      <c r="W376" s="32"/>
      <c r="X376" s="32"/>
      <c r="Y376" s="32"/>
      <c r="Z376" s="32"/>
      <c r="AA376" s="32">
        <v>9799.84</v>
      </c>
      <c r="AB376" s="32"/>
      <c r="AC376" s="32"/>
      <c r="AD376" s="32"/>
      <c r="AE376" s="32"/>
      <c r="AF376" s="35" t="s">
        <v>60</v>
      </c>
      <c r="AG376" s="35"/>
      <c r="AH376" s="35"/>
      <c r="AI376" s="35"/>
    </row>
    <row r="377" s="1" customFormat="1" customHeight="1" spans="1:35">
      <c r="A377" s="17">
        <v>374</v>
      </c>
      <c r="B377" s="20">
        <v>46127</v>
      </c>
      <c r="C377" s="26" t="s">
        <v>475</v>
      </c>
      <c r="D377" s="22" t="s">
        <v>476</v>
      </c>
      <c r="E377" s="23" t="s">
        <v>477</v>
      </c>
      <c r="F377" s="24">
        <f t="shared" si="6"/>
        <v>9825</v>
      </c>
      <c r="G377" s="24" t="s">
        <v>49</v>
      </c>
      <c r="H377" s="25">
        <v>46143</v>
      </c>
      <c r="I377" s="25">
        <v>46234</v>
      </c>
      <c r="J377" s="24">
        <v>5895</v>
      </c>
      <c r="K377" s="24">
        <v>3930</v>
      </c>
      <c r="L377" s="24"/>
      <c r="M377" s="24"/>
      <c r="N377" s="24"/>
      <c r="O377" s="24"/>
      <c r="P377" s="24"/>
      <c r="Q377" s="24"/>
      <c r="R377" s="43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36"/>
      <c r="AG377" s="36"/>
      <c r="AH377" s="36"/>
      <c r="AI377" s="36"/>
    </row>
    <row r="378" s="2" customFormat="1" customHeight="1" spans="1:35">
      <c r="A378" s="27">
        <v>375</v>
      </c>
      <c r="B378" s="28">
        <v>46127</v>
      </c>
      <c r="C378" s="29" t="s">
        <v>131</v>
      </c>
      <c r="D378" s="30" t="s">
        <v>379</v>
      </c>
      <c r="E378" s="31" t="s">
        <v>132</v>
      </c>
      <c r="F378" s="32">
        <f t="shared" si="6"/>
        <v>36129.88</v>
      </c>
      <c r="G378" s="32" t="s">
        <v>49</v>
      </c>
      <c r="H378" s="33"/>
      <c r="I378" s="33"/>
      <c r="J378" s="32"/>
      <c r="K378" s="32"/>
      <c r="L378" s="32"/>
      <c r="M378" s="32"/>
      <c r="N378" s="32"/>
      <c r="O378" s="32"/>
      <c r="P378" s="32"/>
      <c r="Q378" s="32"/>
      <c r="R378" s="45"/>
      <c r="S378" s="32"/>
      <c r="T378" s="32"/>
      <c r="U378" s="32"/>
      <c r="V378" s="32"/>
      <c r="W378" s="32"/>
      <c r="X378" s="32"/>
      <c r="Y378" s="32"/>
      <c r="Z378" s="32"/>
      <c r="AA378" s="32">
        <v>36129.88</v>
      </c>
      <c r="AB378" s="32"/>
      <c r="AC378" s="32"/>
      <c r="AD378" s="32"/>
      <c r="AE378" s="32"/>
      <c r="AF378" s="35" t="s">
        <v>60</v>
      </c>
      <c r="AG378" s="35"/>
      <c r="AH378" s="35"/>
      <c r="AI378" s="35"/>
    </row>
    <row r="379" s="1" customFormat="1" customHeight="1" spans="1:35">
      <c r="A379" s="17">
        <v>376</v>
      </c>
      <c r="B379" s="20">
        <v>46127</v>
      </c>
      <c r="C379" s="26" t="s">
        <v>24</v>
      </c>
      <c r="D379" s="22" t="str" cm="1">
        <f t="array" ref="D379">INDEX([1]Sheet2!A:A,MATCH(E379,[1]Sheet2!B:B,0))</f>
        <v>充值</v>
      </c>
      <c r="E379" s="23" t="s">
        <v>72</v>
      </c>
      <c r="F379" s="24">
        <f t="shared" si="6"/>
        <v>600</v>
      </c>
      <c r="G379" s="24" t="s">
        <v>49</v>
      </c>
      <c r="H379" s="36"/>
      <c r="I379" s="36"/>
      <c r="J379" s="24"/>
      <c r="K379" s="24"/>
      <c r="L379" s="24"/>
      <c r="M379" s="24"/>
      <c r="N379" s="24"/>
      <c r="O379" s="24"/>
      <c r="P379" s="24"/>
      <c r="Q379" s="24"/>
      <c r="R379" s="43"/>
      <c r="S379" s="24"/>
      <c r="T379" s="24"/>
      <c r="U379" s="24"/>
      <c r="V379" s="24"/>
      <c r="W379" s="24">
        <v>600</v>
      </c>
      <c r="X379" s="24"/>
      <c r="Y379" s="24"/>
      <c r="Z379" s="24"/>
      <c r="AA379" s="24"/>
      <c r="AB379" s="24"/>
      <c r="AC379" s="24"/>
      <c r="AD379" s="24"/>
      <c r="AE379" s="24"/>
      <c r="AF379" s="36"/>
      <c r="AG379" s="36"/>
      <c r="AH379" s="36"/>
      <c r="AI379" s="36"/>
    </row>
    <row r="380" s="1" customFormat="1" customHeight="1" spans="1:35">
      <c r="A380" s="17">
        <v>377</v>
      </c>
      <c r="B380" s="20">
        <v>46127</v>
      </c>
      <c r="C380" s="26" t="s">
        <v>73</v>
      </c>
      <c r="D380" s="22" t="str" cm="1">
        <f t="array" ref="D380">INDEX([1]Sheet2!A:A,MATCH(E380,[1]Sheet2!B:B,0))</f>
        <v>衡阳志扬体育文化有限公司</v>
      </c>
      <c r="E380" s="23" t="s">
        <v>74</v>
      </c>
      <c r="F380" s="24">
        <f t="shared" si="6"/>
        <v>2738</v>
      </c>
      <c r="G380" s="24" t="s">
        <v>49</v>
      </c>
      <c r="H380" s="36"/>
      <c r="I380" s="36"/>
      <c r="J380" s="24"/>
      <c r="K380" s="24"/>
      <c r="L380" s="24"/>
      <c r="M380" s="24"/>
      <c r="N380" s="24"/>
      <c r="O380" s="24"/>
      <c r="P380" s="24"/>
      <c r="Q380" s="24"/>
      <c r="R380" s="43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>
        <v>2738</v>
      </c>
      <c r="AF380" s="36"/>
      <c r="AG380" s="36"/>
      <c r="AH380" s="36"/>
      <c r="AI380" s="36"/>
    </row>
    <row r="381" s="1" customFormat="1" customHeight="1" spans="1:35">
      <c r="A381" s="17">
        <v>378</v>
      </c>
      <c r="B381" s="20">
        <v>46127</v>
      </c>
      <c r="C381" s="26" t="s">
        <v>168</v>
      </c>
      <c r="D381" s="22" t="e" cm="1">
        <f t="array" ref="D381">INDEX([1]Sheet2!A:A,MATCH(E381,[1]Sheet2!B:B,0))</f>
        <v>#N/A</v>
      </c>
      <c r="E381" s="23" t="s">
        <v>168</v>
      </c>
      <c r="F381" s="24">
        <f t="shared" si="6"/>
        <v>2</v>
      </c>
      <c r="G381" s="24" t="s">
        <v>49</v>
      </c>
      <c r="H381" s="36"/>
      <c r="I381" s="36"/>
      <c r="J381" s="24"/>
      <c r="K381" s="24"/>
      <c r="L381" s="24"/>
      <c r="M381" s="24"/>
      <c r="N381" s="24"/>
      <c r="O381" s="24"/>
      <c r="P381" s="24"/>
      <c r="Q381" s="24"/>
      <c r="R381" s="43"/>
      <c r="S381" s="24"/>
      <c r="T381" s="24"/>
      <c r="U381" s="24"/>
      <c r="V381" s="24">
        <v>2</v>
      </c>
      <c r="W381" s="24"/>
      <c r="X381" s="24"/>
      <c r="Y381" s="24"/>
      <c r="Z381" s="24"/>
      <c r="AA381" s="24"/>
      <c r="AB381" s="24"/>
      <c r="AC381" s="24"/>
      <c r="AD381" s="24"/>
      <c r="AE381" s="24"/>
      <c r="AF381" s="36"/>
      <c r="AG381" s="36"/>
      <c r="AH381" s="36"/>
      <c r="AI381" s="36"/>
    </row>
    <row r="382" s="1" customFormat="1" customHeight="1" spans="1:35">
      <c r="A382" s="17">
        <v>379</v>
      </c>
      <c r="B382" s="20">
        <v>46127</v>
      </c>
      <c r="C382" s="26" t="s">
        <v>107</v>
      </c>
      <c r="D382" s="22" t="str" cm="1">
        <f t="array" ref="D382">INDEX([1]Sheet2!A:A,MATCH(E382,[1]Sheet2!B:B,0))</f>
        <v>陈捷</v>
      </c>
      <c r="E382" s="23" t="s">
        <v>108</v>
      </c>
      <c r="F382" s="24">
        <f t="shared" si="6"/>
        <v>200</v>
      </c>
      <c r="G382" s="24" t="s">
        <v>77</v>
      </c>
      <c r="H382" s="36"/>
      <c r="I382" s="36"/>
      <c r="J382" s="24"/>
      <c r="K382" s="24"/>
      <c r="L382" s="24"/>
      <c r="M382" s="24"/>
      <c r="N382" s="24"/>
      <c r="O382" s="24"/>
      <c r="P382" s="24"/>
      <c r="Q382" s="24"/>
      <c r="R382" s="43"/>
      <c r="S382" s="24">
        <v>200</v>
      </c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36"/>
      <c r="AG382" s="36"/>
      <c r="AH382" s="36"/>
      <c r="AI382" s="36"/>
    </row>
    <row r="383" s="1" customFormat="1" customHeight="1" spans="1:35">
      <c r="A383" s="17">
        <v>380</v>
      </c>
      <c r="B383" s="20">
        <v>46127</v>
      </c>
      <c r="C383" s="26" t="s">
        <v>84</v>
      </c>
      <c r="D383" s="22" t="str" cm="1">
        <f t="array" ref="D383">INDEX([1]Sheet2!A:A,MATCH(E383,[1]Sheet2!B:B,0))</f>
        <v>莫靖凡</v>
      </c>
      <c r="E383" s="23" t="s">
        <v>85</v>
      </c>
      <c r="F383" s="24">
        <f t="shared" si="6"/>
        <v>50</v>
      </c>
      <c r="G383" s="24" t="s">
        <v>77</v>
      </c>
      <c r="H383" s="36"/>
      <c r="I383" s="36"/>
      <c r="J383" s="24"/>
      <c r="K383" s="24"/>
      <c r="L383" s="24"/>
      <c r="M383" s="24"/>
      <c r="N383" s="24"/>
      <c r="O383" s="24"/>
      <c r="P383" s="24"/>
      <c r="Q383" s="24"/>
      <c r="R383" s="43"/>
      <c r="S383" s="24">
        <v>50</v>
      </c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36"/>
      <c r="AG383" s="36"/>
      <c r="AH383" s="36"/>
      <c r="AI383" s="36"/>
    </row>
    <row r="384" s="1" customFormat="1" customHeight="1" spans="1:35">
      <c r="A384" s="17">
        <v>381</v>
      </c>
      <c r="B384" s="20">
        <v>46127</v>
      </c>
      <c r="C384" s="26" t="s">
        <v>384</v>
      </c>
      <c r="D384" s="22" t="str" cm="1">
        <f t="array" ref="D384">INDEX([1]Sheet2!A:A,MATCH(E384,[1]Sheet2!B:B,0))</f>
        <v>杨杰</v>
      </c>
      <c r="E384" s="23" t="s">
        <v>134</v>
      </c>
      <c r="F384" s="24">
        <f t="shared" si="6"/>
        <v>50</v>
      </c>
      <c r="G384" s="24" t="s">
        <v>77</v>
      </c>
      <c r="H384" s="36"/>
      <c r="I384" s="36"/>
      <c r="J384" s="24"/>
      <c r="K384" s="24"/>
      <c r="L384" s="24"/>
      <c r="M384" s="24"/>
      <c r="N384" s="24"/>
      <c r="O384" s="24"/>
      <c r="P384" s="24"/>
      <c r="Q384" s="24"/>
      <c r="R384" s="43"/>
      <c r="S384" s="24">
        <v>50</v>
      </c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36"/>
      <c r="AG384" s="36"/>
      <c r="AH384" s="36"/>
      <c r="AI384" s="36"/>
    </row>
    <row r="385" s="1" customFormat="1" customHeight="1" spans="1:35">
      <c r="A385" s="17">
        <v>382</v>
      </c>
      <c r="B385" s="20">
        <v>46127</v>
      </c>
      <c r="C385" s="26" t="s">
        <v>187</v>
      </c>
      <c r="D385" s="22" t="str" cm="1">
        <f t="array" ref="D385">INDEX([1]Sheet2!A:A,MATCH(E385,[1]Sheet2!B:B,0))</f>
        <v>衡阳市新顺电器有限公司</v>
      </c>
      <c r="E385" s="23" t="s">
        <v>188</v>
      </c>
      <c r="F385" s="24">
        <f t="shared" si="6"/>
        <v>1000</v>
      </c>
      <c r="G385" s="24" t="s">
        <v>77</v>
      </c>
      <c r="H385" s="36"/>
      <c r="I385" s="36"/>
      <c r="J385" s="24"/>
      <c r="K385" s="24"/>
      <c r="L385" s="24"/>
      <c r="M385" s="24"/>
      <c r="N385" s="24"/>
      <c r="O385" s="24"/>
      <c r="P385" s="24"/>
      <c r="Q385" s="24"/>
      <c r="R385" s="43"/>
      <c r="S385" s="24">
        <v>1000</v>
      </c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36"/>
      <c r="AG385" s="36"/>
      <c r="AH385" s="36"/>
      <c r="AI385" s="36"/>
    </row>
    <row r="386" s="1" customFormat="1" customHeight="1" spans="1:35">
      <c r="A386" s="17">
        <v>383</v>
      </c>
      <c r="B386" s="20">
        <v>46127</v>
      </c>
      <c r="C386" s="26" t="s">
        <v>478</v>
      </c>
      <c r="D386" s="22" t="str" cm="1">
        <f t="array" ref="D386">INDEX([1]Sheet2!A:A,MATCH(E386,[1]Sheet2!B:B,0))</f>
        <v>高威</v>
      </c>
      <c r="E386" s="23" t="s">
        <v>479</v>
      </c>
      <c r="F386" s="24">
        <f t="shared" si="6"/>
        <v>1000</v>
      </c>
      <c r="G386" s="24" t="s">
        <v>77</v>
      </c>
      <c r="H386" s="36"/>
      <c r="I386" s="36"/>
      <c r="J386" s="24"/>
      <c r="K386" s="24"/>
      <c r="L386" s="24"/>
      <c r="M386" s="24"/>
      <c r="N386" s="24"/>
      <c r="O386" s="24"/>
      <c r="P386" s="24"/>
      <c r="Q386" s="24"/>
      <c r="R386" s="43"/>
      <c r="S386" s="24">
        <v>1000</v>
      </c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36"/>
      <c r="AG386" s="36"/>
      <c r="AH386" s="36"/>
      <c r="AI386" s="36"/>
    </row>
    <row r="387" s="1" customFormat="1" customHeight="1" spans="1:35">
      <c r="A387" s="17">
        <v>384</v>
      </c>
      <c r="B387" s="20">
        <v>46127</v>
      </c>
      <c r="C387" s="21" t="s">
        <v>141</v>
      </c>
      <c r="D387" s="22" t="str" cm="1">
        <f t="array" ref="D387">INDEX([1]Sheet2!A:A,MATCH(E387,[1]Sheet2!B:B,0))</f>
        <v>孙叶芹</v>
      </c>
      <c r="E387" s="23" t="s">
        <v>142</v>
      </c>
      <c r="F387" s="24">
        <f t="shared" si="6"/>
        <v>500</v>
      </c>
      <c r="G387" s="24" t="s">
        <v>77</v>
      </c>
      <c r="H387" s="36"/>
      <c r="I387" s="36"/>
      <c r="J387" s="24"/>
      <c r="K387" s="24"/>
      <c r="L387" s="24"/>
      <c r="M387" s="24"/>
      <c r="N387" s="24"/>
      <c r="O387" s="24"/>
      <c r="P387" s="24"/>
      <c r="Q387" s="24"/>
      <c r="R387" s="43"/>
      <c r="S387" s="24">
        <v>500</v>
      </c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36"/>
      <c r="AG387" s="36"/>
      <c r="AH387" s="36"/>
      <c r="AI387" s="36"/>
    </row>
    <row r="388" s="1" customFormat="1" customHeight="1" spans="1:35">
      <c r="A388" s="17">
        <v>385</v>
      </c>
      <c r="B388" s="20">
        <v>46127</v>
      </c>
      <c r="C388" s="26" t="s">
        <v>88</v>
      </c>
      <c r="D388" s="22" t="str" cm="1">
        <f t="array" ref="D388">INDEX([1]Sheet2!A:A,MATCH(E388,[1]Sheet2!B:B,0))</f>
        <v>马黎平</v>
      </c>
      <c r="E388" s="23" t="s">
        <v>89</v>
      </c>
      <c r="F388" s="24">
        <f t="shared" ref="F388:F451" si="7">SUM(J388:AE388)</f>
        <v>2000</v>
      </c>
      <c r="G388" s="24" t="s">
        <v>77</v>
      </c>
      <c r="H388" s="36"/>
      <c r="I388" s="36"/>
      <c r="J388" s="24"/>
      <c r="K388" s="24"/>
      <c r="L388" s="24"/>
      <c r="M388" s="24"/>
      <c r="N388" s="24"/>
      <c r="O388" s="24"/>
      <c r="P388" s="24"/>
      <c r="Q388" s="24"/>
      <c r="R388" s="43"/>
      <c r="S388" s="24">
        <v>2000</v>
      </c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36"/>
      <c r="AG388" s="36"/>
      <c r="AH388" s="36"/>
      <c r="AI388" s="36"/>
    </row>
    <row r="389" s="1" customFormat="1" customHeight="1" spans="1:35">
      <c r="A389" s="17">
        <v>386</v>
      </c>
      <c r="B389" s="20">
        <v>46127</v>
      </c>
      <c r="C389" s="26" t="s">
        <v>480</v>
      </c>
      <c r="D389" s="22" t="str" cm="1">
        <f t="array" ref="D389">INDEX([1]Sheet2!A:A,MATCH(E389,[1]Sheet2!B:B,0))</f>
        <v>蔡林峰</v>
      </c>
      <c r="E389" s="23" t="s">
        <v>481</v>
      </c>
      <c r="F389" s="24">
        <f t="shared" si="7"/>
        <v>1000</v>
      </c>
      <c r="G389" s="24" t="s">
        <v>77</v>
      </c>
      <c r="H389" s="36"/>
      <c r="I389" s="36"/>
      <c r="J389" s="24"/>
      <c r="K389" s="24"/>
      <c r="L389" s="24"/>
      <c r="M389" s="24"/>
      <c r="N389" s="24"/>
      <c r="O389" s="24"/>
      <c r="P389" s="24"/>
      <c r="Q389" s="24"/>
      <c r="R389" s="43"/>
      <c r="S389" s="24">
        <v>1000</v>
      </c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36"/>
      <c r="AG389" s="36"/>
      <c r="AH389" s="36"/>
      <c r="AI389" s="36"/>
    </row>
    <row r="390" s="1" customFormat="1" customHeight="1" spans="1:35">
      <c r="A390" s="17">
        <v>387</v>
      </c>
      <c r="B390" s="20">
        <v>46127</v>
      </c>
      <c r="C390" s="26" t="s">
        <v>80</v>
      </c>
      <c r="D390" s="22" t="str" cm="1">
        <f t="array" ref="D390">INDEX([1]Sheet2!A:A,MATCH(E390,[1]Sheet2!B:B,0))</f>
        <v>汪天皓</v>
      </c>
      <c r="E390" s="23" t="s">
        <v>81</v>
      </c>
      <c r="F390" s="24">
        <f t="shared" si="7"/>
        <v>500</v>
      </c>
      <c r="G390" s="24" t="s">
        <v>77</v>
      </c>
      <c r="H390" s="36"/>
      <c r="I390" s="36"/>
      <c r="J390" s="24"/>
      <c r="K390" s="24"/>
      <c r="L390" s="24"/>
      <c r="M390" s="24"/>
      <c r="N390" s="24"/>
      <c r="O390" s="24"/>
      <c r="P390" s="24"/>
      <c r="Q390" s="24"/>
      <c r="R390" s="43"/>
      <c r="S390" s="24">
        <v>500</v>
      </c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36"/>
      <c r="AG390" s="36"/>
      <c r="AH390" s="36"/>
      <c r="AI390" s="36"/>
    </row>
    <row r="391" s="1" customFormat="1" customHeight="1" spans="1:35">
      <c r="A391" s="17">
        <v>388</v>
      </c>
      <c r="B391" s="20">
        <v>46127</v>
      </c>
      <c r="C391" s="26" t="s">
        <v>482</v>
      </c>
      <c r="D391" s="22" t="str" cm="1">
        <f t="array" ref="D391">INDEX([1]Sheet2!A:A,MATCH(E391,[1]Sheet2!B:B,0))</f>
        <v>汪天皓</v>
      </c>
      <c r="E391" s="23" t="s">
        <v>79</v>
      </c>
      <c r="F391" s="24">
        <f t="shared" si="7"/>
        <v>500</v>
      </c>
      <c r="G391" s="24" t="s">
        <v>77</v>
      </c>
      <c r="H391" s="36"/>
      <c r="I391" s="36"/>
      <c r="J391" s="24"/>
      <c r="K391" s="24"/>
      <c r="L391" s="24"/>
      <c r="M391" s="24"/>
      <c r="N391" s="24"/>
      <c r="O391" s="24"/>
      <c r="P391" s="24"/>
      <c r="Q391" s="24"/>
      <c r="R391" s="43"/>
      <c r="S391" s="24">
        <v>500</v>
      </c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36"/>
      <c r="AG391" s="36"/>
      <c r="AH391" s="36"/>
      <c r="AI391" s="36"/>
    </row>
    <row r="392" s="1" customFormat="1" customHeight="1" spans="1:35">
      <c r="A392" s="17">
        <v>389</v>
      </c>
      <c r="B392" s="20">
        <v>46127</v>
      </c>
      <c r="C392" s="26" t="s">
        <v>24</v>
      </c>
      <c r="D392" s="22" t="str" cm="1">
        <f t="array" ref="D392">INDEX([1]Sheet2!A:A,MATCH(E392,[1]Sheet2!B:B,0))</f>
        <v>临时</v>
      </c>
      <c r="E392" s="23" t="s">
        <v>99</v>
      </c>
      <c r="F392" s="24">
        <f t="shared" si="7"/>
        <v>330</v>
      </c>
      <c r="G392" s="24" t="s">
        <v>100</v>
      </c>
      <c r="H392" s="25"/>
      <c r="I392" s="25"/>
      <c r="J392" s="24"/>
      <c r="K392" s="24"/>
      <c r="L392" s="24"/>
      <c r="M392" s="24"/>
      <c r="N392" s="24"/>
      <c r="O392" s="24"/>
      <c r="P392" s="24"/>
      <c r="Q392" s="24"/>
      <c r="R392" s="43"/>
      <c r="S392" s="24"/>
      <c r="T392" s="24"/>
      <c r="U392" s="24"/>
      <c r="V392" s="24"/>
      <c r="W392" s="24">
        <v>330</v>
      </c>
      <c r="X392" s="24"/>
      <c r="Y392" s="24"/>
      <c r="Z392" s="24"/>
      <c r="AA392" s="24"/>
      <c r="AB392" s="24"/>
      <c r="AC392" s="24"/>
      <c r="AD392" s="24"/>
      <c r="AE392" s="24"/>
      <c r="AF392" s="36"/>
      <c r="AG392" s="36"/>
      <c r="AH392" s="36"/>
      <c r="AI392" s="36"/>
    </row>
    <row r="393" s="1" customFormat="1" customHeight="1" spans="1:35">
      <c r="A393" s="17">
        <v>390</v>
      </c>
      <c r="B393" s="20">
        <v>46128</v>
      </c>
      <c r="C393" s="26" t="s">
        <v>467</v>
      </c>
      <c r="D393" s="22" t="str" cm="1">
        <f t="array" ref="D393">INDEX([1]Sheet2!A:A,MATCH(E393,[1]Sheet2!B:B,0))</f>
        <v>百胜餐饮（武汉）有限公司湖南分公司</v>
      </c>
      <c r="E393" s="23" t="s">
        <v>469</v>
      </c>
      <c r="F393" s="24">
        <f t="shared" si="7"/>
        <v>18765.8</v>
      </c>
      <c r="G393" s="24" t="s">
        <v>40</v>
      </c>
      <c r="H393" s="25">
        <v>46082</v>
      </c>
      <c r="I393" s="25">
        <v>46112</v>
      </c>
      <c r="J393" s="24"/>
      <c r="K393" s="24"/>
      <c r="L393" s="24"/>
      <c r="M393" s="24"/>
      <c r="N393" s="24"/>
      <c r="O393" s="24"/>
      <c r="P393" s="24"/>
      <c r="Q393" s="24">
        <v>589.76</v>
      </c>
      <c r="R393" s="43">
        <v>18176.04</v>
      </c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36"/>
      <c r="AG393" s="36"/>
      <c r="AH393" s="36"/>
      <c r="AI393" s="36"/>
    </row>
    <row r="394" s="1" customFormat="1" customHeight="1" spans="1:35">
      <c r="A394" s="17">
        <v>391</v>
      </c>
      <c r="B394" s="20">
        <v>46128</v>
      </c>
      <c r="C394" s="26" t="s">
        <v>483</v>
      </c>
      <c r="D394" s="22" t="s">
        <v>484</v>
      </c>
      <c r="E394" s="23" t="s">
        <v>485</v>
      </c>
      <c r="F394" s="24">
        <f t="shared" si="7"/>
        <v>15987.04</v>
      </c>
      <c r="G394" s="24" t="s">
        <v>40</v>
      </c>
      <c r="H394" s="25">
        <v>46082</v>
      </c>
      <c r="I394" s="25">
        <v>46112</v>
      </c>
      <c r="J394" s="24">
        <v>15987.04</v>
      </c>
      <c r="K394" s="24"/>
      <c r="L394" s="24"/>
      <c r="M394" s="24"/>
      <c r="N394" s="24"/>
      <c r="O394" s="24"/>
      <c r="P394" s="24"/>
      <c r="Q394" s="24"/>
      <c r="R394" s="43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36"/>
      <c r="AG394" s="36"/>
      <c r="AH394" s="36"/>
      <c r="AI394" s="36"/>
    </row>
    <row r="395" s="1" customFormat="1" customHeight="1" spans="1:35">
      <c r="A395" s="17">
        <v>392</v>
      </c>
      <c r="B395" s="20">
        <v>46128</v>
      </c>
      <c r="C395" s="26" t="s">
        <v>483</v>
      </c>
      <c r="D395" s="22" t="s">
        <v>484</v>
      </c>
      <c r="E395" s="23" t="s">
        <v>485</v>
      </c>
      <c r="F395" s="24">
        <f t="shared" si="7"/>
        <v>4155</v>
      </c>
      <c r="G395" s="24" t="s">
        <v>40</v>
      </c>
      <c r="H395" s="25">
        <v>46113</v>
      </c>
      <c r="I395" s="25">
        <v>46142</v>
      </c>
      <c r="J395" s="24"/>
      <c r="K395" s="24">
        <v>4155</v>
      </c>
      <c r="L395" s="24"/>
      <c r="M395" s="24"/>
      <c r="N395" s="24"/>
      <c r="O395" s="24"/>
      <c r="P395" s="24"/>
      <c r="Q395" s="24"/>
      <c r="R395" s="43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36"/>
      <c r="AG395" s="36"/>
      <c r="AH395" s="36"/>
      <c r="AI395" s="36"/>
    </row>
    <row r="396" s="1" customFormat="1" customHeight="1" spans="1:35">
      <c r="A396" s="17">
        <v>393</v>
      </c>
      <c r="B396" s="20">
        <v>46128</v>
      </c>
      <c r="C396" s="26" t="s">
        <v>483</v>
      </c>
      <c r="D396" s="22" t="s">
        <v>484</v>
      </c>
      <c r="E396" s="23" t="s">
        <v>485</v>
      </c>
      <c r="F396" s="24">
        <f t="shared" si="7"/>
        <v>16714.11</v>
      </c>
      <c r="G396" s="24" t="s">
        <v>40</v>
      </c>
      <c r="H396" s="25">
        <v>46082</v>
      </c>
      <c r="I396" s="25">
        <v>46112</v>
      </c>
      <c r="J396" s="24"/>
      <c r="K396" s="24"/>
      <c r="L396" s="24"/>
      <c r="M396" s="24"/>
      <c r="N396" s="24"/>
      <c r="O396" s="24"/>
      <c r="P396" s="24"/>
      <c r="Q396" s="24">
        <v>997.12</v>
      </c>
      <c r="R396" s="43">
        <v>15716.99</v>
      </c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36"/>
      <c r="AG396" s="36"/>
      <c r="AH396" s="36"/>
      <c r="AI396" s="36"/>
    </row>
    <row r="397" s="1" customFormat="1" customHeight="1" spans="1:35">
      <c r="A397" s="17">
        <v>394</v>
      </c>
      <c r="B397" s="20">
        <v>46128</v>
      </c>
      <c r="C397" s="26" t="s">
        <v>314</v>
      </c>
      <c r="D397" s="22" t="s">
        <v>315</v>
      </c>
      <c r="E397" s="23" t="s">
        <v>316</v>
      </c>
      <c r="F397" s="24">
        <f t="shared" si="7"/>
        <v>6000</v>
      </c>
      <c r="G397" s="24" t="s">
        <v>40</v>
      </c>
      <c r="H397" s="25">
        <v>46143</v>
      </c>
      <c r="I397" s="25">
        <v>46203</v>
      </c>
      <c r="J397" s="24"/>
      <c r="K397" s="24"/>
      <c r="L397" s="24"/>
      <c r="M397" s="24"/>
      <c r="N397" s="24"/>
      <c r="O397" s="24">
        <v>6000</v>
      </c>
      <c r="P397" s="24"/>
      <c r="Q397" s="24"/>
      <c r="R397" s="43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36"/>
      <c r="AG397" s="36"/>
      <c r="AH397" s="36"/>
      <c r="AI397" s="36"/>
    </row>
    <row r="398" s="1" customFormat="1" customHeight="1" spans="1:35">
      <c r="A398" s="17">
        <v>395</v>
      </c>
      <c r="B398" s="20">
        <v>46128</v>
      </c>
      <c r="C398" s="26" t="s">
        <v>314</v>
      </c>
      <c r="D398" s="22" t="s">
        <v>315</v>
      </c>
      <c r="E398" s="23" t="s">
        <v>316</v>
      </c>
      <c r="F398" s="24">
        <f t="shared" si="7"/>
        <v>387.1</v>
      </c>
      <c r="G398" s="24" t="s">
        <v>40</v>
      </c>
      <c r="H398" s="25">
        <v>46204</v>
      </c>
      <c r="I398" s="25">
        <v>46207</v>
      </c>
      <c r="J398" s="24"/>
      <c r="K398" s="24"/>
      <c r="L398" s="24"/>
      <c r="M398" s="24"/>
      <c r="N398" s="24"/>
      <c r="O398" s="24">
        <v>387.1</v>
      </c>
      <c r="P398" s="24"/>
      <c r="Q398" s="24"/>
      <c r="R398" s="43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36"/>
      <c r="AG398" s="36"/>
      <c r="AH398" s="36"/>
      <c r="AI398" s="36"/>
    </row>
    <row r="399" s="1" customFormat="1" customHeight="1" spans="1:35">
      <c r="A399" s="17">
        <v>396</v>
      </c>
      <c r="B399" s="20">
        <v>46128</v>
      </c>
      <c r="C399" s="26" t="s">
        <v>486</v>
      </c>
      <c r="D399" s="22" t="s">
        <v>315</v>
      </c>
      <c r="E399" s="23" t="s">
        <v>487</v>
      </c>
      <c r="F399" s="24">
        <f t="shared" si="7"/>
        <v>3000</v>
      </c>
      <c r="G399" s="24" t="s">
        <v>40</v>
      </c>
      <c r="H399" s="25">
        <v>46143</v>
      </c>
      <c r="I399" s="25">
        <v>46234</v>
      </c>
      <c r="J399" s="24"/>
      <c r="K399" s="24"/>
      <c r="L399" s="24"/>
      <c r="M399" s="24"/>
      <c r="N399" s="24"/>
      <c r="O399" s="24">
        <v>3000</v>
      </c>
      <c r="P399" s="24"/>
      <c r="Q399" s="24"/>
      <c r="R399" s="43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36"/>
      <c r="AG399" s="36"/>
      <c r="AH399" s="36"/>
      <c r="AI399" s="36"/>
    </row>
    <row r="400" s="1" customFormat="1" customHeight="1" spans="1:35">
      <c r="A400" s="17">
        <v>397</v>
      </c>
      <c r="B400" s="20">
        <v>46128</v>
      </c>
      <c r="C400" s="26" t="s">
        <v>24</v>
      </c>
      <c r="D400" s="22" t="str" cm="1">
        <f t="array" ref="D400">INDEX([1]Sheet2!A:A,MATCH(E400,[1]Sheet2!B:B,0))</f>
        <v>充值</v>
      </c>
      <c r="E400" s="23" t="s">
        <v>72</v>
      </c>
      <c r="F400" s="24">
        <f t="shared" si="7"/>
        <v>450</v>
      </c>
      <c r="G400" s="24" t="s">
        <v>49</v>
      </c>
      <c r="H400" s="36"/>
      <c r="I400" s="36"/>
      <c r="J400" s="24"/>
      <c r="K400" s="24"/>
      <c r="L400" s="24"/>
      <c r="M400" s="24"/>
      <c r="N400" s="24"/>
      <c r="O400" s="24"/>
      <c r="P400" s="24"/>
      <c r="Q400" s="24"/>
      <c r="R400" s="43"/>
      <c r="S400" s="24"/>
      <c r="T400" s="24"/>
      <c r="U400" s="24"/>
      <c r="V400" s="24"/>
      <c r="W400" s="24">
        <v>450</v>
      </c>
      <c r="X400" s="24"/>
      <c r="Y400" s="24"/>
      <c r="Z400" s="24"/>
      <c r="AA400" s="24"/>
      <c r="AB400" s="24"/>
      <c r="AC400" s="24"/>
      <c r="AD400" s="24"/>
      <c r="AE400" s="24"/>
      <c r="AF400" s="36"/>
      <c r="AG400" s="36"/>
      <c r="AH400" s="36"/>
      <c r="AI400" s="36"/>
    </row>
    <row r="401" s="1" customFormat="1" customHeight="1" spans="1:35">
      <c r="A401" s="17">
        <v>398</v>
      </c>
      <c r="B401" s="20">
        <v>46128</v>
      </c>
      <c r="C401" s="26" t="s">
        <v>73</v>
      </c>
      <c r="D401" s="22" t="str" cm="1">
        <f t="array" ref="D401">INDEX([1]Sheet2!A:A,MATCH(E401,[1]Sheet2!B:B,0))</f>
        <v>衡阳志扬体育文化有限公司</v>
      </c>
      <c r="E401" s="23" t="s">
        <v>74</v>
      </c>
      <c r="F401" s="24">
        <f t="shared" si="7"/>
        <v>1800</v>
      </c>
      <c r="G401" s="24" t="s">
        <v>49</v>
      </c>
      <c r="H401" s="25"/>
      <c r="I401" s="25"/>
      <c r="J401" s="24"/>
      <c r="K401" s="24"/>
      <c r="L401" s="24"/>
      <c r="M401" s="24"/>
      <c r="N401" s="24"/>
      <c r="O401" s="24"/>
      <c r="P401" s="24"/>
      <c r="Q401" s="24"/>
      <c r="R401" s="43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>
        <v>1800</v>
      </c>
      <c r="AF401" s="36"/>
      <c r="AG401" s="36"/>
      <c r="AH401" s="36"/>
      <c r="AI401" s="36"/>
    </row>
    <row r="402" s="2" customFormat="1" customHeight="1" spans="1:35">
      <c r="A402" s="27">
        <v>399</v>
      </c>
      <c r="B402" s="28">
        <v>46128</v>
      </c>
      <c r="C402" s="34" t="s">
        <v>488</v>
      </c>
      <c r="D402" s="30" t="s">
        <v>489</v>
      </c>
      <c r="E402" s="59" t="s">
        <v>490</v>
      </c>
      <c r="F402" s="32">
        <f t="shared" si="7"/>
        <v>11400</v>
      </c>
      <c r="G402" s="32" t="s">
        <v>49</v>
      </c>
      <c r="H402" s="33">
        <v>46143</v>
      </c>
      <c r="I402" s="33">
        <v>46234</v>
      </c>
      <c r="J402" s="32">
        <v>950</v>
      </c>
      <c r="K402" s="32">
        <v>1900</v>
      </c>
      <c r="L402" s="32"/>
      <c r="M402" s="32"/>
      <c r="N402" s="32"/>
      <c r="O402" s="32"/>
      <c r="P402" s="32"/>
      <c r="Q402" s="32"/>
      <c r="R402" s="45"/>
      <c r="S402" s="32"/>
      <c r="T402" s="32"/>
      <c r="U402" s="32"/>
      <c r="V402" s="32"/>
      <c r="W402" s="32"/>
      <c r="X402" s="32"/>
      <c r="Y402" s="32"/>
      <c r="Z402" s="32">
        <v>8550</v>
      </c>
      <c r="AA402" s="32"/>
      <c r="AB402" s="32"/>
      <c r="AC402" s="32"/>
      <c r="AD402" s="32"/>
      <c r="AE402" s="32"/>
      <c r="AF402" s="35" t="s">
        <v>60</v>
      </c>
      <c r="AG402" s="35"/>
      <c r="AH402" s="35"/>
      <c r="AI402" s="35"/>
    </row>
    <row r="403" s="2" customFormat="1" customHeight="1" spans="1:35">
      <c r="A403" s="27">
        <v>400</v>
      </c>
      <c r="B403" s="28">
        <v>46128</v>
      </c>
      <c r="C403" s="34" t="s">
        <v>488</v>
      </c>
      <c r="D403" s="30" t="s">
        <v>489</v>
      </c>
      <c r="E403" s="59" t="s">
        <v>490</v>
      </c>
      <c r="F403" s="32">
        <f t="shared" si="7"/>
        <v>3000</v>
      </c>
      <c r="G403" s="32" t="s">
        <v>49</v>
      </c>
      <c r="H403" s="33">
        <v>46143</v>
      </c>
      <c r="I403" s="33">
        <v>46507</v>
      </c>
      <c r="J403" s="32"/>
      <c r="K403" s="32"/>
      <c r="L403" s="32">
        <v>3000</v>
      </c>
      <c r="M403" s="32"/>
      <c r="N403" s="32"/>
      <c r="O403" s="32"/>
      <c r="P403" s="32"/>
      <c r="Q403" s="32"/>
      <c r="R403" s="45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5" t="s">
        <v>60</v>
      </c>
      <c r="AG403" s="35"/>
      <c r="AH403" s="35"/>
      <c r="AI403" s="35"/>
    </row>
    <row r="404" s="1" customFormat="1" customHeight="1" spans="1:35">
      <c r="A404" s="17">
        <v>401</v>
      </c>
      <c r="B404" s="20">
        <v>46128</v>
      </c>
      <c r="C404" s="21" t="s">
        <v>113</v>
      </c>
      <c r="D404" s="22" t="str" cm="1">
        <f t="array" ref="D404">INDEX([1]Sheet2!A:A,MATCH(E404,[1]Sheet2!B:B,0))</f>
        <v>湖南亮点体育文化发展有限公司</v>
      </c>
      <c r="E404" s="58" t="s">
        <v>114</v>
      </c>
      <c r="F404" s="24">
        <f t="shared" si="7"/>
        <v>100</v>
      </c>
      <c r="G404" s="24" t="s">
        <v>77</v>
      </c>
      <c r="H404" s="25"/>
      <c r="I404" s="25"/>
      <c r="J404" s="24"/>
      <c r="K404" s="24"/>
      <c r="L404" s="24"/>
      <c r="M404" s="24"/>
      <c r="N404" s="24"/>
      <c r="O404" s="24"/>
      <c r="P404" s="24"/>
      <c r="Q404" s="24"/>
      <c r="R404" s="43"/>
      <c r="S404" s="24">
        <v>100</v>
      </c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36"/>
      <c r="AG404" s="36"/>
      <c r="AH404" s="36"/>
      <c r="AI404" s="36"/>
    </row>
    <row r="405" s="1" customFormat="1" customHeight="1" spans="1:35">
      <c r="A405" s="17">
        <v>402</v>
      </c>
      <c r="B405" s="20">
        <v>46128</v>
      </c>
      <c r="C405" s="21" t="s">
        <v>115</v>
      </c>
      <c r="D405" s="22" t="str" cm="1">
        <f t="array" ref="D405">INDEX([1]Sheet2!A:A,MATCH(E405,[1]Sheet2!B:B,0))</f>
        <v>湖南亮点体育文化发展有限公司</v>
      </c>
      <c r="E405" s="58" t="s">
        <v>116</v>
      </c>
      <c r="F405" s="24">
        <f t="shared" si="7"/>
        <v>100</v>
      </c>
      <c r="G405" s="24" t="s">
        <v>77</v>
      </c>
      <c r="H405" s="25"/>
      <c r="I405" s="25"/>
      <c r="J405" s="24"/>
      <c r="K405" s="24"/>
      <c r="L405" s="24"/>
      <c r="M405" s="24"/>
      <c r="N405" s="24"/>
      <c r="O405" s="24"/>
      <c r="P405" s="24"/>
      <c r="Q405" s="24"/>
      <c r="R405" s="43"/>
      <c r="S405" s="24">
        <v>100</v>
      </c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36"/>
      <c r="AG405" s="36"/>
      <c r="AH405" s="36"/>
      <c r="AI405" s="36"/>
    </row>
    <row r="406" s="1" customFormat="1" customHeight="1" spans="1:35">
      <c r="A406" s="17">
        <v>403</v>
      </c>
      <c r="B406" s="20">
        <v>46128</v>
      </c>
      <c r="C406" s="21" t="s">
        <v>117</v>
      </c>
      <c r="D406" s="22" t="str" cm="1">
        <f t="array" ref="D406">INDEX([1]Sheet2!A:A,MATCH(E406,[1]Sheet2!B:B,0))</f>
        <v>湖南亮点体育文化发展有限公司</v>
      </c>
      <c r="E406" s="57" t="s">
        <v>118</v>
      </c>
      <c r="F406" s="24">
        <f t="shared" si="7"/>
        <v>100</v>
      </c>
      <c r="G406" s="24" t="s">
        <v>77</v>
      </c>
      <c r="H406" s="25"/>
      <c r="I406" s="25"/>
      <c r="J406" s="24"/>
      <c r="K406" s="24"/>
      <c r="L406" s="24"/>
      <c r="M406" s="24"/>
      <c r="N406" s="24"/>
      <c r="O406" s="24"/>
      <c r="P406" s="24"/>
      <c r="Q406" s="24"/>
      <c r="R406" s="43"/>
      <c r="S406" s="24">
        <v>100</v>
      </c>
      <c r="T406" s="24"/>
      <c r="U406" s="24"/>
      <c r="V406" s="24"/>
      <c r="W406" s="24"/>
      <c r="X406" s="24"/>
      <c r="Y406" s="24"/>
      <c r="Z406" s="55"/>
      <c r="AA406" s="24"/>
      <c r="AB406" s="24"/>
      <c r="AC406" s="24"/>
      <c r="AD406" s="24"/>
      <c r="AE406" s="24"/>
      <c r="AF406" s="36"/>
      <c r="AG406" s="36"/>
      <c r="AH406" s="36"/>
      <c r="AI406" s="36"/>
    </row>
    <row r="407" s="1" customFormat="1" customHeight="1" spans="1:35">
      <c r="A407" s="17">
        <v>404</v>
      </c>
      <c r="B407" s="20">
        <v>46128</v>
      </c>
      <c r="C407" s="21" t="s">
        <v>119</v>
      </c>
      <c r="D407" s="22" t="str" cm="1">
        <f t="array" ref="D407">INDEX([1]Sheet2!A:A,MATCH(E407,[1]Sheet2!B:B,0))</f>
        <v>湖南亮点体育文化发展有限公司</v>
      </c>
      <c r="E407" s="23" t="s">
        <v>120</v>
      </c>
      <c r="F407" s="24">
        <f t="shared" si="7"/>
        <v>200</v>
      </c>
      <c r="G407" s="24" t="s">
        <v>77</v>
      </c>
      <c r="H407" s="36"/>
      <c r="I407" s="36"/>
      <c r="J407" s="24"/>
      <c r="K407" s="24"/>
      <c r="L407" s="24"/>
      <c r="M407" s="24"/>
      <c r="N407" s="24"/>
      <c r="O407" s="24"/>
      <c r="P407" s="24"/>
      <c r="Q407" s="24"/>
      <c r="R407" s="43"/>
      <c r="S407" s="24">
        <v>200</v>
      </c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36"/>
      <c r="AG407" s="36"/>
      <c r="AH407" s="36"/>
      <c r="AI407" s="36"/>
    </row>
    <row r="408" s="1" customFormat="1" customHeight="1" spans="1:35">
      <c r="A408" s="17">
        <v>405</v>
      </c>
      <c r="B408" s="20">
        <v>46128</v>
      </c>
      <c r="C408" s="26" t="s">
        <v>121</v>
      </c>
      <c r="D408" s="22" t="str" cm="1">
        <f t="array" ref="D408">INDEX([1]Sheet2!A:A,MATCH(E408,[1]Sheet2!B:B,0))</f>
        <v>湖南亮点体育文化发展有限公司</v>
      </c>
      <c r="E408" s="23" t="s">
        <v>122</v>
      </c>
      <c r="F408" s="24">
        <f t="shared" si="7"/>
        <v>100</v>
      </c>
      <c r="G408" s="24" t="s">
        <v>77</v>
      </c>
      <c r="H408" s="36"/>
      <c r="I408" s="36"/>
      <c r="J408" s="24"/>
      <c r="K408" s="24"/>
      <c r="L408" s="24"/>
      <c r="M408" s="24"/>
      <c r="N408" s="24"/>
      <c r="O408" s="24"/>
      <c r="P408" s="24"/>
      <c r="Q408" s="24"/>
      <c r="R408" s="43"/>
      <c r="S408" s="24">
        <v>100</v>
      </c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36"/>
      <c r="AG408" s="36"/>
      <c r="AH408" s="36"/>
      <c r="AI408" s="36"/>
    </row>
    <row r="409" s="1" customFormat="1" customHeight="1" spans="1:35">
      <c r="A409" s="17">
        <v>406</v>
      </c>
      <c r="B409" s="20">
        <v>46128</v>
      </c>
      <c r="C409" s="26" t="s">
        <v>78</v>
      </c>
      <c r="D409" s="22" t="str" cm="1">
        <f t="array" ref="D409">INDEX([1]Sheet2!A:A,MATCH(E409,[1]Sheet2!B:B,0))</f>
        <v>湖南亮点体育文化发展有限公司</v>
      </c>
      <c r="E409" s="23" t="s">
        <v>123</v>
      </c>
      <c r="F409" s="24">
        <f t="shared" si="7"/>
        <v>100</v>
      </c>
      <c r="G409" s="24" t="s">
        <v>77</v>
      </c>
      <c r="H409" s="36"/>
      <c r="I409" s="36"/>
      <c r="J409" s="24"/>
      <c r="K409" s="24"/>
      <c r="L409" s="24"/>
      <c r="M409" s="24"/>
      <c r="N409" s="24"/>
      <c r="O409" s="24"/>
      <c r="P409" s="24"/>
      <c r="Q409" s="24"/>
      <c r="R409" s="43"/>
      <c r="S409" s="24">
        <v>100</v>
      </c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36"/>
      <c r="AG409" s="36"/>
      <c r="AH409" s="36"/>
      <c r="AI409" s="36"/>
    </row>
    <row r="410" s="1" customFormat="1" customHeight="1" spans="1:35">
      <c r="A410" s="17">
        <v>407</v>
      </c>
      <c r="B410" s="20">
        <v>46128</v>
      </c>
      <c r="C410" s="26" t="s">
        <v>197</v>
      </c>
      <c r="D410" s="22" t="str" cm="1">
        <f t="array" ref="D410">INDEX([1]Sheet2!A:A,MATCH(E410,[1]Sheet2!B:B,0))</f>
        <v>湖南亮点体育文化发展有限公司</v>
      </c>
      <c r="E410" s="23" t="s">
        <v>198</v>
      </c>
      <c r="F410" s="24">
        <f t="shared" si="7"/>
        <v>100</v>
      </c>
      <c r="G410" s="24" t="s">
        <v>77</v>
      </c>
      <c r="H410" s="36"/>
      <c r="I410" s="36"/>
      <c r="J410" s="24"/>
      <c r="K410" s="24"/>
      <c r="L410" s="24"/>
      <c r="M410" s="24"/>
      <c r="N410" s="24"/>
      <c r="O410" s="24"/>
      <c r="P410" s="24"/>
      <c r="Q410" s="24"/>
      <c r="R410" s="43"/>
      <c r="S410" s="24">
        <v>100</v>
      </c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36"/>
      <c r="AG410" s="36"/>
      <c r="AH410" s="36"/>
      <c r="AI410" s="36"/>
    </row>
    <row r="411" s="1" customFormat="1" customHeight="1" spans="1:35">
      <c r="A411" s="17">
        <v>408</v>
      </c>
      <c r="B411" s="20">
        <v>46128</v>
      </c>
      <c r="C411" s="26" t="s">
        <v>169</v>
      </c>
      <c r="D411" s="22" t="str" cm="1">
        <f t="array" ref="D411">INDEX([1]Sheet2!A:A,MATCH(E411,[1]Sheet2!B:B,0))</f>
        <v>周乐群</v>
      </c>
      <c r="E411" s="23" t="s">
        <v>170</v>
      </c>
      <c r="F411" s="24">
        <f t="shared" si="7"/>
        <v>100</v>
      </c>
      <c r="G411" s="24" t="s">
        <v>77</v>
      </c>
      <c r="H411" s="36"/>
      <c r="I411" s="36"/>
      <c r="J411" s="24"/>
      <c r="K411" s="24"/>
      <c r="L411" s="24"/>
      <c r="M411" s="24"/>
      <c r="N411" s="24"/>
      <c r="O411" s="24"/>
      <c r="P411" s="24"/>
      <c r="Q411" s="24"/>
      <c r="R411" s="43"/>
      <c r="S411" s="24">
        <v>100</v>
      </c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36"/>
      <c r="AG411" s="36"/>
      <c r="AH411" s="36"/>
      <c r="AI411" s="36"/>
    </row>
    <row r="412" s="1" customFormat="1" customHeight="1" spans="1:35">
      <c r="A412" s="17">
        <v>409</v>
      </c>
      <c r="B412" s="20">
        <v>46128</v>
      </c>
      <c r="C412" s="26" t="s">
        <v>97</v>
      </c>
      <c r="D412" s="22" t="str" cm="1">
        <f t="array" ref="D412">INDEX([1]Sheet2!A:A,MATCH(E412,[1]Sheet2!B:B,0))</f>
        <v>黎合</v>
      </c>
      <c r="E412" s="23" t="s">
        <v>98</v>
      </c>
      <c r="F412" s="24">
        <f t="shared" si="7"/>
        <v>20</v>
      </c>
      <c r="G412" s="24" t="s">
        <v>77</v>
      </c>
      <c r="H412" s="36"/>
      <c r="I412" s="36"/>
      <c r="J412" s="24"/>
      <c r="K412" s="24"/>
      <c r="L412" s="24"/>
      <c r="M412" s="24"/>
      <c r="N412" s="24"/>
      <c r="O412" s="24"/>
      <c r="P412" s="24"/>
      <c r="Q412" s="24"/>
      <c r="R412" s="43"/>
      <c r="S412" s="24">
        <v>20</v>
      </c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36"/>
      <c r="AG412" s="36"/>
      <c r="AH412" s="36"/>
      <c r="AI412" s="36"/>
    </row>
    <row r="413" s="1" customFormat="1" customHeight="1" spans="1:35">
      <c r="A413" s="17">
        <v>410</v>
      </c>
      <c r="B413" s="20">
        <v>46128</v>
      </c>
      <c r="C413" s="26" t="s">
        <v>124</v>
      </c>
      <c r="D413" s="22" t="str" cm="1">
        <f t="array" ref="D413">INDEX([1]Sheet2!A:A,MATCH(E413,[1]Sheet2!B:B,0))</f>
        <v>王冬林</v>
      </c>
      <c r="E413" s="23" t="s">
        <v>125</v>
      </c>
      <c r="F413" s="24">
        <f t="shared" si="7"/>
        <v>1000</v>
      </c>
      <c r="G413" s="24" t="s">
        <v>77</v>
      </c>
      <c r="H413" s="36"/>
      <c r="I413" s="36"/>
      <c r="J413" s="24"/>
      <c r="K413" s="24"/>
      <c r="L413" s="24"/>
      <c r="M413" s="24"/>
      <c r="N413" s="24"/>
      <c r="O413" s="24"/>
      <c r="P413" s="24"/>
      <c r="Q413" s="24"/>
      <c r="R413" s="43"/>
      <c r="S413" s="24">
        <v>1000</v>
      </c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36"/>
      <c r="AG413" s="36"/>
      <c r="AH413" s="36"/>
      <c r="AI413" s="36"/>
    </row>
    <row r="414" s="1" customFormat="1" customHeight="1" spans="1:35">
      <c r="A414" s="17">
        <v>411</v>
      </c>
      <c r="B414" s="20">
        <v>46128</v>
      </c>
      <c r="C414" s="26" t="s">
        <v>84</v>
      </c>
      <c r="D414" s="22" t="str" cm="1">
        <f t="array" ref="D414">INDEX([1]Sheet2!A:A,MATCH(E414,[1]Sheet2!B:B,0))</f>
        <v>莫靖凡</v>
      </c>
      <c r="E414" s="23" t="s">
        <v>85</v>
      </c>
      <c r="F414" s="24">
        <f t="shared" si="7"/>
        <v>50</v>
      </c>
      <c r="G414" s="24" t="s">
        <v>77</v>
      </c>
      <c r="H414" s="36"/>
      <c r="I414" s="36"/>
      <c r="J414" s="24"/>
      <c r="K414" s="24"/>
      <c r="L414" s="24"/>
      <c r="M414" s="24"/>
      <c r="N414" s="24"/>
      <c r="O414" s="24"/>
      <c r="P414" s="24"/>
      <c r="Q414" s="24"/>
      <c r="R414" s="43"/>
      <c r="S414" s="24">
        <v>50</v>
      </c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36"/>
      <c r="AG414" s="36"/>
      <c r="AH414" s="36"/>
      <c r="AI414" s="36"/>
    </row>
    <row r="415" s="1" customFormat="1" customHeight="1" spans="1:35">
      <c r="A415" s="17">
        <v>412</v>
      </c>
      <c r="B415" s="20">
        <v>46128</v>
      </c>
      <c r="C415" s="26" t="s">
        <v>491</v>
      </c>
      <c r="D415" s="22" t="str" cm="1">
        <f t="array" ref="D415">INDEX([1]Sheet2!A:A,MATCH(E415,[1]Sheet2!B:B,0))</f>
        <v>屈玉莲</v>
      </c>
      <c r="E415" s="23" t="s">
        <v>492</v>
      </c>
      <c r="F415" s="24">
        <f t="shared" si="7"/>
        <v>500</v>
      </c>
      <c r="G415" s="24" t="s">
        <v>77</v>
      </c>
      <c r="H415" s="36"/>
      <c r="I415" s="36"/>
      <c r="J415" s="24"/>
      <c r="K415" s="24"/>
      <c r="L415" s="24"/>
      <c r="M415" s="24"/>
      <c r="N415" s="24"/>
      <c r="O415" s="24"/>
      <c r="P415" s="24"/>
      <c r="Q415" s="24"/>
      <c r="R415" s="43"/>
      <c r="S415" s="24">
        <v>500</v>
      </c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36"/>
      <c r="AG415" s="36"/>
      <c r="AH415" s="36"/>
      <c r="AI415" s="36"/>
    </row>
    <row r="416" s="1" customFormat="1" customHeight="1" spans="1:35">
      <c r="A416" s="17">
        <v>413</v>
      </c>
      <c r="B416" s="20">
        <v>46128</v>
      </c>
      <c r="C416" s="26" t="s">
        <v>491</v>
      </c>
      <c r="D416" s="22" t="str" cm="1">
        <f t="array" ref="D416">INDEX([1]Sheet2!A:A,MATCH(E416,[1]Sheet2!B:B,0))</f>
        <v>屈玉莲</v>
      </c>
      <c r="E416" s="23" t="s">
        <v>492</v>
      </c>
      <c r="F416" s="24">
        <f t="shared" si="7"/>
        <v>500</v>
      </c>
      <c r="G416" s="24" t="s">
        <v>77</v>
      </c>
      <c r="H416" s="36"/>
      <c r="I416" s="36"/>
      <c r="J416" s="24"/>
      <c r="K416" s="24"/>
      <c r="L416" s="24"/>
      <c r="M416" s="24"/>
      <c r="N416" s="24"/>
      <c r="O416" s="24"/>
      <c r="P416" s="24"/>
      <c r="Q416" s="24"/>
      <c r="R416" s="43"/>
      <c r="S416" s="24">
        <v>500</v>
      </c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36"/>
      <c r="AG416" s="36"/>
      <c r="AH416" s="36"/>
      <c r="AI416" s="36"/>
    </row>
    <row r="417" s="1" customFormat="1" customHeight="1" spans="1:35">
      <c r="A417" s="17">
        <v>414</v>
      </c>
      <c r="B417" s="20">
        <v>46128</v>
      </c>
      <c r="C417" s="26" t="s">
        <v>493</v>
      </c>
      <c r="D417" s="22" t="str" cm="1">
        <f t="array" ref="D417">INDEX([1]Sheet2!A:A,MATCH(E417,[1]Sheet2!B:B,0))</f>
        <v>陈芳</v>
      </c>
      <c r="E417" s="23" t="s">
        <v>494</v>
      </c>
      <c r="F417" s="24">
        <f t="shared" si="7"/>
        <v>1000</v>
      </c>
      <c r="G417" s="24" t="s">
        <v>77</v>
      </c>
      <c r="H417" s="36"/>
      <c r="I417" s="36"/>
      <c r="J417" s="24"/>
      <c r="K417" s="24"/>
      <c r="L417" s="24"/>
      <c r="M417" s="24"/>
      <c r="N417" s="24"/>
      <c r="O417" s="24"/>
      <c r="P417" s="24"/>
      <c r="Q417" s="24"/>
      <c r="R417" s="43"/>
      <c r="S417" s="24">
        <v>1000</v>
      </c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36"/>
      <c r="AG417" s="36"/>
      <c r="AH417" s="36"/>
      <c r="AI417" s="36"/>
    </row>
    <row r="418" s="1" customFormat="1" customHeight="1" spans="1:35">
      <c r="A418" s="17">
        <v>415</v>
      </c>
      <c r="B418" s="20">
        <v>46128</v>
      </c>
      <c r="C418" s="26" t="s">
        <v>135</v>
      </c>
      <c r="D418" s="22" t="str" cm="1">
        <f t="array" ref="D418">INDEX([1]Sheet2!A:A,MATCH(E418,[1]Sheet2!B:B,0))</f>
        <v>周军伟</v>
      </c>
      <c r="E418" s="23" t="s">
        <v>136</v>
      </c>
      <c r="F418" s="24">
        <f t="shared" si="7"/>
        <v>40</v>
      </c>
      <c r="G418" s="24" t="s">
        <v>77</v>
      </c>
      <c r="H418" s="36"/>
      <c r="I418" s="36"/>
      <c r="J418" s="24"/>
      <c r="K418" s="24"/>
      <c r="L418" s="24"/>
      <c r="M418" s="24"/>
      <c r="N418" s="24"/>
      <c r="O418" s="24"/>
      <c r="P418" s="24"/>
      <c r="Q418" s="24"/>
      <c r="R418" s="43"/>
      <c r="S418" s="24">
        <v>40</v>
      </c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36"/>
      <c r="AG418" s="36"/>
      <c r="AH418" s="36"/>
      <c r="AI418" s="36"/>
    </row>
    <row r="419" s="1" customFormat="1" customHeight="1" spans="1:35">
      <c r="A419" s="17">
        <v>416</v>
      </c>
      <c r="B419" s="20">
        <v>46128</v>
      </c>
      <c r="C419" s="26" t="s">
        <v>189</v>
      </c>
      <c r="D419" s="22" t="str" cm="1">
        <f t="array" ref="D419">INDEX([1]Sheet2!A:A,MATCH(E419,[1]Sheet2!B:B,0))</f>
        <v>徐海峰</v>
      </c>
      <c r="E419" s="23" t="s">
        <v>190</v>
      </c>
      <c r="F419" s="24">
        <f t="shared" si="7"/>
        <v>5000</v>
      </c>
      <c r="G419" s="24" t="s">
        <v>77</v>
      </c>
      <c r="H419" s="25"/>
      <c r="I419" s="25"/>
      <c r="J419" s="24"/>
      <c r="K419" s="24"/>
      <c r="L419" s="24"/>
      <c r="M419" s="24"/>
      <c r="N419" s="24"/>
      <c r="O419" s="24"/>
      <c r="P419" s="24"/>
      <c r="Q419" s="24"/>
      <c r="R419" s="43"/>
      <c r="S419" s="24">
        <v>5000</v>
      </c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36"/>
      <c r="AG419" s="36"/>
      <c r="AH419" s="36"/>
      <c r="AI419" s="36"/>
    </row>
    <row r="420" s="1" customFormat="1" customHeight="1" spans="1:35">
      <c r="A420" s="17">
        <v>417</v>
      </c>
      <c r="B420" s="20">
        <v>46128</v>
      </c>
      <c r="C420" s="26" t="s">
        <v>160</v>
      </c>
      <c r="D420" s="22" t="str" cm="1">
        <f t="array" ref="D420">INDEX([1]Sheet2!A:A,MATCH(E420,[1]Sheet2!B:B,0))</f>
        <v>丁海军</v>
      </c>
      <c r="E420" s="23" t="s">
        <v>161</v>
      </c>
      <c r="F420" s="24">
        <f t="shared" si="7"/>
        <v>500</v>
      </c>
      <c r="G420" s="24" t="s">
        <v>77</v>
      </c>
      <c r="H420" s="25"/>
      <c r="I420" s="25"/>
      <c r="J420" s="24"/>
      <c r="K420" s="24"/>
      <c r="L420" s="24"/>
      <c r="M420" s="24"/>
      <c r="N420" s="24"/>
      <c r="O420" s="24"/>
      <c r="P420" s="24"/>
      <c r="Q420" s="24"/>
      <c r="R420" s="43"/>
      <c r="S420" s="24">
        <v>500</v>
      </c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36"/>
      <c r="AG420" s="36"/>
      <c r="AH420" s="36"/>
      <c r="AI420" s="36"/>
    </row>
    <row r="421" s="1" customFormat="1" customHeight="1" spans="1:35">
      <c r="A421" s="17">
        <v>418</v>
      </c>
      <c r="B421" s="20">
        <v>46128</v>
      </c>
      <c r="C421" s="26" t="s">
        <v>24</v>
      </c>
      <c r="D421" s="22" t="str" cm="1">
        <f t="array" ref="D421">INDEX([1]Sheet2!A:A,MATCH(E421,[1]Sheet2!B:B,0))</f>
        <v>临时</v>
      </c>
      <c r="E421" s="23" t="s">
        <v>99</v>
      </c>
      <c r="F421" s="24">
        <f t="shared" si="7"/>
        <v>303</v>
      </c>
      <c r="G421" s="24" t="s">
        <v>100</v>
      </c>
      <c r="H421" s="25"/>
      <c r="I421" s="25"/>
      <c r="J421" s="24"/>
      <c r="K421" s="24"/>
      <c r="L421" s="24"/>
      <c r="M421" s="24"/>
      <c r="N421" s="24"/>
      <c r="O421" s="24"/>
      <c r="P421" s="24"/>
      <c r="Q421" s="24"/>
      <c r="R421" s="43"/>
      <c r="S421" s="24"/>
      <c r="T421" s="24"/>
      <c r="U421" s="24"/>
      <c r="V421" s="24"/>
      <c r="W421" s="24">
        <v>303</v>
      </c>
      <c r="X421" s="24"/>
      <c r="Y421" s="24"/>
      <c r="Z421" s="24"/>
      <c r="AA421" s="24"/>
      <c r="AB421" s="24"/>
      <c r="AC421" s="24"/>
      <c r="AD421" s="24"/>
      <c r="AE421" s="24"/>
      <c r="AF421" s="36"/>
      <c r="AG421" s="36"/>
      <c r="AH421" s="36"/>
      <c r="AI421" s="36"/>
    </row>
    <row r="422" s="1" customFormat="1" customHeight="1" spans="1:35">
      <c r="A422" s="17">
        <v>419</v>
      </c>
      <c r="B422" s="20">
        <v>46129</v>
      </c>
      <c r="C422" s="26" t="s">
        <v>232</v>
      </c>
      <c r="D422" s="22" t="str" cm="1">
        <f t="array" ref="D422">INDEX([1]Sheet2!A:A,MATCH(E422,[1]Sheet2!B:B,0))</f>
        <v>付勇</v>
      </c>
      <c r="E422" s="23" t="s">
        <v>233</v>
      </c>
      <c r="F422" s="24">
        <f t="shared" si="7"/>
        <v>15000</v>
      </c>
      <c r="G422" s="24" t="s">
        <v>40</v>
      </c>
      <c r="H422" s="25">
        <v>46143</v>
      </c>
      <c r="I422" s="25">
        <v>46173</v>
      </c>
      <c r="J422" s="24">
        <v>7500</v>
      </c>
      <c r="K422" s="24">
        <v>7500</v>
      </c>
      <c r="L422" s="24"/>
      <c r="M422" s="24"/>
      <c r="N422" s="24"/>
      <c r="O422" s="24"/>
      <c r="P422" s="24"/>
      <c r="Q422" s="24"/>
      <c r="R422" s="43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36"/>
      <c r="AG422" s="36"/>
      <c r="AH422" s="36"/>
      <c r="AI422" s="36"/>
    </row>
    <row r="423" s="1" customFormat="1" customHeight="1" spans="1:35">
      <c r="A423" s="17">
        <v>420</v>
      </c>
      <c r="B423" s="20">
        <v>46129</v>
      </c>
      <c r="C423" s="21" t="s">
        <v>194</v>
      </c>
      <c r="D423" s="22" t="str" cm="1">
        <f t="array" ref="D423">INDEX([1]Sheet2!A:A,MATCH(E423,[1]Sheet2!B:B,0))</f>
        <v>涂小兰</v>
      </c>
      <c r="E423" s="23" t="s">
        <v>359</v>
      </c>
      <c r="F423" s="24">
        <f t="shared" si="7"/>
        <v>1000</v>
      </c>
      <c r="G423" s="24" t="s">
        <v>49</v>
      </c>
      <c r="H423" s="36"/>
      <c r="I423" s="36"/>
      <c r="J423" s="24"/>
      <c r="K423" s="24"/>
      <c r="L423" s="24"/>
      <c r="M423" s="24"/>
      <c r="N423" s="24"/>
      <c r="O423" s="24"/>
      <c r="P423" s="24"/>
      <c r="Q423" s="24"/>
      <c r="R423" s="43"/>
      <c r="S423" s="24">
        <v>1000</v>
      </c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36"/>
      <c r="AG423" s="36"/>
      <c r="AH423" s="36"/>
      <c r="AI423" s="36"/>
    </row>
    <row r="424" s="1" customFormat="1" customHeight="1" spans="1:35">
      <c r="A424" s="17">
        <v>421</v>
      </c>
      <c r="B424" s="20">
        <v>46129</v>
      </c>
      <c r="C424" s="21" t="s">
        <v>196</v>
      </c>
      <c r="D424" s="22" t="str" cm="1">
        <f t="array" ref="D424">INDEX([1]Sheet2!A:A,MATCH(E424,[1]Sheet2!B:B,0))</f>
        <v>涂小兰</v>
      </c>
      <c r="E424" s="23" t="s">
        <v>359</v>
      </c>
      <c r="F424" s="24">
        <f t="shared" si="7"/>
        <v>2000</v>
      </c>
      <c r="G424" s="24" t="s">
        <v>49</v>
      </c>
      <c r="H424" s="36"/>
      <c r="I424" s="36"/>
      <c r="J424" s="24"/>
      <c r="K424" s="24"/>
      <c r="L424" s="24"/>
      <c r="M424" s="24"/>
      <c r="N424" s="24"/>
      <c r="O424" s="24"/>
      <c r="P424" s="24"/>
      <c r="Q424" s="24"/>
      <c r="R424" s="43"/>
      <c r="S424" s="24">
        <v>2000</v>
      </c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36"/>
      <c r="AG424" s="36"/>
      <c r="AH424" s="36"/>
      <c r="AI424" s="36"/>
    </row>
    <row r="425" s="1" customFormat="1" customHeight="1" spans="1:35">
      <c r="A425" s="17">
        <v>422</v>
      </c>
      <c r="B425" s="20">
        <v>46129</v>
      </c>
      <c r="C425" s="21" t="s">
        <v>338</v>
      </c>
      <c r="D425" s="22" t="s">
        <v>495</v>
      </c>
      <c r="E425" s="23" t="s">
        <v>339</v>
      </c>
      <c r="F425" s="24">
        <f t="shared" si="7"/>
        <v>1650</v>
      </c>
      <c r="G425" s="24" t="s">
        <v>49</v>
      </c>
      <c r="H425" s="25">
        <v>46133</v>
      </c>
      <c r="I425" s="25">
        <v>46162</v>
      </c>
      <c r="J425" s="24">
        <v>1650</v>
      </c>
      <c r="K425" s="24"/>
      <c r="L425" s="24"/>
      <c r="M425" s="24"/>
      <c r="N425" s="24"/>
      <c r="O425" s="24"/>
      <c r="P425" s="24"/>
      <c r="Q425" s="24"/>
      <c r="R425" s="43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36"/>
      <c r="AG425" s="36"/>
      <c r="AH425" s="36"/>
      <c r="AI425" s="36"/>
    </row>
    <row r="426" s="1" customFormat="1" customHeight="1" spans="1:35">
      <c r="A426" s="17">
        <v>423</v>
      </c>
      <c r="B426" s="20">
        <v>46129</v>
      </c>
      <c r="C426" s="26" t="s">
        <v>250</v>
      </c>
      <c r="D426" s="22" t="s">
        <v>496</v>
      </c>
      <c r="E426" s="23" t="s">
        <v>251</v>
      </c>
      <c r="F426" s="24">
        <f t="shared" si="7"/>
        <v>1650</v>
      </c>
      <c r="G426" s="24" t="s">
        <v>49</v>
      </c>
      <c r="H426" s="25">
        <v>46133</v>
      </c>
      <c r="I426" s="25">
        <v>46162</v>
      </c>
      <c r="J426" s="24">
        <v>1650</v>
      </c>
      <c r="K426" s="24"/>
      <c r="L426" s="24"/>
      <c r="M426" s="24"/>
      <c r="N426" s="24"/>
      <c r="O426" s="24"/>
      <c r="P426" s="24"/>
      <c r="Q426" s="24"/>
      <c r="R426" s="43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36"/>
      <c r="AG426" s="36"/>
      <c r="AH426" s="36"/>
      <c r="AI426" s="36"/>
    </row>
    <row r="427" s="1" customFormat="1" customHeight="1" spans="1:35">
      <c r="A427" s="17">
        <v>424</v>
      </c>
      <c r="B427" s="20">
        <v>46129</v>
      </c>
      <c r="C427" s="21" t="s">
        <v>271</v>
      </c>
      <c r="D427" s="22" t="s">
        <v>497</v>
      </c>
      <c r="E427" s="23" t="s">
        <v>272</v>
      </c>
      <c r="F427" s="24">
        <f t="shared" si="7"/>
        <v>1650</v>
      </c>
      <c r="G427" s="24" t="s">
        <v>49</v>
      </c>
      <c r="H427" s="25">
        <v>46133</v>
      </c>
      <c r="I427" s="25">
        <v>46162</v>
      </c>
      <c r="J427" s="24">
        <v>1650</v>
      </c>
      <c r="K427" s="24"/>
      <c r="L427" s="24"/>
      <c r="M427" s="24"/>
      <c r="N427" s="24"/>
      <c r="O427" s="24"/>
      <c r="P427" s="24"/>
      <c r="Q427" s="24"/>
      <c r="R427" s="43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36"/>
      <c r="AG427" s="36"/>
      <c r="AH427" s="36"/>
      <c r="AI427" s="36"/>
    </row>
    <row r="428" s="1" customFormat="1" customHeight="1" spans="1:35">
      <c r="A428" s="17">
        <v>425</v>
      </c>
      <c r="B428" s="20">
        <v>46129</v>
      </c>
      <c r="C428" s="26" t="s">
        <v>398</v>
      </c>
      <c r="D428" s="22" t="s">
        <v>498</v>
      </c>
      <c r="E428" s="23" t="s">
        <v>399</v>
      </c>
      <c r="F428" s="24">
        <f t="shared" si="7"/>
        <v>1650</v>
      </c>
      <c r="G428" s="24" t="s">
        <v>49</v>
      </c>
      <c r="H428" s="25">
        <v>46133</v>
      </c>
      <c r="I428" s="25">
        <v>46162</v>
      </c>
      <c r="J428" s="24">
        <v>1650</v>
      </c>
      <c r="K428" s="24"/>
      <c r="L428" s="24"/>
      <c r="M428" s="24"/>
      <c r="N428" s="24"/>
      <c r="O428" s="24"/>
      <c r="P428" s="24"/>
      <c r="Q428" s="24"/>
      <c r="R428" s="43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36"/>
      <c r="AG428" s="36"/>
      <c r="AH428" s="36"/>
      <c r="AI428" s="36"/>
    </row>
    <row r="429" s="1" customFormat="1" customHeight="1" spans="1:35">
      <c r="A429" s="17">
        <v>426</v>
      </c>
      <c r="B429" s="20">
        <v>46129</v>
      </c>
      <c r="C429" s="26" t="s">
        <v>248</v>
      </c>
      <c r="D429" s="22" t="s">
        <v>499</v>
      </c>
      <c r="E429" s="23" t="s">
        <v>249</v>
      </c>
      <c r="F429" s="24">
        <f t="shared" si="7"/>
        <v>1650</v>
      </c>
      <c r="G429" s="24" t="s">
        <v>49</v>
      </c>
      <c r="H429" s="25">
        <v>46133</v>
      </c>
      <c r="I429" s="25">
        <v>46162</v>
      </c>
      <c r="J429" s="24">
        <v>1650</v>
      </c>
      <c r="K429" s="24"/>
      <c r="L429" s="24"/>
      <c r="M429" s="24"/>
      <c r="N429" s="24"/>
      <c r="O429" s="24"/>
      <c r="P429" s="24"/>
      <c r="Q429" s="24"/>
      <c r="R429" s="43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36"/>
      <c r="AG429" s="36"/>
      <c r="AH429" s="36"/>
      <c r="AI429" s="36"/>
    </row>
    <row r="430" s="1" customFormat="1" customHeight="1" spans="1:35">
      <c r="A430" s="17">
        <v>427</v>
      </c>
      <c r="B430" s="20">
        <v>46129</v>
      </c>
      <c r="C430" s="26" t="s">
        <v>300</v>
      </c>
      <c r="D430" s="22" t="s">
        <v>500</v>
      </c>
      <c r="E430" s="23" t="s">
        <v>301</v>
      </c>
      <c r="F430" s="24">
        <f t="shared" si="7"/>
        <v>1650</v>
      </c>
      <c r="G430" s="24" t="s">
        <v>49</v>
      </c>
      <c r="H430" s="25">
        <v>46133</v>
      </c>
      <c r="I430" s="25">
        <v>46162</v>
      </c>
      <c r="J430" s="24">
        <v>1650</v>
      </c>
      <c r="K430" s="24"/>
      <c r="L430" s="24"/>
      <c r="M430" s="24"/>
      <c r="N430" s="24"/>
      <c r="O430" s="24"/>
      <c r="P430" s="24"/>
      <c r="Q430" s="24"/>
      <c r="R430" s="43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36"/>
      <c r="AG430" s="36"/>
      <c r="AH430" s="36"/>
      <c r="AI430" s="36"/>
    </row>
    <row r="431" s="1" customFormat="1" customHeight="1" spans="1:35">
      <c r="A431" s="17">
        <v>428</v>
      </c>
      <c r="B431" s="20">
        <v>46129</v>
      </c>
      <c r="C431" s="26" t="s">
        <v>302</v>
      </c>
      <c r="D431" s="22" t="s">
        <v>501</v>
      </c>
      <c r="E431" s="23" t="s">
        <v>303</v>
      </c>
      <c r="F431" s="24">
        <f t="shared" si="7"/>
        <v>1650</v>
      </c>
      <c r="G431" s="24" t="s">
        <v>49</v>
      </c>
      <c r="H431" s="25">
        <v>46133</v>
      </c>
      <c r="I431" s="25">
        <v>46162</v>
      </c>
      <c r="J431" s="24">
        <v>1650</v>
      </c>
      <c r="K431" s="24"/>
      <c r="L431" s="24"/>
      <c r="M431" s="24"/>
      <c r="N431" s="24"/>
      <c r="O431" s="24"/>
      <c r="P431" s="24"/>
      <c r="Q431" s="24"/>
      <c r="R431" s="43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36"/>
      <c r="AG431" s="36"/>
      <c r="AH431" s="36"/>
      <c r="AI431" s="36"/>
    </row>
    <row r="432" s="1" customFormat="1" customHeight="1" spans="1:35">
      <c r="A432" s="17">
        <v>429</v>
      </c>
      <c r="B432" s="20">
        <v>46129</v>
      </c>
      <c r="C432" s="26" t="s">
        <v>282</v>
      </c>
      <c r="D432" s="22" t="s">
        <v>502</v>
      </c>
      <c r="E432" s="23" t="s">
        <v>283</v>
      </c>
      <c r="F432" s="24">
        <f t="shared" si="7"/>
        <v>1650</v>
      </c>
      <c r="G432" s="24" t="s">
        <v>49</v>
      </c>
      <c r="H432" s="25">
        <v>46133</v>
      </c>
      <c r="I432" s="25">
        <v>46162</v>
      </c>
      <c r="J432" s="24">
        <v>1650</v>
      </c>
      <c r="K432" s="24"/>
      <c r="L432" s="24"/>
      <c r="M432" s="24"/>
      <c r="N432" s="24"/>
      <c r="O432" s="24"/>
      <c r="P432" s="24"/>
      <c r="Q432" s="24"/>
      <c r="R432" s="43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36"/>
      <c r="AG432" s="36"/>
      <c r="AH432" s="36"/>
      <c r="AI432" s="36"/>
    </row>
    <row r="433" s="1" customFormat="1" customHeight="1" spans="1:35">
      <c r="A433" s="17">
        <v>430</v>
      </c>
      <c r="B433" s="20">
        <v>46129</v>
      </c>
      <c r="C433" s="26" t="s">
        <v>306</v>
      </c>
      <c r="D433" s="22" t="s">
        <v>503</v>
      </c>
      <c r="E433" s="23" t="s">
        <v>307</v>
      </c>
      <c r="F433" s="24">
        <f t="shared" si="7"/>
        <v>1650</v>
      </c>
      <c r="G433" s="24" t="s">
        <v>49</v>
      </c>
      <c r="H433" s="25">
        <v>46133</v>
      </c>
      <c r="I433" s="25">
        <v>46162</v>
      </c>
      <c r="J433" s="24">
        <v>1650</v>
      </c>
      <c r="K433" s="24"/>
      <c r="L433" s="24"/>
      <c r="M433" s="24"/>
      <c r="N433" s="24"/>
      <c r="O433" s="24"/>
      <c r="P433" s="24"/>
      <c r="Q433" s="24"/>
      <c r="R433" s="43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36"/>
      <c r="AG433" s="36"/>
      <c r="AH433" s="36"/>
      <c r="AI433" s="36"/>
    </row>
    <row r="434" s="1" customFormat="1" customHeight="1" spans="1:35">
      <c r="A434" s="17">
        <v>431</v>
      </c>
      <c r="B434" s="20">
        <v>46129</v>
      </c>
      <c r="C434" s="21" t="s">
        <v>256</v>
      </c>
      <c r="D434" s="22" t="s">
        <v>504</v>
      </c>
      <c r="E434" s="23" t="s">
        <v>257</v>
      </c>
      <c r="F434" s="24">
        <f t="shared" si="7"/>
        <v>1650</v>
      </c>
      <c r="G434" s="24" t="s">
        <v>49</v>
      </c>
      <c r="H434" s="25">
        <v>46133</v>
      </c>
      <c r="I434" s="25">
        <v>46162</v>
      </c>
      <c r="J434" s="24">
        <v>1650</v>
      </c>
      <c r="K434" s="24"/>
      <c r="L434" s="24"/>
      <c r="M434" s="24"/>
      <c r="N434" s="24"/>
      <c r="O434" s="24"/>
      <c r="P434" s="24"/>
      <c r="Q434" s="24"/>
      <c r="R434" s="43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36"/>
      <c r="AG434" s="36"/>
      <c r="AH434" s="36"/>
      <c r="AI434" s="36"/>
    </row>
    <row r="435" s="1" customFormat="1" customHeight="1" spans="1:35">
      <c r="A435" s="17">
        <v>432</v>
      </c>
      <c r="B435" s="20">
        <v>46129</v>
      </c>
      <c r="C435" s="26" t="s">
        <v>287</v>
      </c>
      <c r="D435" s="22" t="s">
        <v>505</v>
      </c>
      <c r="E435" s="23" t="s">
        <v>288</v>
      </c>
      <c r="F435" s="24">
        <f t="shared" si="7"/>
        <v>1650</v>
      </c>
      <c r="G435" s="24" t="s">
        <v>49</v>
      </c>
      <c r="H435" s="25">
        <v>46133</v>
      </c>
      <c r="I435" s="25">
        <v>46162</v>
      </c>
      <c r="J435" s="24">
        <v>1650</v>
      </c>
      <c r="K435" s="24"/>
      <c r="L435" s="24"/>
      <c r="M435" s="24"/>
      <c r="N435" s="24"/>
      <c r="O435" s="24"/>
      <c r="P435" s="24"/>
      <c r="Q435" s="24"/>
      <c r="R435" s="43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36"/>
      <c r="AG435" s="36"/>
      <c r="AH435" s="36"/>
      <c r="AI435" s="36"/>
    </row>
    <row r="436" s="1" customFormat="1" customHeight="1" spans="1:35">
      <c r="A436" s="17">
        <v>433</v>
      </c>
      <c r="B436" s="20">
        <v>46129</v>
      </c>
      <c r="C436" s="26" t="s">
        <v>254</v>
      </c>
      <c r="D436" s="22" t="s">
        <v>506</v>
      </c>
      <c r="E436" s="23" t="s">
        <v>255</v>
      </c>
      <c r="F436" s="24">
        <f t="shared" si="7"/>
        <v>3300</v>
      </c>
      <c r="G436" s="24" t="s">
        <v>49</v>
      </c>
      <c r="H436" s="25">
        <v>46133</v>
      </c>
      <c r="I436" s="25">
        <v>46162</v>
      </c>
      <c r="J436" s="24">
        <v>3300</v>
      </c>
      <c r="K436" s="24"/>
      <c r="L436" s="24"/>
      <c r="M436" s="24"/>
      <c r="N436" s="24"/>
      <c r="O436" s="24"/>
      <c r="P436" s="24"/>
      <c r="Q436" s="24"/>
      <c r="R436" s="43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36"/>
      <c r="AG436" s="36"/>
      <c r="AH436" s="36"/>
      <c r="AI436" s="36"/>
    </row>
    <row r="437" s="1" customFormat="1" customHeight="1" spans="1:35">
      <c r="A437" s="17">
        <v>434</v>
      </c>
      <c r="B437" s="20">
        <v>46129</v>
      </c>
      <c r="C437" s="26" t="s">
        <v>334</v>
      </c>
      <c r="D437" s="22" t="s">
        <v>507</v>
      </c>
      <c r="E437" s="23" t="s">
        <v>335</v>
      </c>
      <c r="F437" s="24">
        <f t="shared" si="7"/>
        <v>1650</v>
      </c>
      <c r="G437" s="24" t="s">
        <v>49</v>
      </c>
      <c r="H437" s="25">
        <v>46133</v>
      </c>
      <c r="I437" s="25">
        <v>46162</v>
      </c>
      <c r="J437" s="24">
        <v>1650</v>
      </c>
      <c r="K437" s="24"/>
      <c r="L437" s="24"/>
      <c r="M437" s="24"/>
      <c r="N437" s="24"/>
      <c r="O437" s="24"/>
      <c r="P437" s="24"/>
      <c r="Q437" s="24"/>
      <c r="R437" s="43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36"/>
      <c r="AG437" s="36"/>
      <c r="AH437" s="36"/>
      <c r="AI437" s="36"/>
    </row>
    <row r="438" s="1" customFormat="1" customHeight="1" spans="1:35">
      <c r="A438" s="17">
        <v>435</v>
      </c>
      <c r="B438" s="20">
        <v>46129</v>
      </c>
      <c r="C438" s="21" t="s">
        <v>508</v>
      </c>
      <c r="D438" s="22" t="s">
        <v>509</v>
      </c>
      <c r="E438" s="23" t="s">
        <v>510</v>
      </c>
      <c r="F438" s="24">
        <f t="shared" si="7"/>
        <v>6850</v>
      </c>
      <c r="G438" s="24" t="s">
        <v>49</v>
      </c>
      <c r="H438" s="25">
        <v>46082</v>
      </c>
      <c r="I438" s="25">
        <v>46112</v>
      </c>
      <c r="J438" s="54">
        <v>4110</v>
      </c>
      <c r="K438" s="24">
        <v>2740</v>
      </c>
      <c r="L438" s="24"/>
      <c r="M438" s="24"/>
      <c r="N438" s="24"/>
      <c r="O438" s="24"/>
      <c r="P438" s="24"/>
      <c r="Q438" s="24"/>
      <c r="R438" s="43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58"/>
      <c r="AD438" s="58"/>
      <c r="AE438" s="58"/>
      <c r="AF438" s="36"/>
      <c r="AG438" s="36"/>
      <c r="AH438" s="36"/>
      <c r="AI438" s="36"/>
    </row>
    <row r="439" s="1" customFormat="1" customHeight="1" spans="1:35">
      <c r="A439" s="17">
        <v>436</v>
      </c>
      <c r="B439" s="20">
        <v>46129</v>
      </c>
      <c r="C439" s="21" t="s">
        <v>511</v>
      </c>
      <c r="D439" s="22" t="str" cm="1">
        <f t="array" ref="D439">INDEX([1]Sheet2!A:A,MATCH(E439,[1]Sheet2!B:B,0))</f>
        <v>衡阳市蒸湘区乐学教育培训学校</v>
      </c>
      <c r="E439" s="23" t="s">
        <v>512</v>
      </c>
      <c r="F439" s="24">
        <f t="shared" si="7"/>
        <v>54.72</v>
      </c>
      <c r="G439" s="24" t="s">
        <v>49</v>
      </c>
      <c r="H439" s="25">
        <v>46023</v>
      </c>
      <c r="I439" s="25">
        <v>46112</v>
      </c>
      <c r="J439" s="24"/>
      <c r="K439" s="24"/>
      <c r="L439" s="24"/>
      <c r="M439" s="24"/>
      <c r="N439" s="24"/>
      <c r="O439" s="24"/>
      <c r="P439" s="24"/>
      <c r="Q439" s="24">
        <v>54.72</v>
      </c>
      <c r="R439" s="43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36"/>
      <c r="AG439" s="36"/>
      <c r="AH439" s="36"/>
      <c r="AI439" s="36"/>
    </row>
    <row r="440" s="2" customFormat="1" customHeight="1" spans="1:35">
      <c r="A440" s="27">
        <v>437</v>
      </c>
      <c r="B440" s="28">
        <v>46129</v>
      </c>
      <c r="C440" s="34" t="s">
        <v>289</v>
      </c>
      <c r="D440" s="30" t="s">
        <v>290</v>
      </c>
      <c r="E440" s="31" t="s">
        <v>513</v>
      </c>
      <c r="F440" s="32">
        <f t="shared" si="7"/>
        <v>54290</v>
      </c>
      <c r="G440" s="32" t="s">
        <v>49</v>
      </c>
      <c r="H440" s="64">
        <v>46143</v>
      </c>
      <c r="I440" s="64">
        <v>46295</v>
      </c>
      <c r="J440" s="32">
        <v>22330</v>
      </c>
      <c r="K440" s="32">
        <v>15440</v>
      </c>
      <c r="L440" s="32"/>
      <c r="M440" s="32"/>
      <c r="N440" s="32"/>
      <c r="O440" s="32"/>
      <c r="P440" s="32"/>
      <c r="Q440" s="32"/>
      <c r="R440" s="45"/>
      <c r="S440" s="32"/>
      <c r="T440" s="32"/>
      <c r="U440" s="32"/>
      <c r="V440" s="32"/>
      <c r="W440" s="32"/>
      <c r="X440" s="32">
        <v>-10000</v>
      </c>
      <c r="Y440" s="32"/>
      <c r="Z440" s="32">
        <v>26520</v>
      </c>
      <c r="AA440" s="32"/>
      <c r="AB440" s="32"/>
      <c r="AC440" s="32"/>
      <c r="AD440" s="32"/>
      <c r="AE440" s="32"/>
      <c r="AF440" s="35" t="s">
        <v>514</v>
      </c>
      <c r="AG440" s="35" t="s">
        <v>50</v>
      </c>
      <c r="AH440" s="35">
        <v>7472841</v>
      </c>
      <c r="AI440" s="35" t="s">
        <v>515</v>
      </c>
    </row>
    <row r="441" s="2" customFormat="1" customHeight="1" spans="1:35">
      <c r="A441" s="27">
        <v>438</v>
      </c>
      <c r="B441" s="28">
        <v>46129</v>
      </c>
      <c r="C441" s="34" t="s">
        <v>289</v>
      </c>
      <c r="D441" s="30" t="s">
        <v>290</v>
      </c>
      <c r="E441" s="31" t="s">
        <v>513</v>
      </c>
      <c r="F441" s="32">
        <f t="shared" si="7"/>
        <v>3000</v>
      </c>
      <c r="G441" s="32" t="s">
        <v>49</v>
      </c>
      <c r="H441" s="64">
        <v>46143</v>
      </c>
      <c r="I441" s="64">
        <v>46507</v>
      </c>
      <c r="J441" s="32"/>
      <c r="K441" s="32"/>
      <c r="L441" s="32">
        <v>3000</v>
      </c>
      <c r="M441" s="32"/>
      <c r="N441" s="32"/>
      <c r="O441" s="32"/>
      <c r="P441" s="32"/>
      <c r="Q441" s="32"/>
      <c r="R441" s="45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5" t="s">
        <v>60</v>
      </c>
      <c r="AG441" s="35"/>
      <c r="AH441" s="35"/>
      <c r="AI441" s="35"/>
    </row>
    <row r="442" s="1" customFormat="1" customHeight="1" spans="1:35">
      <c r="A442" s="17">
        <v>439</v>
      </c>
      <c r="B442" s="20">
        <v>46129</v>
      </c>
      <c r="C442" s="21" t="s">
        <v>168</v>
      </c>
      <c r="D442" s="22" t="e" cm="1">
        <f t="array" ref="D442">INDEX([1]Sheet2!A:A,MATCH(E442,[1]Sheet2!B:B,0))</f>
        <v>#N/A</v>
      </c>
      <c r="E442" s="23" t="s">
        <v>168</v>
      </c>
      <c r="F442" s="24">
        <f t="shared" si="7"/>
        <v>4</v>
      </c>
      <c r="G442" s="24" t="s">
        <v>49</v>
      </c>
      <c r="H442" s="65"/>
      <c r="I442" s="65"/>
      <c r="J442" s="24"/>
      <c r="K442" s="24"/>
      <c r="L442" s="24"/>
      <c r="M442" s="24"/>
      <c r="N442" s="24"/>
      <c r="O442" s="24"/>
      <c r="P442" s="24"/>
      <c r="Q442" s="24"/>
      <c r="R442" s="43"/>
      <c r="S442" s="24"/>
      <c r="T442" s="24"/>
      <c r="U442" s="24"/>
      <c r="V442" s="24">
        <v>4</v>
      </c>
      <c r="W442" s="24"/>
      <c r="X442" s="24"/>
      <c r="Y442" s="24"/>
      <c r="Z442" s="24"/>
      <c r="AA442" s="24"/>
      <c r="AB442" s="24"/>
      <c r="AC442" s="24"/>
      <c r="AD442" s="24"/>
      <c r="AE442" s="24"/>
      <c r="AF442" s="36"/>
      <c r="AG442" s="36"/>
      <c r="AH442" s="36"/>
      <c r="AI442" s="36"/>
    </row>
    <row r="443" s="1" customFormat="1" customHeight="1" spans="1:35">
      <c r="A443" s="17">
        <v>440</v>
      </c>
      <c r="B443" s="20">
        <v>46129</v>
      </c>
      <c r="C443" s="26" t="s">
        <v>73</v>
      </c>
      <c r="D443" s="22" t="str" cm="1">
        <f t="array" ref="D443">INDEX([1]Sheet2!A:A,MATCH(E443,[1]Sheet2!B:B,0))</f>
        <v>衡阳志扬体育文化有限公司</v>
      </c>
      <c r="E443" s="36" t="s">
        <v>74</v>
      </c>
      <c r="F443" s="24">
        <f t="shared" si="7"/>
        <v>2420</v>
      </c>
      <c r="G443" s="24" t="s">
        <v>49</v>
      </c>
      <c r="H443" s="66"/>
      <c r="I443" s="66"/>
      <c r="J443" s="24"/>
      <c r="K443" s="24"/>
      <c r="L443" s="24"/>
      <c r="M443" s="24"/>
      <c r="N443" s="24"/>
      <c r="O443" s="24"/>
      <c r="P443" s="24"/>
      <c r="Q443" s="24"/>
      <c r="R443" s="43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>
        <v>2420</v>
      </c>
      <c r="AF443" s="36"/>
      <c r="AG443" s="36"/>
      <c r="AH443" s="36"/>
      <c r="AI443" s="36"/>
    </row>
    <row r="444" s="1" customFormat="1" customHeight="1" spans="1:35">
      <c r="A444" s="17">
        <v>441</v>
      </c>
      <c r="B444" s="20">
        <v>46129</v>
      </c>
      <c r="C444" s="26" t="s">
        <v>24</v>
      </c>
      <c r="D444" s="22" t="str" cm="1">
        <f t="array" ref="D444">INDEX([1]Sheet2!A:A,MATCH(E444,[1]Sheet2!B:B,0))</f>
        <v>充值</v>
      </c>
      <c r="E444" s="36" t="s">
        <v>72</v>
      </c>
      <c r="F444" s="24">
        <f t="shared" si="7"/>
        <v>600</v>
      </c>
      <c r="G444" s="24" t="s">
        <v>49</v>
      </c>
      <c r="H444" s="66"/>
      <c r="I444" s="66"/>
      <c r="J444" s="24"/>
      <c r="K444" s="24"/>
      <c r="L444" s="24"/>
      <c r="M444" s="24"/>
      <c r="N444" s="24"/>
      <c r="O444" s="24"/>
      <c r="P444" s="24"/>
      <c r="Q444" s="24"/>
      <c r="R444" s="43"/>
      <c r="S444" s="24"/>
      <c r="T444" s="24"/>
      <c r="U444" s="24"/>
      <c r="V444" s="24"/>
      <c r="W444" s="24">
        <v>600</v>
      </c>
      <c r="X444" s="24"/>
      <c r="Y444" s="24"/>
      <c r="Z444" s="24"/>
      <c r="AA444" s="24"/>
      <c r="AB444" s="24"/>
      <c r="AC444" s="24"/>
      <c r="AD444" s="24"/>
      <c r="AE444" s="24"/>
      <c r="AF444" s="36"/>
      <c r="AG444" s="36"/>
      <c r="AH444" s="36"/>
      <c r="AI444" s="36"/>
    </row>
    <row r="445" s="1" customFormat="1" customHeight="1" spans="1:35">
      <c r="A445" s="17">
        <v>442</v>
      </c>
      <c r="B445" s="20">
        <v>46129</v>
      </c>
      <c r="C445" s="21" t="s">
        <v>156</v>
      </c>
      <c r="D445" s="22" t="str" cm="1">
        <f t="array" ref="D445">INDEX([1]Sheet2!A:A,MATCH(E445,[1]Sheet2!B:B,0))</f>
        <v>刘露</v>
      </c>
      <c r="E445" s="23" t="s">
        <v>157</v>
      </c>
      <c r="F445" s="24">
        <f t="shared" si="7"/>
        <v>100</v>
      </c>
      <c r="G445" s="24" t="s">
        <v>77</v>
      </c>
      <c r="H445" s="65"/>
      <c r="I445" s="65"/>
      <c r="J445" s="24"/>
      <c r="K445" s="24"/>
      <c r="L445" s="24"/>
      <c r="M445" s="24"/>
      <c r="N445" s="24"/>
      <c r="O445" s="24"/>
      <c r="P445" s="24"/>
      <c r="Q445" s="24"/>
      <c r="R445" s="43"/>
      <c r="S445" s="24">
        <v>100</v>
      </c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36"/>
      <c r="AG445" s="36"/>
      <c r="AH445" s="36"/>
      <c r="AI445" s="36"/>
    </row>
    <row r="446" s="1" customFormat="1" customHeight="1" spans="1:35">
      <c r="A446" s="17">
        <v>443</v>
      </c>
      <c r="B446" s="20">
        <v>46129</v>
      </c>
      <c r="C446" s="21" t="s">
        <v>185</v>
      </c>
      <c r="D446" s="22" t="str" cm="1">
        <f t="array" ref="D446">INDEX([1]Sheet2!A:A,MATCH(E446,[1]Sheet2!B:B,0))</f>
        <v>谭娜</v>
      </c>
      <c r="E446" s="23" t="s">
        <v>186</v>
      </c>
      <c r="F446" s="24">
        <f t="shared" si="7"/>
        <v>2000</v>
      </c>
      <c r="G446" s="24" t="s">
        <v>77</v>
      </c>
      <c r="H446" s="65"/>
      <c r="I446" s="65"/>
      <c r="J446" s="24"/>
      <c r="K446" s="24"/>
      <c r="L446" s="24"/>
      <c r="M446" s="24"/>
      <c r="N446" s="24"/>
      <c r="O446" s="24"/>
      <c r="P446" s="24"/>
      <c r="Q446" s="24"/>
      <c r="R446" s="43"/>
      <c r="S446" s="24">
        <v>2000</v>
      </c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36"/>
      <c r="AG446" s="36"/>
      <c r="AH446" s="36"/>
      <c r="AI446" s="36"/>
    </row>
    <row r="447" s="1" customFormat="1" customHeight="1" spans="1:35">
      <c r="A447" s="17">
        <v>444</v>
      </c>
      <c r="B447" s="20">
        <v>46129</v>
      </c>
      <c r="C447" s="21" t="s">
        <v>127</v>
      </c>
      <c r="D447" s="22" t="str" cm="1">
        <f t="array" ref="D447">INDEX([1]Sheet2!A:A,MATCH(E447,[1]Sheet2!B:B,0))</f>
        <v>邹文超</v>
      </c>
      <c r="E447" s="23" t="s">
        <v>128</v>
      </c>
      <c r="F447" s="24">
        <f t="shared" si="7"/>
        <v>1000</v>
      </c>
      <c r="G447" s="24" t="s">
        <v>77</v>
      </c>
      <c r="H447" s="65"/>
      <c r="I447" s="65"/>
      <c r="J447" s="24"/>
      <c r="K447" s="24"/>
      <c r="L447" s="24"/>
      <c r="M447" s="24"/>
      <c r="N447" s="24"/>
      <c r="O447" s="24"/>
      <c r="P447" s="24"/>
      <c r="Q447" s="24"/>
      <c r="R447" s="43"/>
      <c r="S447" s="24">
        <v>1000</v>
      </c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36"/>
      <c r="AG447" s="36"/>
      <c r="AH447" s="36"/>
      <c r="AI447" s="36"/>
    </row>
    <row r="448" s="1" customFormat="1" customHeight="1" spans="1:35">
      <c r="A448" s="17">
        <v>445</v>
      </c>
      <c r="B448" s="20">
        <v>46129</v>
      </c>
      <c r="C448" s="21" t="s">
        <v>201</v>
      </c>
      <c r="D448" s="22" t="str" cm="1">
        <f t="array" ref="D448">INDEX([1]Sheet2!A:A,MATCH(E448,[1]Sheet2!B:B,0))</f>
        <v>阳小华</v>
      </c>
      <c r="E448" s="23" t="s">
        <v>202</v>
      </c>
      <c r="F448" s="24">
        <f t="shared" si="7"/>
        <v>500</v>
      </c>
      <c r="G448" s="24" t="s">
        <v>77</v>
      </c>
      <c r="H448" s="65"/>
      <c r="I448" s="65"/>
      <c r="J448" s="24"/>
      <c r="K448" s="24"/>
      <c r="L448" s="24"/>
      <c r="M448" s="24"/>
      <c r="N448" s="24"/>
      <c r="O448" s="24"/>
      <c r="P448" s="24"/>
      <c r="Q448" s="24"/>
      <c r="R448" s="43"/>
      <c r="S448" s="24">
        <v>500</v>
      </c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36"/>
      <c r="AG448" s="36"/>
      <c r="AH448" s="36"/>
      <c r="AI448" s="36"/>
    </row>
    <row r="449" s="1" customFormat="1" customHeight="1" spans="1:35">
      <c r="A449" s="17">
        <v>446</v>
      </c>
      <c r="B449" s="20">
        <v>46129</v>
      </c>
      <c r="C449" s="21" t="s">
        <v>173</v>
      </c>
      <c r="D449" s="22" t="str" cm="1">
        <f t="array" ref="D449">INDEX([1]Sheet2!A:A,MATCH(E449,[1]Sheet2!B:B,0))</f>
        <v>王成宁</v>
      </c>
      <c r="E449" s="36" t="s">
        <v>174</v>
      </c>
      <c r="F449" s="24">
        <f t="shared" si="7"/>
        <v>500</v>
      </c>
      <c r="G449" s="24" t="s">
        <v>77</v>
      </c>
      <c r="H449" s="65"/>
      <c r="I449" s="65"/>
      <c r="J449" s="24"/>
      <c r="K449" s="24"/>
      <c r="L449" s="24"/>
      <c r="M449" s="24"/>
      <c r="N449" s="24"/>
      <c r="O449" s="24"/>
      <c r="P449" s="24"/>
      <c r="Q449" s="24"/>
      <c r="R449" s="43"/>
      <c r="S449" s="24">
        <v>500</v>
      </c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36"/>
      <c r="AG449" s="36"/>
      <c r="AH449" s="36"/>
      <c r="AI449" s="36"/>
    </row>
    <row r="450" s="1" customFormat="1" customHeight="1" spans="1:35">
      <c r="A450" s="17">
        <v>447</v>
      </c>
      <c r="B450" s="20">
        <v>46129</v>
      </c>
      <c r="C450" s="21" t="s">
        <v>516</v>
      </c>
      <c r="D450" s="22" t="str" cm="1">
        <f t="array" ref="D450">INDEX([1]Sheet2!A:A,MATCH(E450,[1]Sheet2!B:B,0))</f>
        <v>胡嘉熙</v>
      </c>
      <c r="E450" s="36" t="s">
        <v>517</v>
      </c>
      <c r="F450" s="24">
        <f t="shared" si="7"/>
        <v>1000</v>
      </c>
      <c r="G450" s="24" t="s">
        <v>77</v>
      </c>
      <c r="H450" s="65"/>
      <c r="I450" s="65"/>
      <c r="J450" s="24"/>
      <c r="K450" s="24"/>
      <c r="L450" s="24"/>
      <c r="M450" s="24"/>
      <c r="N450" s="24"/>
      <c r="O450" s="24"/>
      <c r="P450" s="24"/>
      <c r="Q450" s="24"/>
      <c r="R450" s="43"/>
      <c r="S450" s="24">
        <v>1000</v>
      </c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36"/>
      <c r="AG450" s="36"/>
      <c r="AH450" s="36"/>
      <c r="AI450" s="36"/>
    </row>
    <row r="451" s="1" customFormat="1" customHeight="1" spans="1:35">
      <c r="A451" s="17">
        <v>448</v>
      </c>
      <c r="B451" s="20">
        <v>46129</v>
      </c>
      <c r="C451" s="21" t="s">
        <v>518</v>
      </c>
      <c r="D451" s="22" t="str" cm="1">
        <f t="array" ref="D451">INDEX([1]Sheet2!A:A,MATCH(E451,[1]Sheet2!B:B,0))</f>
        <v>肖巨广</v>
      </c>
      <c r="E451" s="23" t="s">
        <v>519</v>
      </c>
      <c r="F451" s="24">
        <f t="shared" si="7"/>
        <v>2000</v>
      </c>
      <c r="G451" s="24" t="s">
        <v>77</v>
      </c>
      <c r="H451" s="65"/>
      <c r="I451" s="65"/>
      <c r="J451" s="24"/>
      <c r="K451" s="24"/>
      <c r="L451" s="24"/>
      <c r="M451" s="24"/>
      <c r="N451" s="24"/>
      <c r="O451" s="24"/>
      <c r="P451" s="24"/>
      <c r="Q451" s="24"/>
      <c r="R451" s="43"/>
      <c r="S451" s="24">
        <v>2000</v>
      </c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36"/>
      <c r="AG451" s="36"/>
      <c r="AH451" s="36"/>
      <c r="AI451" s="36"/>
    </row>
    <row r="452" s="1" customFormat="1" customHeight="1" spans="1:35">
      <c r="A452" s="17">
        <v>449</v>
      </c>
      <c r="B452" s="20">
        <v>46129</v>
      </c>
      <c r="C452" s="21" t="s">
        <v>164</v>
      </c>
      <c r="D452" s="22" t="str" cm="1">
        <f t="array" ref="D452">INDEX([1]Sheet2!A:A,MATCH(E452,[1]Sheet2!B:B,0))</f>
        <v>李江飞</v>
      </c>
      <c r="E452" s="23" t="s">
        <v>165</v>
      </c>
      <c r="F452" s="24">
        <f t="shared" ref="F452:F515" si="8">SUM(J452:AE452)</f>
        <v>500</v>
      </c>
      <c r="G452" s="24" t="s">
        <v>77</v>
      </c>
      <c r="H452" s="65"/>
      <c r="I452" s="65"/>
      <c r="J452" s="24"/>
      <c r="K452" s="24"/>
      <c r="L452" s="24"/>
      <c r="M452" s="24"/>
      <c r="N452" s="24"/>
      <c r="O452" s="24"/>
      <c r="P452" s="24"/>
      <c r="Q452" s="24"/>
      <c r="R452" s="43"/>
      <c r="S452" s="24">
        <v>500</v>
      </c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36"/>
      <c r="AG452" s="36"/>
      <c r="AH452" s="36"/>
      <c r="AI452" s="36"/>
    </row>
    <row r="453" s="1" customFormat="1" customHeight="1" spans="1:35">
      <c r="A453" s="17">
        <v>450</v>
      </c>
      <c r="B453" s="20">
        <v>46129</v>
      </c>
      <c r="C453" s="21" t="s">
        <v>115</v>
      </c>
      <c r="D453" s="22" t="str" cm="1">
        <f t="array" ref="D453">INDEX([1]Sheet2!A:A,MATCH(E453,[1]Sheet2!B:B,0))</f>
        <v>湖南亮点体育文化发展有限公司</v>
      </c>
      <c r="E453" s="36" t="s">
        <v>116</v>
      </c>
      <c r="F453" s="24">
        <f t="shared" si="8"/>
        <v>100</v>
      </c>
      <c r="G453" s="24" t="s">
        <v>77</v>
      </c>
      <c r="H453" s="65"/>
      <c r="I453" s="65"/>
      <c r="J453" s="24"/>
      <c r="K453" s="24"/>
      <c r="L453" s="24"/>
      <c r="M453" s="24"/>
      <c r="N453" s="24"/>
      <c r="O453" s="24"/>
      <c r="P453" s="24"/>
      <c r="Q453" s="24"/>
      <c r="R453" s="43"/>
      <c r="S453" s="24">
        <v>100</v>
      </c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36"/>
      <c r="AG453" s="36"/>
      <c r="AH453" s="36"/>
      <c r="AI453" s="36"/>
    </row>
    <row r="454" s="1" customFormat="1" customHeight="1" spans="1:35">
      <c r="A454" s="17">
        <v>451</v>
      </c>
      <c r="B454" s="20">
        <v>46129</v>
      </c>
      <c r="C454" s="21" t="s">
        <v>95</v>
      </c>
      <c r="D454" s="22" t="str" cm="1">
        <f t="array" ref="D454">INDEX([1]Sheet2!A:A,MATCH(E454,[1]Sheet2!B:B,0))</f>
        <v>周建华</v>
      </c>
      <c r="E454" s="36" t="s">
        <v>96</v>
      </c>
      <c r="F454" s="24">
        <f t="shared" si="8"/>
        <v>300</v>
      </c>
      <c r="G454" s="24" t="s">
        <v>77</v>
      </c>
      <c r="H454" s="65"/>
      <c r="I454" s="65"/>
      <c r="J454" s="24"/>
      <c r="K454" s="24"/>
      <c r="L454" s="24"/>
      <c r="M454" s="24"/>
      <c r="N454" s="24"/>
      <c r="O454" s="24"/>
      <c r="P454" s="24"/>
      <c r="Q454" s="24"/>
      <c r="R454" s="43"/>
      <c r="S454" s="24">
        <v>300</v>
      </c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36"/>
      <c r="AG454" s="36"/>
      <c r="AH454" s="36"/>
      <c r="AI454" s="36"/>
    </row>
    <row r="455" s="1" customFormat="1" customHeight="1" spans="1:35">
      <c r="A455" s="17">
        <v>452</v>
      </c>
      <c r="B455" s="20">
        <v>46129</v>
      </c>
      <c r="C455" s="21" t="s">
        <v>86</v>
      </c>
      <c r="D455" s="22" t="str" cm="1">
        <f t="array" ref="D455">INDEX([1]Sheet2!A:A,MATCH(E455,[1]Sheet2!B:B,0))</f>
        <v>吴革民</v>
      </c>
      <c r="E455" s="36" t="s">
        <v>87</v>
      </c>
      <c r="F455" s="24">
        <f t="shared" si="8"/>
        <v>100</v>
      </c>
      <c r="G455" s="24" t="s">
        <v>77</v>
      </c>
      <c r="H455" s="65"/>
      <c r="I455" s="65"/>
      <c r="J455" s="24"/>
      <c r="K455" s="24"/>
      <c r="L455" s="24"/>
      <c r="M455" s="24"/>
      <c r="N455" s="24"/>
      <c r="O455" s="24"/>
      <c r="P455" s="24"/>
      <c r="Q455" s="24"/>
      <c r="R455" s="43"/>
      <c r="S455" s="24">
        <v>100</v>
      </c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36"/>
      <c r="AG455" s="36"/>
      <c r="AH455" s="36"/>
      <c r="AI455" s="36"/>
    </row>
    <row r="456" s="1" customFormat="1" customHeight="1" spans="1:35">
      <c r="A456" s="17">
        <v>453</v>
      </c>
      <c r="B456" s="20">
        <v>46129</v>
      </c>
      <c r="C456" s="21" t="s">
        <v>24</v>
      </c>
      <c r="D456" s="22" t="str" cm="1">
        <f t="array" ref="D456">INDEX([1]Sheet2!A:A,MATCH(E456,[1]Sheet2!B:B,0))</f>
        <v>临时</v>
      </c>
      <c r="E456" s="36" t="s">
        <v>99</v>
      </c>
      <c r="F456" s="24">
        <f t="shared" si="8"/>
        <v>363</v>
      </c>
      <c r="G456" s="24" t="s">
        <v>100</v>
      </c>
      <c r="H456" s="65"/>
      <c r="I456" s="65"/>
      <c r="J456" s="24"/>
      <c r="K456" s="24"/>
      <c r="L456" s="24"/>
      <c r="M456" s="24"/>
      <c r="N456" s="24"/>
      <c r="O456" s="24"/>
      <c r="P456" s="24"/>
      <c r="Q456" s="24"/>
      <c r="R456" s="43"/>
      <c r="S456" s="24"/>
      <c r="T456" s="24"/>
      <c r="U456" s="24"/>
      <c r="V456" s="24"/>
      <c r="W456" s="24">
        <v>363</v>
      </c>
      <c r="X456" s="24"/>
      <c r="Y456" s="24"/>
      <c r="Z456" s="24"/>
      <c r="AA456" s="24"/>
      <c r="AB456" s="24"/>
      <c r="AC456" s="24"/>
      <c r="AD456" s="24"/>
      <c r="AE456" s="24"/>
      <c r="AF456" s="36"/>
      <c r="AG456" s="36"/>
      <c r="AH456" s="36"/>
      <c r="AI456" s="36"/>
    </row>
    <row r="457" s="1" customFormat="1" customHeight="1" spans="1:35">
      <c r="A457" s="17">
        <v>454</v>
      </c>
      <c r="B457" s="20">
        <v>46130</v>
      </c>
      <c r="C457" s="21" t="s">
        <v>237</v>
      </c>
      <c r="D457" s="22" t="s">
        <v>520</v>
      </c>
      <c r="E457" s="36" t="s">
        <v>521</v>
      </c>
      <c r="F457" s="24">
        <f t="shared" si="8"/>
        <v>10716</v>
      </c>
      <c r="G457" s="24" t="s">
        <v>40</v>
      </c>
      <c r="H457" s="65">
        <v>46143</v>
      </c>
      <c r="I457" s="65">
        <v>46203</v>
      </c>
      <c r="J457" s="24"/>
      <c r="K457" s="24"/>
      <c r="L457" s="24"/>
      <c r="M457" s="24"/>
      <c r="N457" s="24"/>
      <c r="O457" s="24">
        <v>10000</v>
      </c>
      <c r="P457" s="24"/>
      <c r="Q457" s="24"/>
      <c r="R457" s="43"/>
      <c r="S457" s="24"/>
      <c r="T457" s="24"/>
      <c r="U457" s="24"/>
      <c r="V457" s="24"/>
      <c r="W457" s="24"/>
      <c r="X457" s="24"/>
      <c r="Y457" s="24"/>
      <c r="Z457" s="24"/>
      <c r="AA457" s="24">
        <v>716</v>
      </c>
      <c r="AB457" s="24"/>
      <c r="AC457" s="24"/>
      <c r="AD457" s="24"/>
      <c r="AE457" s="24"/>
      <c r="AF457" s="36"/>
      <c r="AG457" s="36"/>
      <c r="AH457" s="36"/>
      <c r="AI457" s="36"/>
    </row>
    <row r="458" s="2" customFormat="1" customHeight="1" spans="1:35">
      <c r="A458" s="27">
        <v>455</v>
      </c>
      <c r="B458" s="28">
        <v>46130</v>
      </c>
      <c r="C458" s="34" t="s">
        <v>522</v>
      </c>
      <c r="D458" s="30" t="s">
        <v>523</v>
      </c>
      <c r="E458" s="35" t="s">
        <v>524</v>
      </c>
      <c r="F458" s="32">
        <f t="shared" si="8"/>
        <v>27091.8</v>
      </c>
      <c r="G458" s="32" t="s">
        <v>40</v>
      </c>
      <c r="H458" s="64"/>
      <c r="I458" s="64"/>
      <c r="J458" s="32"/>
      <c r="K458" s="32"/>
      <c r="L458" s="32"/>
      <c r="M458" s="32"/>
      <c r="N458" s="32"/>
      <c r="O458" s="32"/>
      <c r="P458" s="32"/>
      <c r="Q458" s="32"/>
      <c r="R458" s="45"/>
      <c r="S458" s="32"/>
      <c r="T458" s="32"/>
      <c r="U458" s="32"/>
      <c r="V458" s="32"/>
      <c r="W458" s="32"/>
      <c r="X458" s="32"/>
      <c r="Y458" s="32"/>
      <c r="Z458" s="32"/>
      <c r="AA458" s="32">
        <v>27091.8</v>
      </c>
      <c r="AB458" s="32"/>
      <c r="AC458" s="32"/>
      <c r="AD458" s="32"/>
      <c r="AE458" s="32"/>
      <c r="AF458" s="35" t="s">
        <v>60</v>
      </c>
      <c r="AG458" s="35"/>
      <c r="AH458" s="35"/>
      <c r="AI458" s="35"/>
    </row>
    <row r="459" s="1" customFormat="1" customHeight="1" spans="1:35">
      <c r="A459" s="17">
        <v>456</v>
      </c>
      <c r="B459" s="20">
        <v>46130</v>
      </c>
      <c r="C459" s="37" t="s">
        <v>340</v>
      </c>
      <c r="D459" s="22" t="s">
        <v>525</v>
      </c>
      <c r="E459" s="23" t="s">
        <v>341</v>
      </c>
      <c r="F459" s="24">
        <f t="shared" si="8"/>
        <v>1650</v>
      </c>
      <c r="G459" s="24" t="s">
        <v>49</v>
      </c>
      <c r="H459" s="65">
        <v>46133</v>
      </c>
      <c r="I459" s="65">
        <v>46162</v>
      </c>
      <c r="J459" s="24">
        <v>1650</v>
      </c>
      <c r="K459" s="24"/>
      <c r="L459" s="24"/>
      <c r="M459" s="24"/>
      <c r="N459" s="24"/>
      <c r="O459" s="24"/>
      <c r="P459" s="24"/>
      <c r="Q459" s="24"/>
      <c r="R459" s="43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36"/>
      <c r="AG459" s="36"/>
      <c r="AH459" s="36"/>
      <c r="AI459" s="36"/>
    </row>
    <row r="460" s="1" customFormat="1" customHeight="1" spans="1:35">
      <c r="A460" s="17">
        <v>457</v>
      </c>
      <c r="B460" s="20">
        <v>46130</v>
      </c>
      <c r="C460" s="21" t="s">
        <v>344</v>
      </c>
      <c r="D460" s="22" t="s">
        <v>526</v>
      </c>
      <c r="E460" s="23" t="s">
        <v>345</v>
      </c>
      <c r="F460" s="24">
        <f t="shared" si="8"/>
        <v>1650</v>
      </c>
      <c r="G460" s="24" t="s">
        <v>49</v>
      </c>
      <c r="H460" s="65">
        <v>46133</v>
      </c>
      <c r="I460" s="65">
        <v>46162</v>
      </c>
      <c r="J460" s="24">
        <v>1650</v>
      </c>
      <c r="K460" s="24"/>
      <c r="L460" s="24"/>
      <c r="M460" s="24"/>
      <c r="N460" s="24"/>
      <c r="O460" s="24"/>
      <c r="P460" s="24"/>
      <c r="Q460" s="24"/>
      <c r="R460" s="43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36"/>
      <c r="AG460" s="36"/>
      <c r="AH460" s="36"/>
      <c r="AI460" s="36"/>
    </row>
    <row r="461" s="1" customFormat="1" customHeight="1" spans="1:35">
      <c r="A461" s="17">
        <v>458</v>
      </c>
      <c r="B461" s="20">
        <v>46130</v>
      </c>
      <c r="C461" s="21" t="s">
        <v>293</v>
      </c>
      <c r="D461" s="22" t="s">
        <v>527</v>
      </c>
      <c r="E461" s="23" t="s">
        <v>294</v>
      </c>
      <c r="F461" s="24">
        <f t="shared" si="8"/>
        <v>3300</v>
      </c>
      <c r="G461" s="24" t="s">
        <v>49</v>
      </c>
      <c r="H461" s="65">
        <v>46133</v>
      </c>
      <c r="I461" s="65">
        <v>46162</v>
      </c>
      <c r="J461" s="24">
        <v>3300</v>
      </c>
      <c r="K461" s="24"/>
      <c r="L461" s="24"/>
      <c r="M461" s="24"/>
      <c r="N461" s="24"/>
      <c r="O461" s="24"/>
      <c r="P461" s="24"/>
      <c r="Q461" s="24"/>
      <c r="R461" s="43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36"/>
      <c r="AG461" s="36"/>
      <c r="AH461" s="36"/>
      <c r="AI461" s="36"/>
    </row>
    <row r="462" s="1" customFormat="1" customHeight="1" spans="1:35">
      <c r="A462" s="17">
        <v>459</v>
      </c>
      <c r="B462" s="20">
        <v>46130</v>
      </c>
      <c r="C462" s="21" t="s">
        <v>295</v>
      </c>
      <c r="D462" s="22" t="s">
        <v>527</v>
      </c>
      <c r="E462" s="23" t="s">
        <v>296</v>
      </c>
      <c r="F462" s="24">
        <f t="shared" si="8"/>
        <v>3300</v>
      </c>
      <c r="G462" s="24" t="s">
        <v>49</v>
      </c>
      <c r="H462" s="65">
        <v>46133</v>
      </c>
      <c r="I462" s="65">
        <v>46162</v>
      </c>
      <c r="J462" s="24">
        <v>3300</v>
      </c>
      <c r="K462" s="24"/>
      <c r="L462" s="24"/>
      <c r="M462" s="24"/>
      <c r="N462" s="24"/>
      <c r="O462" s="24"/>
      <c r="P462" s="24"/>
      <c r="Q462" s="24"/>
      <c r="R462" s="43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36"/>
      <c r="AG462" s="36"/>
      <c r="AH462" s="36"/>
      <c r="AI462" s="36"/>
    </row>
    <row r="463" s="1" customFormat="1" customHeight="1" spans="1:35">
      <c r="A463" s="17">
        <v>460</v>
      </c>
      <c r="B463" s="20">
        <v>46130</v>
      </c>
      <c r="C463" s="21" t="s">
        <v>246</v>
      </c>
      <c r="D463" s="22" t="s">
        <v>528</v>
      </c>
      <c r="E463" s="23" t="s">
        <v>247</v>
      </c>
      <c r="F463" s="24">
        <f t="shared" si="8"/>
        <v>3300</v>
      </c>
      <c r="G463" s="24" t="s">
        <v>49</v>
      </c>
      <c r="H463" s="65">
        <v>46133</v>
      </c>
      <c r="I463" s="65">
        <v>46162</v>
      </c>
      <c r="J463" s="24">
        <v>3300</v>
      </c>
      <c r="K463" s="24"/>
      <c r="L463" s="24"/>
      <c r="M463" s="24"/>
      <c r="N463" s="24"/>
      <c r="O463" s="24"/>
      <c r="P463" s="24"/>
      <c r="Q463" s="24"/>
      <c r="R463" s="43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36"/>
      <c r="AG463" s="36"/>
      <c r="AH463" s="36"/>
      <c r="AI463" s="36"/>
    </row>
    <row r="464" s="1" customFormat="1" customHeight="1" spans="1:35">
      <c r="A464" s="17">
        <v>461</v>
      </c>
      <c r="B464" s="20">
        <v>46130</v>
      </c>
      <c r="C464" s="21" t="s">
        <v>350</v>
      </c>
      <c r="D464" s="22" t="s">
        <v>529</v>
      </c>
      <c r="E464" s="23" t="s">
        <v>351</v>
      </c>
      <c r="F464" s="24">
        <f t="shared" si="8"/>
        <v>1650</v>
      </c>
      <c r="G464" s="24" t="s">
        <v>49</v>
      </c>
      <c r="H464" s="65">
        <v>46133</v>
      </c>
      <c r="I464" s="65">
        <v>46162</v>
      </c>
      <c r="J464" s="24">
        <v>1650</v>
      </c>
      <c r="K464" s="24"/>
      <c r="L464" s="24"/>
      <c r="M464" s="24"/>
      <c r="N464" s="24"/>
      <c r="O464" s="24"/>
      <c r="P464" s="24"/>
      <c r="Q464" s="24"/>
      <c r="R464" s="43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36"/>
      <c r="AG464" s="36"/>
      <c r="AH464" s="36"/>
      <c r="AI464" s="36"/>
    </row>
    <row r="465" s="1" customFormat="1" customHeight="1" spans="1:35">
      <c r="A465" s="17">
        <v>462</v>
      </c>
      <c r="B465" s="20">
        <v>46130</v>
      </c>
      <c r="C465" s="21" t="s">
        <v>73</v>
      </c>
      <c r="D465" s="22" t="str" cm="1">
        <f t="array" ref="D465">INDEX([1]Sheet2!A:A,MATCH(E465,[1]Sheet2!B:B,0))</f>
        <v>衡阳志扬体育文化有限公司</v>
      </c>
      <c r="E465" s="23" t="s">
        <v>74</v>
      </c>
      <c r="F465" s="24">
        <f t="shared" si="8"/>
        <v>3431</v>
      </c>
      <c r="G465" s="24" t="s">
        <v>49</v>
      </c>
      <c r="H465" s="65"/>
      <c r="I465" s="65"/>
      <c r="J465" s="24"/>
      <c r="K465" s="24"/>
      <c r="L465" s="24"/>
      <c r="M465" s="24"/>
      <c r="N465" s="24"/>
      <c r="O465" s="24"/>
      <c r="P465" s="24"/>
      <c r="Q465" s="24"/>
      <c r="R465" s="43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>
        <v>3431</v>
      </c>
      <c r="AF465" s="36"/>
      <c r="AG465" s="36"/>
      <c r="AH465" s="36"/>
      <c r="AI465" s="36"/>
    </row>
    <row r="466" s="1" customFormat="1" customHeight="1" spans="1:35">
      <c r="A466" s="17">
        <v>463</v>
      </c>
      <c r="B466" s="20">
        <v>46130</v>
      </c>
      <c r="C466" s="21" t="s">
        <v>113</v>
      </c>
      <c r="D466" s="22" t="str" cm="1">
        <f t="array" ref="D466">INDEX([1]Sheet2!A:A,MATCH(E466,[1]Sheet2!B:B,0))</f>
        <v>湖南亮点体育文化发展有限公司</v>
      </c>
      <c r="E466" s="23" t="s">
        <v>114</v>
      </c>
      <c r="F466" s="24">
        <f t="shared" si="8"/>
        <v>200</v>
      </c>
      <c r="G466" s="24" t="s">
        <v>77</v>
      </c>
      <c r="H466" s="66"/>
      <c r="I466" s="66"/>
      <c r="J466" s="24"/>
      <c r="K466" s="24"/>
      <c r="L466" s="24"/>
      <c r="M466" s="24"/>
      <c r="N466" s="24"/>
      <c r="O466" s="24"/>
      <c r="P466" s="24"/>
      <c r="Q466" s="24"/>
      <c r="R466" s="43"/>
      <c r="S466" s="24">
        <v>200</v>
      </c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36"/>
      <c r="AG466" s="36"/>
      <c r="AH466" s="36"/>
      <c r="AI466" s="36"/>
    </row>
    <row r="467" s="1" customFormat="1" customHeight="1" spans="1:35">
      <c r="A467" s="17">
        <v>464</v>
      </c>
      <c r="B467" s="20">
        <v>46130</v>
      </c>
      <c r="C467" s="21" t="s">
        <v>115</v>
      </c>
      <c r="D467" s="22" t="str" cm="1">
        <f t="array" ref="D467">INDEX([1]Sheet2!A:A,MATCH(E467,[1]Sheet2!B:B,0))</f>
        <v>湖南亮点体育文化发展有限公司</v>
      </c>
      <c r="E467" s="23" t="s">
        <v>116</v>
      </c>
      <c r="F467" s="24">
        <f t="shared" si="8"/>
        <v>300</v>
      </c>
      <c r="G467" s="24" t="s">
        <v>77</v>
      </c>
      <c r="H467" s="66"/>
      <c r="I467" s="66"/>
      <c r="J467" s="24"/>
      <c r="K467" s="24"/>
      <c r="L467" s="24"/>
      <c r="M467" s="24"/>
      <c r="N467" s="24"/>
      <c r="O467" s="24"/>
      <c r="P467" s="24"/>
      <c r="Q467" s="24"/>
      <c r="R467" s="43"/>
      <c r="S467" s="24">
        <v>300</v>
      </c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36"/>
      <c r="AG467" s="36"/>
      <c r="AH467" s="36"/>
      <c r="AI467" s="36"/>
    </row>
    <row r="468" s="1" customFormat="1" customHeight="1" spans="1:35">
      <c r="A468" s="17">
        <v>465</v>
      </c>
      <c r="B468" s="20">
        <v>46130</v>
      </c>
      <c r="C468" s="21" t="s">
        <v>117</v>
      </c>
      <c r="D468" s="22" t="str" cm="1">
        <f t="array" ref="D468">INDEX([1]Sheet2!A:A,MATCH(E468,[1]Sheet2!B:B,0))</f>
        <v>湖南亮点体育文化发展有限公司</v>
      </c>
      <c r="E468" s="23" t="s">
        <v>118</v>
      </c>
      <c r="F468" s="24">
        <f t="shared" si="8"/>
        <v>100</v>
      </c>
      <c r="G468" s="24" t="s">
        <v>77</v>
      </c>
      <c r="H468" s="65"/>
      <c r="I468" s="65"/>
      <c r="J468" s="24"/>
      <c r="K468" s="24"/>
      <c r="L468" s="24"/>
      <c r="M468" s="24"/>
      <c r="N468" s="24"/>
      <c r="O468" s="24"/>
      <c r="P468" s="24"/>
      <c r="Q468" s="24"/>
      <c r="R468" s="43"/>
      <c r="S468" s="24">
        <v>100</v>
      </c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36"/>
      <c r="AG468" s="36"/>
      <c r="AH468" s="36"/>
      <c r="AI468" s="36"/>
    </row>
    <row r="469" s="1" customFormat="1" customHeight="1" spans="1:35">
      <c r="A469" s="17">
        <v>466</v>
      </c>
      <c r="B469" s="20">
        <v>46130</v>
      </c>
      <c r="C469" s="21" t="s">
        <v>119</v>
      </c>
      <c r="D469" s="22" t="str" cm="1">
        <f t="array" ref="D469">INDEX([1]Sheet2!A:A,MATCH(E469,[1]Sheet2!B:B,0))</f>
        <v>湖南亮点体育文化发展有限公司</v>
      </c>
      <c r="E469" s="23" t="s">
        <v>120</v>
      </c>
      <c r="F469" s="24">
        <f t="shared" si="8"/>
        <v>300</v>
      </c>
      <c r="G469" s="24" t="s">
        <v>77</v>
      </c>
      <c r="H469" s="65"/>
      <c r="I469" s="65"/>
      <c r="J469" s="24"/>
      <c r="K469" s="24"/>
      <c r="L469" s="24"/>
      <c r="M469" s="24"/>
      <c r="N469" s="24"/>
      <c r="O469" s="24"/>
      <c r="P469" s="24"/>
      <c r="Q469" s="24"/>
      <c r="R469" s="43"/>
      <c r="S469" s="24">
        <v>300</v>
      </c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36"/>
      <c r="AG469" s="36"/>
      <c r="AH469" s="36"/>
      <c r="AI469" s="36"/>
    </row>
    <row r="470" s="1" customFormat="1" customHeight="1" spans="1:35">
      <c r="A470" s="17">
        <v>467</v>
      </c>
      <c r="B470" s="20">
        <v>46130</v>
      </c>
      <c r="C470" s="21" t="s">
        <v>121</v>
      </c>
      <c r="D470" s="22" t="str" cm="1">
        <f t="array" ref="D470">INDEX([1]Sheet2!A:A,MATCH(E470,[1]Sheet2!B:B,0))</f>
        <v>湖南亮点体育文化发展有限公司</v>
      </c>
      <c r="E470" s="23" t="s">
        <v>122</v>
      </c>
      <c r="F470" s="24">
        <f t="shared" si="8"/>
        <v>100</v>
      </c>
      <c r="G470" s="24" t="s">
        <v>77</v>
      </c>
      <c r="H470" s="66"/>
      <c r="I470" s="66"/>
      <c r="J470" s="24"/>
      <c r="K470" s="24"/>
      <c r="L470" s="24"/>
      <c r="M470" s="24"/>
      <c r="N470" s="24"/>
      <c r="O470" s="24"/>
      <c r="P470" s="24"/>
      <c r="Q470" s="24"/>
      <c r="R470" s="43"/>
      <c r="S470" s="24">
        <v>100</v>
      </c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36"/>
      <c r="AG470" s="36"/>
      <c r="AH470" s="36"/>
      <c r="AI470" s="36"/>
    </row>
    <row r="471" s="1" customFormat="1" customHeight="1" spans="1:35">
      <c r="A471" s="17">
        <v>468</v>
      </c>
      <c r="B471" s="20">
        <v>46130</v>
      </c>
      <c r="C471" s="21" t="s">
        <v>78</v>
      </c>
      <c r="D471" s="22" t="str" cm="1">
        <f t="array" ref="D471">INDEX([1]Sheet2!A:A,MATCH(E471,[1]Sheet2!B:B,0))</f>
        <v>湖南亮点体育文化发展有限公司</v>
      </c>
      <c r="E471" s="23" t="s">
        <v>123</v>
      </c>
      <c r="F471" s="24">
        <f t="shared" si="8"/>
        <v>100</v>
      </c>
      <c r="G471" s="24" t="s">
        <v>77</v>
      </c>
      <c r="H471" s="65"/>
      <c r="I471" s="65"/>
      <c r="J471" s="24"/>
      <c r="K471" s="24"/>
      <c r="L471" s="24"/>
      <c r="M471" s="24"/>
      <c r="N471" s="24"/>
      <c r="O471" s="24"/>
      <c r="P471" s="24"/>
      <c r="Q471" s="24"/>
      <c r="R471" s="43"/>
      <c r="S471" s="24">
        <v>100</v>
      </c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36"/>
      <c r="AG471" s="36"/>
      <c r="AH471" s="36"/>
      <c r="AI471" s="36"/>
    </row>
    <row r="472" s="1" customFormat="1" customHeight="1" spans="1:35">
      <c r="A472" s="17">
        <v>469</v>
      </c>
      <c r="B472" s="20">
        <v>46130</v>
      </c>
      <c r="C472" s="21" t="s">
        <v>154</v>
      </c>
      <c r="D472" s="22" t="str" cm="1">
        <f t="array" ref="D472">INDEX([1]Sheet2!A:A,MATCH(E472,[1]Sheet2!B:B,0))</f>
        <v>黄煌</v>
      </c>
      <c r="E472" s="23" t="s">
        <v>155</v>
      </c>
      <c r="F472" s="24">
        <f t="shared" si="8"/>
        <v>200</v>
      </c>
      <c r="G472" s="24" t="s">
        <v>77</v>
      </c>
      <c r="H472" s="65"/>
      <c r="I472" s="65"/>
      <c r="J472" s="24"/>
      <c r="K472" s="24"/>
      <c r="L472" s="24"/>
      <c r="M472" s="24"/>
      <c r="N472" s="24"/>
      <c r="O472" s="24"/>
      <c r="P472" s="24"/>
      <c r="Q472" s="24"/>
      <c r="R472" s="43"/>
      <c r="S472" s="24">
        <v>200</v>
      </c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36"/>
      <c r="AG472" s="36"/>
      <c r="AH472" s="36"/>
      <c r="AI472" s="36"/>
    </row>
    <row r="473" s="1" customFormat="1" customHeight="1" spans="1:35">
      <c r="A473" s="17">
        <v>470</v>
      </c>
      <c r="B473" s="20">
        <v>46130</v>
      </c>
      <c r="C473" s="21" t="s">
        <v>183</v>
      </c>
      <c r="D473" s="22" t="str" cm="1">
        <f t="array" ref="D473">INDEX([1]Sheet2!A:A,MATCH(E473,[1]Sheet2!B:B,0))</f>
        <v>金丽丽</v>
      </c>
      <c r="E473" s="23" t="s">
        <v>184</v>
      </c>
      <c r="F473" s="24">
        <f t="shared" si="8"/>
        <v>500</v>
      </c>
      <c r="G473" s="24" t="s">
        <v>77</v>
      </c>
      <c r="H473" s="65"/>
      <c r="I473" s="65"/>
      <c r="J473" s="24"/>
      <c r="K473" s="24"/>
      <c r="L473" s="24"/>
      <c r="M473" s="24"/>
      <c r="N473" s="24"/>
      <c r="O473" s="24"/>
      <c r="P473" s="24"/>
      <c r="Q473" s="24"/>
      <c r="R473" s="43"/>
      <c r="S473" s="24">
        <v>500</v>
      </c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36"/>
      <c r="AG473" s="36"/>
      <c r="AH473" s="36"/>
      <c r="AI473" s="36"/>
    </row>
    <row r="474" s="1" customFormat="1" customHeight="1" spans="1:35">
      <c r="A474" s="17">
        <v>471</v>
      </c>
      <c r="B474" s="20">
        <v>46130</v>
      </c>
      <c r="C474" s="21" t="s">
        <v>93</v>
      </c>
      <c r="D474" s="22" t="str" cm="1">
        <f t="array" ref="D474">INDEX([1]Sheet2!A:A,MATCH(E474,[1]Sheet2!B:B,0))</f>
        <v>陆谢</v>
      </c>
      <c r="E474" s="23" t="s">
        <v>94</v>
      </c>
      <c r="F474" s="24">
        <f t="shared" si="8"/>
        <v>3900</v>
      </c>
      <c r="G474" s="24" t="s">
        <v>77</v>
      </c>
      <c r="H474" s="65"/>
      <c r="I474" s="65"/>
      <c r="J474" s="24"/>
      <c r="K474" s="24"/>
      <c r="L474" s="24"/>
      <c r="M474" s="24"/>
      <c r="N474" s="24"/>
      <c r="O474" s="24"/>
      <c r="P474" s="24"/>
      <c r="Q474" s="24"/>
      <c r="R474" s="43"/>
      <c r="S474" s="24">
        <v>3900</v>
      </c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36"/>
      <c r="AG474" s="36"/>
      <c r="AH474" s="36"/>
      <c r="AI474" s="36"/>
    </row>
    <row r="475" s="1" customFormat="1" customHeight="1" spans="1:35">
      <c r="A475" s="17">
        <v>472</v>
      </c>
      <c r="B475" s="20">
        <v>46130</v>
      </c>
      <c r="C475" s="21" t="s">
        <v>65</v>
      </c>
      <c r="D475" s="22" t="str" cm="1">
        <f t="array" ref="D475">INDEX([1]Sheet2!A:A,MATCH(E475,[1]Sheet2!B:B,0))</f>
        <v>陆谢</v>
      </c>
      <c r="E475" s="23" t="s">
        <v>92</v>
      </c>
      <c r="F475" s="24">
        <f t="shared" si="8"/>
        <v>4100</v>
      </c>
      <c r="G475" s="24" t="s">
        <v>77</v>
      </c>
      <c r="H475" s="65"/>
      <c r="I475" s="65"/>
      <c r="J475" s="24"/>
      <c r="K475" s="24"/>
      <c r="L475" s="24"/>
      <c r="M475" s="24"/>
      <c r="N475" s="24"/>
      <c r="O475" s="24"/>
      <c r="P475" s="24"/>
      <c r="Q475" s="24"/>
      <c r="R475" s="43"/>
      <c r="S475" s="24">
        <v>4100</v>
      </c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36"/>
      <c r="AG475" s="36"/>
      <c r="AH475" s="36"/>
      <c r="AI475" s="36"/>
    </row>
    <row r="476" s="1" customFormat="1" customHeight="1" spans="1:35">
      <c r="A476" s="17">
        <v>473</v>
      </c>
      <c r="B476" s="20">
        <v>46130</v>
      </c>
      <c r="C476" s="21" t="s">
        <v>84</v>
      </c>
      <c r="D476" s="22" t="str" cm="1">
        <f t="array" ref="D476">INDEX([1]Sheet2!A:A,MATCH(E476,[1]Sheet2!B:B,0))</f>
        <v>莫靖凡</v>
      </c>
      <c r="E476" s="23" t="s">
        <v>85</v>
      </c>
      <c r="F476" s="24">
        <f t="shared" si="8"/>
        <v>50</v>
      </c>
      <c r="G476" s="24" t="s">
        <v>77</v>
      </c>
      <c r="H476" s="65"/>
      <c r="I476" s="65"/>
      <c r="J476" s="24"/>
      <c r="K476" s="24"/>
      <c r="L476" s="24"/>
      <c r="M476" s="24"/>
      <c r="N476" s="24"/>
      <c r="O476" s="24"/>
      <c r="P476" s="24"/>
      <c r="Q476" s="24"/>
      <c r="R476" s="43"/>
      <c r="S476" s="24">
        <v>50</v>
      </c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36"/>
      <c r="AG476" s="36"/>
      <c r="AH476" s="36"/>
      <c r="AI476" s="36"/>
    </row>
    <row r="477" s="1" customFormat="1" customHeight="1" spans="1:35">
      <c r="A477" s="17">
        <v>474</v>
      </c>
      <c r="B477" s="20">
        <v>46130</v>
      </c>
      <c r="C477" s="21" t="s">
        <v>308</v>
      </c>
      <c r="D477" s="22" t="str" cm="1">
        <f t="array" ref="D477">INDEX([1]Sheet2!A:A,MATCH(E477,[1]Sheet2!B:B,0))</f>
        <v>李君英（廖伦杰转款）</v>
      </c>
      <c r="E477" s="23" t="s">
        <v>309</v>
      </c>
      <c r="F477" s="24">
        <f t="shared" si="8"/>
        <v>801</v>
      </c>
      <c r="G477" s="24" t="s">
        <v>77</v>
      </c>
      <c r="H477" s="65"/>
      <c r="I477" s="65"/>
      <c r="J477" s="24"/>
      <c r="K477" s="24"/>
      <c r="L477" s="24"/>
      <c r="M477" s="24"/>
      <c r="N477" s="24"/>
      <c r="O477" s="24"/>
      <c r="P477" s="24"/>
      <c r="Q477" s="24"/>
      <c r="R477" s="43"/>
      <c r="S477" s="24">
        <v>801</v>
      </c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36"/>
      <c r="AG477" s="36"/>
      <c r="AH477" s="36"/>
      <c r="AI477" s="36"/>
    </row>
    <row r="478" s="1" customFormat="1" customHeight="1" spans="1:35">
      <c r="A478" s="17">
        <v>475</v>
      </c>
      <c r="B478" s="20">
        <v>46130</v>
      </c>
      <c r="C478" s="21" t="s">
        <v>90</v>
      </c>
      <c r="D478" s="22" t="str" cm="1">
        <f t="array" ref="D478">INDEX([1]Sheet2!A:A,MATCH(E478,[1]Sheet2!B:B,0))</f>
        <v>曾田春</v>
      </c>
      <c r="E478" s="23" t="s">
        <v>91</v>
      </c>
      <c r="F478" s="24">
        <f t="shared" si="8"/>
        <v>1000</v>
      </c>
      <c r="G478" s="24" t="s">
        <v>77</v>
      </c>
      <c r="H478" s="65"/>
      <c r="I478" s="65"/>
      <c r="J478" s="24"/>
      <c r="K478" s="24"/>
      <c r="L478" s="24"/>
      <c r="M478" s="24"/>
      <c r="N478" s="24"/>
      <c r="O478" s="24"/>
      <c r="P478" s="24"/>
      <c r="Q478" s="24"/>
      <c r="R478" s="43"/>
      <c r="S478" s="24">
        <v>1000</v>
      </c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36"/>
      <c r="AG478" s="36"/>
      <c r="AH478" s="36"/>
      <c r="AI478" s="36"/>
    </row>
    <row r="479" s="1" customFormat="1" customHeight="1" spans="1:35">
      <c r="A479" s="17">
        <v>476</v>
      </c>
      <c r="B479" s="20">
        <v>46130</v>
      </c>
      <c r="C479" s="21" t="s">
        <v>162</v>
      </c>
      <c r="D479" s="22" t="str" cm="1">
        <f t="array" ref="D479">INDEX([1]Sheet2!A:A,MATCH(E479,[1]Sheet2!B:B,0))</f>
        <v>丁海军</v>
      </c>
      <c r="E479" s="23" t="s">
        <v>163</v>
      </c>
      <c r="F479" s="24">
        <f t="shared" si="8"/>
        <v>200</v>
      </c>
      <c r="G479" s="24" t="s">
        <v>77</v>
      </c>
      <c r="H479" s="65"/>
      <c r="I479" s="65"/>
      <c r="J479" s="24"/>
      <c r="K479" s="24"/>
      <c r="L479" s="24"/>
      <c r="M479" s="24"/>
      <c r="N479" s="24"/>
      <c r="O479" s="24"/>
      <c r="P479" s="24"/>
      <c r="Q479" s="24"/>
      <c r="R479" s="43"/>
      <c r="S479" s="24">
        <v>200</v>
      </c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36"/>
      <c r="AG479" s="36"/>
      <c r="AH479" s="36"/>
      <c r="AI479" s="36"/>
    </row>
    <row r="480" s="1" customFormat="1" customHeight="1" spans="1:35">
      <c r="A480" s="17">
        <v>477</v>
      </c>
      <c r="B480" s="20">
        <v>46130</v>
      </c>
      <c r="C480" s="21" t="s">
        <v>24</v>
      </c>
      <c r="D480" s="22" t="str" cm="1">
        <f t="array" ref="D480">INDEX([1]Sheet2!A:A,MATCH(E480,[1]Sheet2!B:B,0))</f>
        <v>临时</v>
      </c>
      <c r="E480" s="23" t="s">
        <v>99</v>
      </c>
      <c r="F480" s="24">
        <f t="shared" si="8"/>
        <v>402</v>
      </c>
      <c r="G480" s="24" t="s">
        <v>100</v>
      </c>
      <c r="H480" s="65"/>
      <c r="I480" s="65"/>
      <c r="J480" s="24"/>
      <c r="K480" s="24"/>
      <c r="L480" s="24"/>
      <c r="M480" s="24"/>
      <c r="N480" s="24"/>
      <c r="O480" s="24"/>
      <c r="P480" s="24"/>
      <c r="Q480" s="24"/>
      <c r="R480" s="43"/>
      <c r="S480" s="24"/>
      <c r="T480" s="24"/>
      <c r="U480" s="24"/>
      <c r="V480" s="24"/>
      <c r="W480" s="24">
        <v>402</v>
      </c>
      <c r="X480" s="24"/>
      <c r="Y480" s="24"/>
      <c r="Z480" s="24"/>
      <c r="AA480" s="24"/>
      <c r="AB480" s="24"/>
      <c r="AC480" s="24"/>
      <c r="AD480" s="24"/>
      <c r="AE480" s="24"/>
      <c r="AF480" s="36"/>
      <c r="AG480" s="36"/>
      <c r="AH480" s="36"/>
      <c r="AI480" s="36"/>
    </row>
    <row r="481" s="1" customFormat="1" customHeight="1" spans="1:35">
      <c r="A481" s="17">
        <v>478</v>
      </c>
      <c r="B481" s="20">
        <v>46131</v>
      </c>
      <c r="C481" s="21" t="s">
        <v>530</v>
      </c>
      <c r="D481" s="22" t="s">
        <v>531</v>
      </c>
      <c r="E481" s="23" t="s">
        <v>532</v>
      </c>
      <c r="F481" s="24">
        <f t="shared" si="8"/>
        <v>146.71</v>
      </c>
      <c r="G481" s="24" t="s">
        <v>40</v>
      </c>
      <c r="H481" s="65">
        <v>46082</v>
      </c>
      <c r="I481" s="65">
        <v>46112</v>
      </c>
      <c r="J481" s="24"/>
      <c r="K481" s="24"/>
      <c r="L481" s="24"/>
      <c r="M481" s="24"/>
      <c r="N481" s="24"/>
      <c r="O481" s="24"/>
      <c r="P481" s="24"/>
      <c r="Q481" s="24"/>
      <c r="R481" s="43">
        <v>146.71</v>
      </c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36"/>
      <c r="AG481" s="36" t="s">
        <v>148</v>
      </c>
      <c r="AH481" s="70" t="s">
        <v>533</v>
      </c>
      <c r="AI481" s="36" t="s">
        <v>534</v>
      </c>
    </row>
    <row r="482" s="1" customFormat="1" customHeight="1" spans="1:35">
      <c r="A482" s="17">
        <v>479</v>
      </c>
      <c r="B482" s="20">
        <v>46131</v>
      </c>
      <c r="C482" s="21" t="s">
        <v>535</v>
      </c>
      <c r="D482" s="22" t="s">
        <v>531</v>
      </c>
      <c r="E482" s="23" t="s">
        <v>536</v>
      </c>
      <c r="F482" s="24">
        <f t="shared" si="8"/>
        <v>2473.29</v>
      </c>
      <c r="G482" s="24" t="s">
        <v>40</v>
      </c>
      <c r="H482" s="65"/>
      <c r="I482" s="65"/>
      <c r="J482" s="24"/>
      <c r="K482" s="24"/>
      <c r="L482" s="24"/>
      <c r="M482" s="24"/>
      <c r="N482" s="24"/>
      <c r="O482" s="24"/>
      <c r="P482" s="24"/>
      <c r="Q482" s="24">
        <v>2473.29</v>
      </c>
      <c r="R482" s="43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36"/>
      <c r="AG482" s="36" t="s">
        <v>148</v>
      </c>
      <c r="AH482" s="23" t="s">
        <v>537</v>
      </c>
      <c r="AI482" s="36" t="s">
        <v>534</v>
      </c>
    </row>
    <row r="483" s="1" customFormat="1" customHeight="1" spans="1:35">
      <c r="A483" s="17">
        <v>480</v>
      </c>
      <c r="B483" s="20">
        <v>46131</v>
      </c>
      <c r="C483" s="21" t="s">
        <v>24</v>
      </c>
      <c r="D483" s="22" t="str" cm="1">
        <f t="array" ref="D483">INDEX([1]Sheet2!A:A,MATCH(E483,[1]Sheet2!B:B,0))</f>
        <v>充值</v>
      </c>
      <c r="E483" s="23" t="s">
        <v>72</v>
      </c>
      <c r="F483" s="24">
        <f t="shared" si="8"/>
        <v>300</v>
      </c>
      <c r="G483" s="24" t="s">
        <v>49</v>
      </c>
      <c r="H483" s="65"/>
      <c r="I483" s="65"/>
      <c r="J483" s="24"/>
      <c r="K483" s="24"/>
      <c r="L483" s="24"/>
      <c r="M483" s="24"/>
      <c r="N483" s="24"/>
      <c r="O483" s="24"/>
      <c r="P483" s="24"/>
      <c r="Q483" s="24"/>
      <c r="R483" s="43"/>
      <c r="S483" s="24"/>
      <c r="T483" s="24"/>
      <c r="U483" s="24"/>
      <c r="V483" s="24"/>
      <c r="W483" s="24">
        <v>300</v>
      </c>
      <c r="X483" s="24"/>
      <c r="Y483" s="24"/>
      <c r="Z483" s="24"/>
      <c r="AA483" s="24"/>
      <c r="AB483" s="24"/>
      <c r="AC483" s="24"/>
      <c r="AD483" s="24"/>
      <c r="AE483" s="24"/>
      <c r="AF483" s="36"/>
      <c r="AG483" s="36"/>
      <c r="AH483" s="36"/>
      <c r="AI483" s="50"/>
    </row>
    <row r="484" s="1" customFormat="1" customHeight="1" spans="1:35">
      <c r="A484" s="17">
        <v>481</v>
      </c>
      <c r="B484" s="20">
        <v>46131</v>
      </c>
      <c r="C484" s="21" t="s">
        <v>168</v>
      </c>
      <c r="D484" s="22" t="e" cm="1">
        <f t="array" ref="D484">INDEX([1]Sheet2!A:A,MATCH(E484,[1]Sheet2!B:B,0))</f>
        <v>#N/A</v>
      </c>
      <c r="E484" s="23" t="s">
        <v>168</v>
      </c>
      <c r="F484" s="24">
        <f t="shared" si="8"/>
        <v>2</v>
      </c>
      <c r="G484" s="24" t="s">
        <v>49</v>
      </c>
      <c r="H484" s="65"/>
      <c r="I484" s="65"/>
      <c r="J484" s="24"/>
      <c r="K484" s="24"/>
      <c r="L484" s="24"/>
      <c r="M484" s="24"/>
      <c r="N484" s="24"/>
      <c r="O484" s="24"/>
      <c r="P484" s="24"/>
      <c r="Q484" s="24"/>
      <c r="R484" s="43"/>
      <c r="S484" s="24"/>
      <c r="T484" s="24"/>
      <c r="U484" s="24"/>
      <c r="V484" s="24">
        <v>2</v>
      </c>
      <c r="W484" s="24"/>
      <c r="X484" s="24"/>
      <c r="Y484" s="24"/>
      <c r="Z484" s="24"/>
      <c r="AA484" s="24"/>
      <c r="AB484" s="24"/>
      <c r="AC484" s="24"/>
      <c r="AD484" s="24"/>
      <c r="AE484" s="24"/>
      <c r="AF484" s="36"/>
      <c r="AG484" s="36"/>
      <c r="AH484" s="36"/>
      <c r="AI484" s="36"/>
    </row>
    <row r="485" s="1" customFormat="1" customHeight="1" spans="1:35">
      <c r="A485" s="17">
        <v>482</v>
      </c>
      <c r="B485" s="20">
        <v>46131</v>
      </c>
      <c r="C485" s="21" t="s">
        <v>73</v>
      </c>
      <c r="D485" s="22" t="str" cm="1">
        <f t="array" ref="D485">INDEX([1]Sheet2!A:A,MATCH(E485,[1]Sheet2!B:B,0))</f>
        <v>衡阳志扬体育文化有限公司</v>
      </c>
      <c r="E485" s="23" t="s">
        <v>74</v>
      </c>
      <c r="F485" s="24">
        <f t="shared" si="8"/>
        <v>4733</v>
      </c>
      <c r="G485" s="24" t="s">
        <v>49</v>
      </c>
      <c r="H485" s="65"/>
      <c r="I485" s="65"/>
      <c r="J485" s="24"/>
      <c r="K485" s="24"/>
      <c r="L485" s="24"/>
      <c r="M485" s="24"/>
      <c r="N485" s="24"/>
      <c r="O485" s="24"/>
      <c r="P485" s="24"/>
      <c r="Q485" s="24"/>
      <c r="R485" s="43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>
        <v>4733</v>
      </c>
      <c r="AF485" s="36"/>
      <c r="AG485" s="36"/>
      <c r="AH485" s="36"/>
      <c r="AI485" s="36"/>
    </row>
    <row r="486" s="1" customFormat="1" customHeight="1" spans="1:35">
      <c r="A486" s="17">
        <v>483</v>
      </c>
      <c r="B486" s="20">
        <v>46131</v>
      </c>
      <c r="C486" s="21" t="s">
        <v>124</v>
      </c>
      <c r="D486" s="22" t="str" cm="1">
        <f t="array" ref="D486">INDEX([1]Sheet2!A:A,MATCH(E486,[1]Sheet2!B:B,0))</f>
        <v>王冬林</v>
      </c>
      <c r="E486" s="23" t="s">
        <v>125</v>
      </c>
      <c r="F486" s="24">
        <f t="shared" si="8"/>
        <v>500</v>
      </c>
      <c r="G486" s="24" t="s">
        <v>77</v>
      </c>
      <c r="H486" s="65"/>
      <c r="I486" s="65"/>
      <c r="J486" s="24"/>
      <c r="K486" s="24"/>
      <c r="L486" s="24"/>
      <c r="M486" s="24"/>
      <c r="N486" s="24"/>
      <c r="O486" s="24"/>
      <c r="P486" s="24"/>
      <c r="Q486" s="24"/>
      <c r="R486" s="43"/>
      <c r="S486" s="24">
        <v>500</v>
      </c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36"/>
      <c r="AG486" s="36"/>
      <c r="AH486" s="36"/>
      <c r="AI486" s="36"/>
    </row>
    <row r="487" s="1" customFormat="1" customHeight="1" spans="1:35">
      <c r="A487" s="17">
        <v>484</v>
      </c>
      <c r="B487" s="20">
        <v>46131</v>
      </c>
      <c r="C487" s="21" t="s">
        <v>312</v>
      </c>
      <c r="D487" s="22" t="str" cm="1">
        <f t="array" ref="D487">INDEX([1]Sheet2!A:A,MATCH(E487,[1]Sheet2!B:B,0))</f>
        <v>罗谋</v>
      </c>
      <c r="E487" s="23" t="s">
        <v>313</v>
      </c>
      <c r="F487" s="24">
        <f t="shared" si="8"/>
        <v>200</v>
      </c>
      <c r="G487" s="24" t="s">
        <v>77</v>
      </c>
      <c r="H487" s="65"/>
      <c r="I487" s="65"/>
      <c r="J487" s="24"/>
      <c r="K487" s="24"/>
      <c r="L487" s="24"/>
      <c r="M487" s="24"/>
      <c r="N487" s="24"/>
      <c r="O487" s="24"/>
      <c r="P487" s="24"/>
      <c r="Q487" s="24"/>
      <c r="R487" s="43"/>
      <c r="S487" s="24">
        <v>200</v>
      </c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36"/>
      <c r="AG487" s="36"/>
      <c r="AH487" s="36"/>
      <c r="AI487" s="36"/>
    </row>
    <row r="488" s="1" customFormat="1" customHeight="1" spans="1:35">
      <c r="A488" s="17">
        <v>485</v>
      </c>
      <c r="B488" s="20">
        <v>46131</v>
      </c>
      <c r="C488" s="21" t="s">
        <v>97</v>
      </c>
      <c r="D488" s="22" t="str" cm="1">
        <f t="array" ref="D488">INDEX([1]Sheet2!A:A,MATCH(E488,[1]Sheet2!B:B,0))</f>
        <v>黎合</v>
      </c>
      <c r="E488" s="23" t="s">
        <v>98</v>
      </c>
      <c r="F488" s="24">
        <f t="shared" si="8"/>
        <v>10</v>
      </c>
      <c r="G488" s="24" t="s">
        <v>77</v>
      </c>
      <c r="H488" s="65"/>
      <c r="I488" s="65"/>
      <c r="J488" s="24"/>
      <c r="K488" s="24"/>
      <c r="L488" s="24"/>
      <c r="M488" s="24"/>
      <c r="N488" s="24"/>
      <c r="O488" s="24"/>
      <c r="P488" s="24"/>
      <c r="Q488" s="24"/>
      <c r="R488" s="43"/>
      <c r="S488" s="24">
        <v>10</v>
      </c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36"/>
      <c r="AG488" s="36"/>
      <c r="AH488" s="36"/>
      <c r="AI488" s="36"/>
    </row>
    <row r="489" s="1" customFormat="1" customHeight="1" spans="1:35">
      <c r="A489" s="17">
        <v>486</v>
      </c>
      <c r="B489" s="20">
        <v>46131</v>
      </c>
      <c r="C489" s="21" t="s">
        <v>80</v>
      </c>
      <c r="D489" s="22" t="str" cm="1">
        <f t="array" ref="D489">INDEX([1]Sheet2!A:A,MATCH(E489,[1]Sheet2!B:B,0))</f>
        <v>汪天皓</v>
      </c>
      <c r="E489" s="23" t="s">
        <v>81</v>
      </c>
      <c r="F489" s="24">
        <f t="shared" si="8"/>
        <v>500</v>
      </c>
      <c r="G489" s="24" t="s">
        <v>77</v>
      </c>
      <c r="H489" s="65"/>
      <c r="I489" s="65"/>
      <c r="J489" s="24"/>
      <c r="K489" s="24"/>
      <c r="L489" s="24"/>
      <c r="M489" s="24"/>
      <c r="N489" s="24"/>
      <c r="O489" s="24"/>
      <c r="P489" s="24"/>
      <c r="Q489" s="24"/>
      <c r="R489" s="43"/>
      <c r="S489" s="24">
        <v>500</v>
      </c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36"/>
      <c r="AG489" s="36"/>
      <c r="AH489" s="36"/>
      <c r="AI489" s="36"/>
    </row>
    <row r="490" s="1" customFormat="1" customHeight="1" spans="1:35">
      <c r="A490" s="17">
        <v>487</v>
      </c>
      <c r="B490" s="20">
        <v>46131</v>
      </c>
      <c r="C490" s="21" t="s">
        <v>84</v>
      </c>
      <c r="D490" s="22" t="str" cm="1">
        <f t="array" ref="D490">INDEX([1]Sheet2!A:A,MATCH(E490,[1]Sheet2!B:B,0))</f>
        <v>莫靖凡</v>
      </c>
      <c r="E490" s="23" t="s">
        <v>85</v>
      </c>
      <c r="F490" s="24">
        <f t="shared" si="8"/>
        <v>50</v>
      </c>
      <c r="G490" s="24" t="s">
        <v>77</v>
      </c>
      <c r="H490" s="65"/>
      <c r="I490" s="65"/>
      <c r="J490" s="24"/>
      <c r="K490" s="24"/>
      <c r="L490" s="24"/>
      <c r="M490" s="24"/>
      <c r="N490" s="24"/>
      <c r="O490" s="24"/>
      <c r="P490" s="24"/>
      <c r="Q490" s="24"/>
      <c r="R490" s="43"/>
      <c r="S490" s="24">
        <v>50</v>
      </c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36"/>
      <c r="AG490" s="36"/>
      <c r="AH490" s="36"/>
      <c r="AI490" s="36"/>
    </row>
    <row r="491" s="1" customFormat="1" customHeight="1" spans="1:35">
      <c r="A491" s="17">
        <v>488</v>
      </c>
      <c r="B491" s="20">
        <v>46131</v>
      </c>
      <c r="C491" s="21" t="s">
        <v>135</v>
      </c>
      <c r="D491" s="22" t="str" cm="1">
        <f t="array" ref="D491">INDEX([1]Sheet2!A:A,MATCH(E491,[1]Sheet2!B:B,0))</f>
        <v>周军伟</v>
      </c>
      <c r="E491" s="23" t="s">
        <v>136</v>
      </c>
      <c r="F491" s="24">
        <f t="shared" si="8"/>
        <v>50</v>
      </c>
      <c r="G491" s="24" t="s">
        <v>77</v>
      </c>
      <c r="H491" s="65"/>
      <c r="I491" s="65"/>
      <c r="J491" s="24"/>
      <c r="K491" s="24"/>
      <c r="L491" s="24"/>
      <c r="M491" s="24"/>
      <c r="N491" s="24"/>
      <c r="O491" s="24"/>
      <c r="P491" s="24"/>
      <c r="Q491" s="24"/>
      <c r="R491" s="43"/>
      <c r="S491" s="24">
        <v>50</v>
      </c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36"/>
      <c r="AG491" s="36"/>
      <c r="AH491" s="36"/>
      <c r="AI491" s="36"/>
    </row>
    <row r="492" s="1" customFormat="1" customHeight="1" spans="1:35">
      <c r="A492" s="17">
        <v>489</v>
      </c>
      <c r="B492" s="20">
        <v>46131</v>
      </c>
      <c r="C492" s="21" t="s">
        <v>538</v>
      </c>
      <c r="D492" s="22" t="str" cm="1">
        <f t="array" ref="D492">INDEX([1]Sheet2!A:A,MATCH(E492,[1]Sheet2!B:B,0))</f>
        <v>叶丽娟</v>
      </c>
      <c r="E492" s="23" t="s">
        <v>539</v>
      </c>
      <c r="F492" s="24">
        <f t="shared" si="8"/>
        <v>2000</v>
      </c>
      <c r="G492" s="24" t="s">
        <v>77</v>
      </c>
      <c r="H492" s="65"/>
      <c r="I492" s="65"/>
      <c r="J492" s="24"/>
      <c r="K492" s="24"/>
      <c r="L492" s="24"/>
      <c r="M492" s="24"/>
      <c r="N492" s="24"/>
      <c r="O492" s="24"/>
      <c r="P492" s="24"/>
      <c r="Q492" s="24"/>
      <c r="R492" s="43"/>
      <c r="S492" s="24">
        <v>2000</v>
      </c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36"/>
      <c r="AG492" s="36"/>
      <c r="AH492" s="36"/>
      <c r="AI492" s="36"/>
    </row>
    <row r="493" s="1" customFormat="1" customHeight="1" spans="1:35">
      <c r="A493" s="17">
        <v>490</v>
      </c>
      <c r="B493" s="20">
        <v>46131</v>
      </c>
      <c r="C493" s="21" t="s">
        <v>75</v>
      </c>
      <c r="D493" s="22" t="str" cm="1">
        <f t="array" ref="D493">INDEX([1]Sheet2!A:A,MATCH(E493,[1]Sheet2!B:B,0))</f>
        <v>刘连</v>
      </c>
      <c r="E493" s="23" t="s">
        <v>76</v>
      </c>
      <c r="F493" s="24">
        <f t="shared" si="8"/>
        <v>100</v>
      </c>
      <c r="G493" s="24" t="s">
        <v>77</v>
      </c>
      <c r="H493" s="66"/>
      <c r="I493" s="66"/>
      <c r="J493" s="24"/>
      <c r="K493" s="24"/>
      <c r="L493" s="24"/>
      <c r="M493" s="24"/>
      <c r="N493" s="24"/>
      <c r="O493" s="24"/>
      <c r="P493" s="24"/>
      <c r="Q493" s="24"/>
      <c r="R493" s="43"/>
      <c r="S493" s="24">
        <v>100</v>
      </c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36"/>
      <c r="AG493" s="36"/>
      <c r="AH493" s="36"/>
      <c r="AI493" s="36"/>
    </row>
    <row r="494" s="1" customFormat="1" customHeight="1" spans="1:35">
      <c r="A494" s="17">
        <v>491</v>
      </c>
      <c r="B494" s="20">
        <v>46131</v>
      </c>
      <c r="C494" s="21" t="s">
        <v>143</v>
      </c>
      <c r="D494" s="22" t="str" cm="1">
        <f t="array" ref="D494">INDEX([1]Sheet2!A:A,MATCH(E494,[1]Sheet2!B:B,0))</f>
        <v>刘连</v>
      </c>
      <c r="E494" s="23" t="s">
        <v>144</v>
      </c>
      <c r="F494" s="24">
        <f t="shared" si="8"/>
        <v>100</v>
      </c>
      <c r="G494" s="24" t="s">
        <v>77</v>
      </c>
      <c r="H494" s="65"/>
      <c r="I494" s="65"/>
      <c r="J494" s="24"/>
      <c r="K494" s="24"/>
      <c r="L494" s="24"/>
      <c r="M494" s="24"/>
      <c r="N494" s="24"/>
      <c r="O494" s="24"/>
      <c r="P494" s="24"/>
      <c r="Q494" s="24"/>
      <c r="R494" s="43"/>
      <c r="S494" s="24">
        <v>100</v>
      </c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36"/>
      <c r="AG494" s="36"/>
      <c r="AH494" s="36"/>
      <c r="AI494" s="36"/>
    </row>
    <row r="495" s="1" customFormat="1" customHeight="1" spans="1:35">
      <c r="A495" s="17">
        <v>492</v>
      </c>
      <c r="B495" s="20">
        <v>46131</v>
      </c>
      <c r="C495" s="21" t="s">
        <v>111</v>
      </c>
      <c r="D495" s="22" t="str" cm="1">
        <f t="array" ref="D495">INDEX([1]Sheet2!A:A,MATCH(E495,[1]Sheet2!B:B,0))</f>
        <v>邹德峰</v>
      </c>
      <c r="E495" s="23" t="s">
        <v>112</v>
      </c>
      <c r="F495" s="24">
        <f t="shared" si="8"/>
        <v>2000</v>
      </c>
      <c r="G495" s="24" t="s">
        <v>77</v>
      </c>
      <c r="H495" s="66"/>
      <c r="I495" s="66"/>
      <c r="J495" s="24"/>
      <c r="K495" s="24"/>
      <c r="L495" s="24"/>
      <c r="M495" s="24"/>
      <c r="N495" s="24"/>
      <c r="O495" s="24"/>
      <c r="P495" s="24"/>
      <c r="Q495" s="24"/>
      <c r="R495" s="43"/>
      <c r="S495" s="24">
        <v>2000</v>
      </c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36"/>
      <c r="AG495" s="36"/>
      <c r="AH495" s="36"/>
      <c r="AI495" s="36"/>
    </row>
    <row r="496" s="1" customFormat="1" customHeight="1" spans="1:35">
      <c r="A496" s="17">
        <v>493</v>
      </c>
      <c r="B496" s="20">
        <v>46131</v>
      </c>
      <c r="C496" s="21" t="s">
        <v>82</v>
      </c>
      <c r="D496" s="22" t="str" cm="1">
        <f t="array" ref="D496">INDEX([1]Sheet2!A:A,MATCH(E496,[1]Sheet2!B:B,0))</f>
        <v>汪天皓</v>
      </c>
      <c r="E496" s="23" t="s">
        <v>83</v>
      </c>
      <c r="F496" s="24">
        <f t="shared" si="8"/>
        <v>1000</v>
      </c>
      <c r="G496" s="24" t="s">
        <v>77</v>
      </c>
      <c r="H496" s="65"/>
      <c r="I496" s="65"/>
      <c r="J496" s="24"/>
      <c r="K496" s="24"/>
      <c r="L496" s="24"/>
      <c r="M496" s="24"/>
      <c r="N496" s="24"/>
      <c r="O496" s="24"/>
      <c r="P496" s="24"/>
      <c r="Q496" s="24"/>
      <c r="R496" s="43"/>
      <c r="S496" s="24">
        <v>1000</v>
      </c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36"/>
      <c r="AG496" s="36"/>
      <c r="AH496" s="36"/>
      <c r="AI496" s="36"/>
    </row>
    <row r="497" s="1" customFormat="1" customHeight="1" spans="1:35">
      <c r="A497" s="17">
        <v>494</v>
      </c>
      <c r="B497" s="20">
        <v>46131</v>
      </c>
      <c r="C497" s="21" t="s">
        <v>540</v>
      </c>
      <c r="D497" s="22" t="str" cm="1">
        <f t="array" ref="D497">INDEX([1]Sheet2!A:A,MATCH(E497,[1]Sheet2!B:B,0))</f>
        <v>王钇淇</v>
      </c>
      <c r="E497" s="23" t="s">
        <v>541</v>
      </c>
      <c r="F497" s="24">
        <f t="shared" si="8"/>
        <v>2500</v>
      </c>
      <c r="G497" s="24" t="s">
        <v>77</v>
      </c>
      <c r="H497" s="66"/>
      <c r="I497" s="66"/>
      <c r="J497" s="24"/>
      <c r="K497" s="24"/>
      <c r="L497" s="24"/>
      <c r="M497" s="24"/>
      <c r="N497" s="24"/>
      <c r="O497" s="24"/>
      <c r="P497" s="24"/>
      <c r="Q497" s="24"/>
      <c r="R497" s="43"/>
      <c r="S497" s="24">
        <v>2500</v>
      </c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36"/>
      <c r="AG497" s="36" t="s">
        <v>148</v>
      </c>
      <c r="AH497" s="23" t="s">
        <v>542</v>
      </c>
      <c r="AI497" s="36"/>
    </row>
    <row r="498" s="1" customFormat="1" customHeight="1" spans="1:35">
      <c r="A498" s="17">
        <v>495</v>
      </c>
      <c r="B498" s="20">
        <v>46131</v>
      </c>
      <c r="C498" s="21" t="s">
        <v>86</v>
      </c>
      <c r="D498" s="22" t="str" cm="1">
        <f t="array" ref="D498">INDEX([1]Sheet2!A:A,MATCH(E498,[1]Sheet2!B:B,0))</f>
        <v>吴革民</v>
      </c>
      <c r="E498" s="23" t="s">
        <v>87</v>
      </c>
      <c r="F498" s="24">
        <f t="shared" si="8"/>
        <v>100</v>
      </c>
      <c r="G498" s="24" t="s">
        <v>77</v>
      </c>
      <c r="H498" s="65"/>
      <c r="I498" s="65"/>
      <c r="J498" s="24"/>
      <c r="K498" s="24"/>
      <c r="L498" s="24"/>
      <c r="M498" s="24"/>
      <c r="N498" s="24"/>
      <c r="O498" s="24"/>
      <c r="P498" s="24"/>
      <c r="Q498" s="24"/>
      <c r="R498" s="43"/>
      <c r="S498" s="24">
        <v>100</v>
      </c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36"/>
      <c r="AG498" s="36"/>
      <c r="AH498" s="36"/>
      <c r="AI498" s="36"/>
    </row>
    <row r="499" s="1" customFormat="1" customHeight="1" spans="1:35">
      <c r="A499" s="17">
        <v>496</v>
      </c>
      <c r="B499" s="20">
        <v>46131</v>
      </c>
      <c r="C499" s="21" t="s">
        <v>24</v>
      </c>
      <c r="D499" s="22" t="str" cm="1">
        <f t="array" ref="D499">INDEX([1]Sheet2!A:A,MATCH(E499,[1]Sheet2!B:B,0))</f>
        <v>临时</v>
      </c>
      <c r="E499" s="23" t="s">
        <v>99</v>
      </c>
      <c r="F499" s="24">
        <f t="shared" si="8"/>
        <v>408</v>
      </c>
      <c r="G499" s="24" t="s">
        <v>100</v>
      </c>
      <c r="H499" s="65"/>
      <c r="I499" s="65"/>
      <c r="J499" s="24"/>
      <c r="K499" s="24"/>
      <c r="L499" s="24"/>
      <c r="M499" s="24"/>
      <c r="N499" s="24"/>
      <c r="O499" s="24"/>
      <c r="P499" s="24"/>
      <c r="Q499" s="24"/>
      <c r="R499" s="43"/>
      <c r="S499" s="24"/>
      <c r="T499" s="24"/>
      <c r="U499" s="24"/>
      <c r="V499" s="24"/>
      <c r="W499" s="24">
        <v>408</v>
      </c>
      <c r="X499" s="24"/>
      <c r="Y499" s="24"/>
      <c r="Z499" s="24"/>
      <c r="AA499" s="24"/>
      <c r="AB499" s="24"/>
      <c r="AC499" s="24"/>
      <c r="AD499" s="24"/>
      <c r="AE499" s="24"/>
      <c r="AF499" s="36"/>
      <c r="AG499" s="36"/>
      <c r="AH499" s="36"/>
      <c r="AI499" s="36"/>
    </row>
    <row r="500" s="1" customFormat="1" customHeight="1" spans="1:35">
      <c r="A500" s="17">
        <v>497</v>
      </c>
      <c r="B500" s="20">
        <v>46131</v>
      </c>
      <c r="C500" s="26" t="s">
        <v>264</v>
      </c>
      <c r="D500" s="36" t="s">
        <v>543</v>
      </c>
      <c r="E500" s="23" t="s">
        <v>265</v>
      </c>
      <c r="F500" s="24">
        <f t="shared" si="8"/>
        <v>3300</v>
      </c>
      <c r="G500" s="24" t="s">
        <v>49</v>
      </c>
      <c r="H500" s="65">
        <v>46133</v>
      </c>
      <c r="I500" s="65">
        <v>46162</v>
      </c>
      <c r="J500" s="24">
        <v>3300</v>
      </c>
      <c r="K500" s="24"/>
      <c r="L500" s="24"/>
      <c r="M500" s="24"/>
      <c r="N500" s="24"/>
      <c r="O500" s="24"/>
      <c r="P500" s="24"/>
      <c r="Q500" s="24"/>
      <c r="R500" s="43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36"/>
      <c r="AG500" s="36"/>
      <c r="AH500" s="36"/>
      <c r="AI500" s="36"/>
    </row>
    <row r="501" s="1" customFormat="1" customHeight="1" spans="1:35">
      <c r="A501" s="17">
        <v>498</v>
      </c>
      <c r="B501" s="20">
        <v>46131</v>
      </c>
      <c r="C501" s="26" t="s">
        <v>262</v>
      </c>
      <c r="D501" s="36" t="s">
        <v>543</v>
      </c>
      <c r="E501" s="23" t="s">
        <v>263</v>
      </c>
      <c r="F501" s="24">
        <f t="shared" si="8"/>
        <v>3300</v>
      </c>
      <c r="G501" s="24" t="s">
        <v>49</v>
      </c>
      <c r="H501" s="65">
        <v>46133</v>
      </c>
      <c r="I501" s="65">
        <v>46162</v>
      </c>
      <c r="J501" s="24">
        <v>3300</v>
      </c>
      <c r="K501" s="24"/>
      <c r="L501" s="24"/>
      <c r="M501" s="24"/>
      <c r="N501" s="24"/>
      <c r="O501" s="24"/>
      <c r="P501" s="24"/>
      <c r="Q501" s="24"/>
      <c r="R501" s="43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36"/>
      <c r="AG501" s="36"/>
      <c r="AH501" s="36"/>
      <c r="AI501" s="36"/>
    </row>
    <row r="502" s="1" customFormat="1" customHeight="1" spans="1:35">
      <c r="A502" s="17">
        <v>499</v>
      </c>
      <c r="B502" s="20">
        <v>46132</v>
      </c>
      <c r="C502" s="21" t="s">
        <v>416</v>
      </c>
      <c r="D502" s="22" t="str" cm="1">
        <f t="array" ref="D502">INDEX([1]Sheet2!A:A,MATCH(E502,[1]Sheet2!B:B,0))</f>
        <v>周健虎</v>
      </c>
      <c r="E502" s="23" t="s">
        <v>417</v>
      </c>
      <c r="F502" s="24">
        <f t="shared" si="8"/>
        <v>5000</v>
      </c>
      <c r="G502" s="24" t="s">
        <v>40</v>
      </c>
      <c r="H502" s="65"/>
      <c r="I502" s="65"/>
      <c r="J502" s="24"/>
      <c r="K502" s="24"/>
      <c r="L502" s="24"/>
      <c r="M502" s="24"/>
      <c r="N502" s="24"/>
      <c r="O502" s="24"/>
      <c r="P502" s="24"/>
      <c r="Q502" s="24"/>
      <c r="R502" s="43"/>
      <c r="S502" s="24">
        <v>5000</v>
      </c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36"/>
      <c r="AG502" s="36"/>
      <c r="AH502" s="36"/>
      <c r="AI502" s="36"/>
    </row>
    <row r="503" s="1" customFormat="1" customHeight="1" spans="1:35">
      <c r="A503" s="17">
        <v>500</v>
      </c>
      <c r="B503" s="20">
        <v>46132</v>
      </c>
      <c r="C503" s="21" t="s">
        <v>544</v>
      </c>
      <c r="D503" s="22" t="s">
        <v>545</v>
      </c>
      <c r="E503" s="23" t="s">
        <v>546</v>
      </c>
      <c r="F503" s="24">
        <f t="shared" si="8"/>
        <v>18000</v>
      </c>
      <c r="G503" s="24" t="s">
        <v>40</v>
      </c>
      <c r="H503" s="65">
        <v>46113</v>
      </c>
      <c r="I503" s="65">
        <v>46203</v>
      </c>
      <c r="J503" s="24"/>
      <c r="K503" s="24"/>
      <c r="L503" s="24"/>
      <c r="M503" s="24"/>
      <c r="N503" s="24"/>
      <c r="O503" s="24">
        <f>6273*3</f>
        <v>18819</v>
      </c>
      <c r="P503" s="24"/>
      <c r="Q503" s="24"/>
      <c r="R503" s="43"/>
      <c r="S503" s="24"/>
      <c r="T503" s="24"/>
      <c r="U503" s="24"/>
      <c r="V503" s="24"/>
      <c r="W503" s="24"/>
      <c r="X503" s="24"/>
      <c r="Y503" s="24"/>
      <c r="Z503" s="24"/>
      <c r="AA503" s="24">
        <v>-819</v>
      </c>
      <c r="AB503" s="24"/>
      <c r="AC503" s="24"/>
      <c r="AD503" s="24"/>
      <c r="AE503" s="24"/>
      <c r="AF503" s="36"/>
      <c r="AG503" s="36"/>
      <c r="AH503" s="36"/>
      <c r="AI503" s="36"/>
    </row>
    <row r="504" s="1" customFormat="1" customHeight="1" spans="1:35">
      <c r="A504" s="17">
        <v>501</v>
      </c>
      <c r="B504" s="20">
        <v>46132</v>
      </c>
      <c r="C504" s="21" t="s">
        <v>150</v>
      </c>
      <c r="D504" s="22" t="str" cm="1">
        <f t="array" ref="D504">INDEX([1]Sheet2!A:A,MATCH(E504,[1]Sheet2!B:B,0))</f>
        <v>衡阳讯飞通讯器材有限责任公司</v>
      </c>
      <c r="E504" s="23" t="s">
        <v>151</v>
      </c>
      <c r="F504" s="24">
        <f t="shared" si="8"/>
        <v>70470</v>
      </c>
      <c r="G504" s="24" t="s">
        <v>40</v>
      </c>
      <c r="H504" s="65">
        <v>46143</v>
      </c>
      <c r="I504" s="65">
        <v>46234</v>
      </c>
      <c r="J504" s="24">
        <v>56115</v>
      </c>
      <c r="K504" s="24">
        <v>14355</v>
      </c>
      <c r="L504" s="24"/>
      <c r="M504" s="24"/>
      <c r="N504" s="24"/>
      <c r="O504" s="24"/>
      <c r="P504" s="24"/>
      <c r="Q504" s="24"/>
      <c r="R504" s="43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36"/>
      <c r="AG504" s="36"/>
      <c r="AH504" s="36"/>
      <c r="AI504" s="36"/>
    </row>
    <row r="505" s="1" customFormat="1" customHeight="1" spans="1:35">
      <c r="A505" s="17">
        <v>502</v>
      </c>
      <c r="B505" s="20">
        <v>46132</v>
      </c>
      <c r="C505" s="21" t="s">
        <v>547</v>
      </c>
      <c r="D505" s="22" t="s">
        <v>548</v>
      </c>
      <c r="E505" s="23" t="s">
        <v>549</v>
      </c>
      <c r="F505" s="24">
        <f t="shared" si="8"/>
        <v>4159.64</v>
      </c>
      <c r="G505" s="24" t="s">
        <v>40</v>
      </c>
      <c r="H505" s="65">
        <v>46082</v>
      </c>
      <c r="I505" s="65">
        <v>46112</v>
      </c>
      <c r="J505" s="24">
        <v>3697.46</v>
      </c>
      <c r="K505" s="24">
        <v>462.18</v>
      </c>
      <c r="L505" s="24"/>
      <c r="M505" s="24"/>
      <c r="N505" s="24"/>
      <c r="O505" s="24"/>
      <c r="P505" s="24"/>
      <c r="Q505" s="24"/>
      <c r="R505" s="43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36"/>
      <c r="AG505" s="36"/>
      <c r="AH505" s="36"/>
      <c r="AI505" s="36"/>
    </row>
    <row r="506" s="1" customFormat="1" customHeight="1" spans="1:35">
      <c r="A506" s="17">
        <v>503</v>
      </c>
      <c r="B506" s="20">
        <v>46132</v>
      </c>
      <c r="C506" s="21" t="s">
        <v>336</v>
      </c>
      <c r="D506" s="22" t="str" cm="1">
        <f t="array" ref="D506">INDEX([1]Sheet2!A:A,MATCH(E506,[1]Sheet2!B:B,0))</f>
        <v>刘桃</v>
      </c>
      <c r="E506" s="23" t="s">
        <v>337</v>
      </c>
      <c r="F506" s="24">
        <f t="shared" si="8"/>
        <v>400</v>
      </c>
      <c r="G506" s="24" t="s">
        <v>49</v>
      </c>
      <c r="H506" s="65"/>
      <c r="I506" s="65"/>
      <c r="J506" s="24"/>
      <c r="K506" s="24"/>
      <c r="L506" s="24"/>
      <c r="M506" s="24"/>
      <c r="N506" s="24"/>
      <c r="O506" s="24"/>
      <c r="P506" s="24"/>
      <c r="Q506" s="24"/>
      <c r="R506" s="43"/>
      <c r="S506" s="24">
        <v>400</v>
      </c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3"/>
      <c r="AG506" s="36"/>
      <c r="AH506" s="36"/>
      <c r="AI506" s="36"/>
    </row>
    <row r="507" s="1" customFormat="1" customHeight="1" spans="1:35">
      <c r="A507" s="17">
        <v>504</v>
      </c>
      <c r="B507" s="20">
        <v>46132</v>
      </c>
      <c r="C507" s="21" t="s">
        <v>222</v>
      </c>
      <c r="D507" s="22" t="s">
        <v>550</v>
      </c>
      <c r="E507" s="23" t="s">
        <v>223</v>
      </c>
      <c r="F507" s="24">
        <f t="shared" si="8"/>
        <v>4160</v>
      </c>
      <c r="G507" s="24" t="s">
        <v>49</v>
      </c>
      <c r="H507" s="65"/>
      <c r="I507" s="65"/>
      <c r="J507" s="24"/>
      <c r="K507" s="24"/>
      <c r="L507" s="24"/>
      <c r="M507" s="24"/>
      <c r="N507" s="24"/>
      <c r="O507" s="24"/>
      <c r="P507" s="24"/>
      <c r="Q507" s="24"/>
      <c r="R507" s="43"/>
      <c r="S507" s="24"/>
      <c r="T507" s="24"/>
      <c r="U507" s="24"/>
      <c r="V507" s="24"/>
      <c r="W507" s="24"/>
      <c r="X507" s="24"/>
      <c r="Y507" s="24"/>
      <c r="Z507" s="24"/>
      <c r="AA507" s="24">
        <v>4160</v>
      </c>
      <c r="AB507" s="24"/>
      <c r="AC507" s="24"/>
      <c r="AD507" s="24"/>
      <c r="AE507" s="24"/>
      <c r="AF507" s="36"/>
      <c r="AG507" s="36"/>
      <c r="AH507" s="36"/>
      <c r="AI507" s="36"/>
    </row>
    <row r="508" s="1" customFormat="1" customHeight="1" spans="1:35">
      <c r="A508" s="17">
        <v>505</v>
      </c>
      <c r="B508" s="20">
        <v>46132</v>
      </c>
      <c r="C508" s="21" t="s">
        <v>460</v>
      </c>
      <c r="D508" s="22" t="s">
        <v>551</v>
      </c>
      <c r="E508" s="23" t="s">
        <v>552</v>
      </c>
      <c r="F508" s="24">
        <f t="shared" si="8"/>
        <v>26173.8</v>
      </c>
      <c r="G508" s="24" t="s">
        <v>49</v>
      </c>
      <c r="H508" s="65">
        <v>46054</v>
      </c>
      <c r="I508" s="65">
        <v>46142</v>
      </c>
      <c r="J508" s="24">
        <v>18748.8</v>
      </c>
      <c r="K508" s="24">
        <v>7425</v>
      </c>
      <c r="L508" s="24"/>
      <c r="M508" s="24"/>
      <c r="N508" s="24"/>
      <c r="O508" s="24"/>
      <c r="P508" s="24"/>
      <c r="Q508" s="24"/>
      <c r="R508" s="43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36"/>
      <c r="AG508" s="36"/>
      <c r="AH508" s="36"/>
      <c r="AI508" s="36"/>
    </row>
    <row r="509" s="1" customFormat="1" customHeight="1" spans="1:35">
      <c r="A509" s="17">
        <v>506</v>
      </c>
      <c r="B509" s="20">
        <v>46132</v>
      </c>
      <c r="C509" s="21" t="s">
        <v>216</v>
      </c>
      <c r="D509" s="22" t="s">
        <v>553</v>
      </c>
      <c r="E509" s="23" t="s">
        <v>217</v>
      </c>
      <c r="F509" s="24">
        <f t="shared" si="8"/>
        <v>41528</v>
      </c>
      <c r="G509" s="24" t="s">
        <v>49</v>
      </c>
      <c r="H509" s="65">
        <v>46113</v>
      </c>
      <c r="I509" s="65">
        <v>46203</v>
      </c>
      <c r="J509" s="24">
        <v>33443</v>
      </c>
      <c r="K509" s="24">
        <v>8085</v>
      </c>
      <c r="L509" s="24"/>
      <c r="M509" s="24"/>
      <c r="N509" s="24"/>
      <c r="O509" s="24"/>
      <c r="P509" s="24"/>
      <c r="Q509" s="24"/>
      <c r="R509" s="43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36"/>
      <c r="AG509" s="36"/>
      <c r="AH509" s="36"/>
      <c r="AI509" s="36"/>
    </row>
    <row r="510" s="1" customFormat="1" customHeight="1" spans="1:35">
      <c r="A510" s="17">
        <v>507</v>
      </c>
      <c r="B510" s="20">
        <v>46132</v>
      </c>
      <c r="C510" s="21" t="s">
        <v>156</v>
      </c>
      <c r="D510" s="22" t="s">
        <v>554</v>
      </c>
      <c r="E510" s="23" t="s">
        <v>555</v>
      </c>
      <c r="F510" s="24">
        <f t="shared" si="8"/>
        <v>5996</v>
      </c>
      <c r="G510" s="24" t="s">
        <v>49</v>
      </c>
      <c r="H510" s="65"/>
      <c r="I510" s="65"/>
      <c r="J510" s="24"/>
      <c r="K510" s="24"/>
      <c r="L510" s="24"/>
      <c r="M510" s="24"/>
      <c r="N510" s="24"/>
      <c r="O510" s="24"/>
      <c r="P510" s="24"/>
      <c r="Q510" s="24"/>
      <c r="R510" s="43"/>
      <c r="S510" s="24"/>
      <c r="T510" s="24"/>
      <c r="U510" s="24"/>
      <c r="V510" s="24"/>
      <c r="W510" s="24"/>
      <c r="X510" s="24"/>
      <c r="Y510" s="24"/>
      <c r="Z510" s="24"/>
      <c r="AA510" s="24">
        <v>5996</v>
      </c>
      <c r="AB510" s="24"/>
      <c r="AC510" s="24"/>
      <c r="AD510" s="24"/>
      <c r="AE510" s="24"/>
      <c r="AF510" s="36"/>
      <c r="AG510" s="36"/>
      <c r="AH510" s="36"/>
      <c r="AI510" s="36"/>
    </row>
    <row r="511" s="1" customFormat="1" customHeight="1" spans="1:35">
      <c r="A511" s="17">
        <v>508</v>
      </c>
      <c r="B511" s="20">
        <v>46132</v>
      </c>
      <c r="C511" s="21" t="s">
        <v>556</v>
      </c>
      <c r="D511" s="22" t="s">
        <v>557</v>
      </c>
      <c r="E511" s="23" t="s">
        <v>558</v>
      </c>
      <c r="F511" s="24">
        <f t="shared" si="8"/>
        <v>2000</v>
      </c>
      <c r="G511" s="24" t="s">
        <v>49</v>
      </c>
      <c r="H511" s="65"/>
      <c r="I511" s="65"/>
      <c r="J511" s="24"/>
      <c r="K511" s="24"/>
      <c r="L511" s="24"/>
      <c r="M511" s="24"/>
      <c r="N511" s="24"/>
      <c r="O511" s="24"/>
      <c r="P511" s="24"/>
      <c r="Q511" s="24"/>
      <c r="R511" s="43"/>
      <c r="S511" s="24">
        <v>2000</v>
      </c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36"/>
      <c r="AG511" s="36"/>
      <c r="AH511" s="36"/>
      <c r="AI511" s="36"/>
    </row>
    <row r="512" s="1" customFormat="1" customHeight="1" spans="1:35">
      <c r="A512" s="17">
        <v>509</v>
      </c>
      <c r="B512" s="20">
        <v>46132</v>
      </c>
      <c r="C512" s="21" t="s">
        <v>559</v>
      </c>
      <c r="D512" s="22" t="str" cm="1">
        <f t="array" ref="D512">INDEX([1]Sheet2!A:A,MATCH(E512,[1]Sheet2!B:B,0))</f>
        <v>李雪亮</v>
      </c>
      <c r="E512" s="23" t="s">
        <v>560</v>
      </c>
      <c r="F512" s="24">
        <f t="shared" si="8"/>
        <v>200</v>
      </c>
      <c r="G512" s="24" t="s">
        <v>49</v>
      </c>
      <c r="H512" s="65"/>
      <c r="I512" s="65"/>
      <c r="J512" s="24"/>
      <c r="K512" s="24"/>
      <c r="L512" s="24"/>
      <c r="M512" s="24"/>
      <c r="N512" s="24"/>
      <c r="O512" s="24"/>
      <c r="P512" s="24"/>
      <c r="Q512" s="24"/>
      <c r="R512" s="43"/>
      <c r="S512" s="24">
        <v>200</v>
      </c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36"/>
      <c r="AG512" s="36"/>
      <c r="AH512" s="36"/>
      <c r="AI512" s="36"/>
    </row>
    <row r="513" s="1" customFormat="1" customHeight="1" spans="1:35">
      <c r="A513" s="17">
        <v>510</v>
      </c>
      <c r="B513" s="20">
        <v>46132</v>
      </c>
      <c r="C513" s="21" t="s">
        <v>258</v>
      </c>
      <c r="D513" s="22" t="s">
        <v>259</v>
      </c>
      <c r="E513" s="23" t="s">
        <v>260</v>
      </c>
      <c r="F513" s="24">
        <f t="shared" si="8"/>
        <v>18000</v>
      </c>
      <c r="G513" s="24" t="s">
        <v>49</v>
      </c>
      <c r="H513" s="65">
        <v>46143</v>
      </c>
      <c r="I513" s="65">
        <v>46234</v>
      </c>
      <c r="J513" s="24"/>
      <c r="K513" s="24"/>
      <c r="L513" s="24"/>
      <c r="M513" s="24"/>
      <c r="N513" s="24"/>
      <c r="O513" s="24">
        <v>18000</v>
      </c>
      <c r="P513" s="24"/>
      <c r="Q513" s="24"/>
      <c r="R513" s="43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36"/>
      <c r="AG513" s="36"/>
      <c r="AH513" s="36"/>
      <c r="AI513" s="36"/>
    </row>
    <row r="514" s="1" customFormat="1" customHeight="1" spans="1:35">
      <c r="A514" s="17">
        <v>511</v>
      </c>
      <c r="B514" s="20">
        <v>46132</v>
      </c>
      <c r="C514" s="21"/>
      <c r="D514" s="22" t="s">
        <v>259</v>
      </c>
      <c r="E514" s="23" t="s">
        <v>561</v>
      </c>
      <c r="F514" s="24">
        <f t="shared" si="8"/>
        <v>1800</v>
      </c>
      <c r="G514" s="24" t="s">
        <v>49</v>
      </c>
      <c r="H514" s="65">
        <v>46054</v>
      </c>
      <c r="I514" s="65">
        <v>46234</v>
      </c>
      <c r="J514" s="24"/>
      <c r="K514" s="24"/>
      <c r="L514" s="24"/>
      <c r="M514" s="24">
        <v>1800</v>
      </c>
      <c r="N514" s="24"/>
      <c r="O514" s="24"/>
      <c r="P514" s="24"/>
      <c r="Q514" s="24"/>
      <c r="R514" s="43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36"/>
      <c r="AG514" s="36"/>
      <c r="AH514" s="36"/>
      <c r="AI514" s="36"/>
    </row>
    <row r="515" s="1" customFormat="1" customHeight="1" spans="1:35">
      <c r="A515" s="17">
        <v>512</v>
      </c>
      <c r="B515" s="20">
        <v>46132</v>
      </c>
      <c r="C515" s="21" t="s">
        <v>24</v>
      </c>
      <c r="D515" s="22" t="str" cm="1">
        <f t="array" ref="D515">INDEX([1]Sheet2!A:A,MATCH(E515,[1]Sheet2!B:B,0))</f>
        <v>充值</v>
      </c>
      <c r="E515" s="23" t="s">
        <v>72</v>
      </c>
      <c r="F515" s="24">
        <f t="shared" si="8"/>
        <v>900</v>
      </c>
      <c r="G515" s="24" t="s">
        <v>49</v>
      </c>
      <c r="H515" s="65"/>
      <c r="I515" s="65"/>
      <c r="J515" s="24"/>
      <c r="K515" s="24"/>
      <c r="L515" s="24"/>
      <c r="M515" s="24"/>
      <c r="N515" s="24"/>
      <c r="O515" s="24"/>
      <c r="P515" s="24"/>
      <c r="Q515" s="24"/>
      <c r="R515" s="43"/>
      <c r="S515" s="24"/>
      <c r="T515" s="24"/>
      <c r="U515" s="24"/>
      <c r="V515" s="24"/>
      <c r="W515" s="24">
        <v>900</v>
      </c>
      <c r="X515" s="24"/>
      <c r="Y515" s="24"/>
      <c r="Z515" s="24"/>
      <c r="AA515" s="24"/>
      <c r="AB515" s="24"/>
      <c r="AC515" s="24"/>
      <c r="AD515" s="24"/>
      <c r="AE515" s="24"/>
      <c r="AF515" s="36"/>
      <c r="AG515" s="36"/>
      <c r="AH515" s="36"/>
      <c r="AI515" s="36"/>
    </row>
    <row r="516" s="1" customFormat="1" customHeight="1" spans="1:35">
      <c r="A516" s="17">
        <v>513</v>
      </c>
      <c r="B516" s="20">
        <v>46132</v>
      </c>
      <c r="C516" s="21" t="s">
        <v>73</v>
      </c>
      <c r="D516" s="22" t="str" cm="1">
        <f t="array" ref="D516">INDEX([1]Sheet2!A:A,MATCH(E516,[1]Sheet2!B:B,0))</f>
        <v>衡阳志扬体育文化有限公司</v>
      </c>
      <c r="E516" s="23" t="s">
        <v>74</v>
      </c>
      <c r="F516" s="24">
        <f t="shared" ref="F516:F579" si="9">SUM(J516:AE516)</f>
        <v>3983</v>
      </c>
      <c r="G516" s="24" t="s">
        <v>49</v>
      </c>
      <c r="H516" s="65"/>
      <c r="I516" s="65"/>
      <c r="J516" s="24"/>
      <c r="K516" s="24"/>
      <c r="L516" s="24"/>
      <c r="M516" s="24"/>
      <c r="N516" s="24"/>
      <c r="O516" s="24"/>
      <c r="P516" s="24"/>
      <c r="Q516" s="24"/>
      <c r="R516" s="43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>
        <v>3983</v>
      </c>
      <c r="AF516" s="36"/>
      <c r="AG516" s="36"/>
      <c r="AH516" s="36"/>
      <c r="AI516" s="36"/>
    </row>
    <row r="517" s="1" customFormat="1" customHeight="1" spans="1:35">
      <c r="A517" s="17">
        <v>514</v>
      </c>
      <c r="B517" s="20">
        <v>46132</v>
      </c>
      <c r="C517" s="21" t="s">
        <v>113</v>
      </c>
      <c r="D517" s="22" t="str" cm="1">
        <f t="array" ref="D517">INDEX([1]Sheet2!A:A,MATCH(E517,[1]Sheet2!B:B,0))</f>
        <v>湖南亮点体育文化发展有限公司</v>
      </c>
      <c r="E517" s="23" t="s">
        <v>114</v>
      </c>
      <c r="F517" s="24">
        <f t="shared" si="9"/>
        <v>200</v>
      </c>
      <c r="G517" s="24" t="s">
        <v>77</v>
      </c>
      <c r="H517" s="65"/>
      <c r="I517" s="65"/>
      <c r="J517" s="24"/>
      <c r="K517" s="24"/>
      <c r="L517" s="24"/>
      <c r="M517" s="24"/>
      <c r="N517" s="24"/>
      <c r="O517" s="24"/>
      <c r="P517" s="24"/>
      <c r="Q517" s="24"/>
      <c r="R517" s="43"/>
      <c r="S517" s="24">
        <v>200</v>
      </c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36"/>
      <c r="AG517" s="36"/>
      <c r="AH517" s="36"/>
      <c r="AI517" s="36"/>
    </row>
    <row r="518" s="1" customFormat="1" customHeight="1" spans="1:35">
      <c r="A518" s="17">
        <v>515</v>
      </c>
      <c r="B518" s="20">
        <v>46132</v>
      </c>
      <c r="C518" s="21" t="s">
        <v>115</v>
      </c>
      <c r="D518" s="22" t="str" cm="1">
        <f t="array" ref="D518">INDEX([1]Sheet2!A:A,MATCH(E518,[1]Sheet2!B:B,0))</f>
        <v>湖南亮点体育文化发展有限公司</v>
      </c>
      <c r="E518" s="23" t="s">
        <v>116</v>
      </c>
      <c r="F518" s="24">
        <f t="shared" si="9"/>
        <v>300</v>
      </c>
      <c r="G518" s="24" t="s">
        <v>77</v>
      </c>
      <c r="H518" s="65"/>
      <c r="I518" s="65"/>
      <c r="J518" s="24"/>
      <c r="K518" s="24"/>
      <c r="L518" s="24"/>
      <c r="M518" s="24"/>
      <c r="N518" s="24"/>
      <c r="O518" s="24"/>
      <c r="P518" s="24"/>
      <c r="Q518" s="24"/>
      <c r="R518" s="43"/>
      <c r="S518" s="24">
        <v>300</v>
      </c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36"/>
      <c r="AG518" s="36"/>
      <c r="AH518" s="36"/>
      <c r="AI518" s="36"/>
    </row>
    <row r="519" s="1" customFormat="1" customHeight="1" spans="1:35">
      <c r="A519" s="17">
        <v>516</v>
      </c>
      <c r="B519" s="20">
        <v>46132</v>
      </c>
      <c r="C519" s="21" t="s">
        <v>117</v>
      </c>
      <c r="D519" s="22" t="str" cm="1">
        <f t="array" ref="D519">INDEX([1]Sheet2!A:A,MATCH(E519,[1]Sheet2!B:B,0))</f>
        <v>湖南亮点体育文化发展有限公司</v>
      </c>
      <c r="E519" s="23" t="s">
        <v>118</v>
      </c>
      <c r="F519" s="24">
        <f t="shared" si="9"/>
        <v>200</v>
      </c>
      <c r="G519" s="24" t="s">
        <v>77</v>
      </c>
      <c r="H519" s="65"/>
      <c r="I519" s="65"/>
      <c r="J519" s="24"/>
      <c r="K519" s="24"/>
      <c r="L519" s="24"/>
      <c r="M519" s="24"/>
      <c r="N519" s="24"/>
      <c r="O519" s="24"/>
      <c r="P519" s="24"/>
      <c r="Q519" s="24"/>
      <c r="R519" s="43"/>
      <c r="S519" s="24">
        <v>200</v>
      </c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36"/>
      <c r="AG519" s="36"/>
      <c r="AH519" s="36"/>
      <c r="AI519" s="36"/>
    </row>
    <row r="520" s="1" customFormat="1" customHeight="1" spans="1:35">
      <c r="A520" s="17">
        <v>517</v>
      </c>
      <c r="B520" s="20">
        <v>46132</v>
      </c>
      <c r="C520" s="21" t="s">
        <v>119</v>
      </c>
      <c r="D520" s="22" t="str" cm="1">
        <f t="array" ref="D520">INDEX([1]Sheet2!A:A,MATCH(E520,[1]Sheet2!B:B,0))</f>
        <v>湖南亮点体育文化发展有限公司</v>
      </c>
      <c r="E520" s="23" t="s">
        <v>120</v>
      </c>
      <c r="F520" s="24">
        <f t="shared" si="9"/>
        <v>300</v>
      </c>
      <c r="G520" s="24" t="s">
        <v>77</v>
      </c>
      <c r="H520" s="65"/>
      <c r="I520" s="65"/>
      <c r="J520" s="24"/>
      <c r="K520" s="24"/>
      <c r="L520" s="24"/>
      <c r="M520" s="24"/>
      <c r="N520" s="24"/>
      <c r="O520" s="24"/>
      <c r="P520" s="24"/>
      <c r="Q520" s="24"/>
      <c r="R520" s="43"/>
      <c r="S520" s="24">
        <v>300</v>
      </c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36"/>
      <c r="AG520" s="36"/>
      <c r="AH520" s="36"/>
      <c r="AI520" s="36"/>
    </row>
    <row r="521" s="1" customFormat="1" customHeight="1" spans="1:35">
      <c r="A521" s="17">
        <v>518</v>
      </c>
      <c r="B521" s="20">
        <v>46132</v>
      </c>
      <c r="C521" s="21" t="s">
        <v>121</v>
      </c>
      <c r="D521" s="22" t="str" cm="1">
        <f t="array" ref="D521">INDEX([1]Sheet2!A:A,MATCH(E521,[1]Sheet2!B:B,0))</f>
        <v>湖南亮点体育文化发展有限公司</v>
      </c>
      <c r="E521" s="23" t="s">
        <v>122</v>
      </c>
      <c r="F521" s="24">
        <f t="shared" si="9"/>
        <v>100</v>
      </c>
      <c r="G521" s="24" t="s">
        <v>77</v>
      </c>
      <c r="H521" s="65"/>
      <c r="I521" s="65"/>
      <c r="J521" s="24"/>
      <c r="K521" s="24"/>
      <c r="L521" s="24"/>
      <c r="M521" s="24"/>
      <c r="N521" s="24"/>
      <c r="O521" s="24"/>
      <c r="P521" s="24"/>
      <c r="Q521" s="24"/>
      <c r="R521" s="43"/>
      <c r="S521" s="24">
        <v>100</v>
      </c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36"/>
      <c r="AG521" s="36"/>
      <c r="AH521" s="36"/>
      <c r="AI521" s="36"/>
    </row>
    <row r="522" s="1" customFormat="1" customHeight="1" spans="1:35">
      <c r="A522" s="17">
        <v>519</v>
      </c>
      <c r="B522" s="20">
        <v>46132</v>
      </c>
      <c r="C522" s="21" t="s">
        <v>197</v>
      </c>
      <c r="D522" s="22" t="str" cm="1">
        <f t="array" ref="D522">INDEX([1]Sheet2!A:A,MATCH(E522,[1]Sheet2!B:B,0))</f>
        <v>湖南亮点体育文化发展有限公司</v>
      </c>
      <c r="E522" s="23" t="s">
        <v>198</v>
      </c>
      <c r="F522" s="24">
        <f t="shared" si="9"/>
        <v>100</v>
      </c>
      <c r="G522" s="24" t="s">
        <v>77</v>
      </c>
      <c r="H522" s="65"/>
      <c r="I522" s="65"/>
      <c r="J522" s="24"/>
      <c r="K522" s="24"/>
      <c r="L522" s="24"/>
      <c r="M522" s="24"/>
      <c r="N522" s="24"/>
      <c r="O522" s="24"/>
      <c r="P522" s="24"/>
      <c r="Q522" s="24"/>
      <c r="R522" s="43"/>
      <c r="S522" s="24">
        <v>100</v>
      </c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36"/>
      <c r="AG522" s="36"/>
      <c r="AH522" s="36"/>
      <c r="AI522" s="36"/>
    </row>
    <row r="523" s="1" customFormat="1" customHeight="1" spans="1:35">
      <c r="A523" s="17">
        <v>520</v>
      </c>
      <c r="B523" s="20">
        <v>46132</v>
      </c>
      <c r="C523" s="21" t="s">
        <v>78</v>
      </c>
      <c r="D523" s="22" t="str" cm="1">
        <f t="array" ref="D523">INDEX([1]Sheet2!A:A,MATCH(E523,[1]Sheet2!B:B,0))</f>
        <v>湖南亮点体育文化发展有限公司</v>
      </c>
      <c r="E523" s="23" t="s">
        <v>123</v>
      </c>
      <c r="F523" s="24">
        <f t="shared" si="9"/>
        <v>100</v>
      </c>
      <c r="G523" s="24" t="s">
        <v>77</v>
      </c>
      <c r="H523" s="36"/>
      <c r="I523" s="36"/>
      <c r="J523" s="24"/>
      <c r="K523" s="24"/>
      <c r="L523" s="24"/>
      <c r="M523" s="24"/>
      <c r="N523" s="24"/>
      <c r="O523" s="24"/>
      <c r="P523" s="24"/>
      <c r="Q523" s="24"/>
      <c r="R523" s="43"/>
      <c r="S523" s="24">
        <v>100</v>
      </c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36"/>
      <c r="AG523" s="36"/>
      <c r="AH523" s="36"/>
      <c r="AI523" s="36"/>
    </row>
    <row r="524" s="1" customFormat="1" customHeight="1" spans="1:35">
      <c r="A524" s="17">
        <v>521</v>
      </c>
      <c r="B524" s="20">
        <v>46132</v>
      </c>
      <c r="C524" s="21" t="s">
        <v>197</v>
      </c>
      <c r="D524" s="22" t="str" cm="1">
        <f t="array" ref="D524">INDEX([1]Sheet2!A:A,MATCH(E524,[1]Sheet2!B:B,0))</f>
        <v>湖南亮点体育文化发展有限公司</v>
      </c>
      <c r="E524" s="23" t="s">
        <v>198</v>
      </c>
      <c r="F524" s="24">
        <f t="shared" si="9"/>
        <v>400</v>
      </c>
      <c r="G524" s="24" t="s">
        <v>77</v>
      </c>
      <c r="H524" s="36"/>
      <c r="I524" s="36"/>
      <c r="J524" s="24"/>
      <c r="K524" s="24"/>
      <c r="L524" s="24"/>
      <c r="M524" s="24"/>
      <c r="N524" s="24"/>
      <c r="O524" s="24"/>
      <c r="P524" s="24"/>
      <c r="Q524" s="24"/>
      <c r="R524" s="43"/>
      <c r="S524" s="24">
        <v>400</v>
      </c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36"/>
      <c r="AG524" s="36"/>
      <c r="AH524" s="36"/>
      <c r="AI524" s="36"/>
    </row>
    <row r="525" s="1" customFormat="1" customHeight="1" spans="1:35">
      <c r="A525" s="17">
        <v>522</v>
      </c>
      <c r="B525" s="20">
        <v>46132</v>
      </c>
      <c r="C525" s="21" t="s">
        <v>179</v>
      </c>
      <c r="D525" s="22" t="str" cm="1">
        <f t="array" ref="D525">INDEX([1]Sheet2!A:A,MATCH(E525,[1]Sheet2!B:B,0))</f>
        <v>封旭</v>
      </c>
      <c r="E525" s="23" t="s">
        <v>180</v>
      </c>
      <c r="F525" s="24">
        <f t="shared" si="9"/>
        <v>500</v>
      </c>
      <c r="G525" s="24" t="s">
        <v>77</v>
      </c>
      <c r="H525" s="36"/>
      <c r="I525" s="36"/>
      <c r="J525" s="24"/>
      <c r="K525" s="24"/>
      <c r="L525" s="24"/>
      <c r="M525" s="24"/>
      <c r="N525" s="24"/>
      <c r="O525" s="24"/>
      <c r="P525" s="24"/>
      <c r="Q525" s="24"/>
      <c r="R525" s="43"/>
      <c r="S525" s="24">
        <v>500</v>
      </c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36"/>
      <c r="AG525" s="36"/>
      <c r="AH525" s="36"/>
      <c r="AI525" s="36"/>
    </row>
    <row r="526" s="1" customFormat="1" customHeight="1" spans="1:35">
      <c r="A526" s="17">
        <v>523</v>
      </c>
      <c r="B526" s="20">
        <v>46132</v>
      </c>
      <c r="C526" s="21" t="s">
        <v>175</v>
      </c>
      <c r="D526" s="22" t="str" cm="1">
        <f t="array" ref="D526">INDEX([1]Sheet2!A:A,MATCH(E526,[1]Sheet2!B:B,0))</f>
        <v>袁岫峰</v>
      </c>
      <c r="E526" s="23" t="s">
        <v>176</v>
      </c>
      <c r="F526" s="24">
        <f t="shared" si="9"/>
        <v>2000</v>
      </c>
      <c r="G526" s="24" t="s">
        <v>77</v>
      </c>
      <c r="H526" s="36"/>
      <c r="I526" s="36"/>
      <c r="J526" s="24"/>
      <c r="K526" s="24"/>
      <c r="L526" s="24"/>
      <c r="M526" s="24"/>
      <c r="N526" s="24"/>
      <c r="O526" s="24"/>
      <c r="P526" s="24"/>
      <c r="Q526" s="24"/>
      <c r="R526" s="43"/>
      <c r="S526" s="24">
        <v>2000</v>
      </c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36"/>
      <c r="AG526" s="36"/>
      <c r="AH526" s="36"/>
      <c r="AI526" s="36"/>
    </row>
    <row r="527" s="1" customFormat="1" customHeight="1" spans="1:35">
      <c r="A527" s="17">
        <v>524</v>
      </c>
      <c r="B527" s="20">
        <v>46132</v>
      </c>
      <c r="C527" s="21" t="s">
        <v>234</v>
      </c>
      <c r="D527" s="22" t="str" cm="1">
        <f t="array" ref="D527">INDEX([1]Sheet2!A:A,MATCH(E527,[1]Sheet2!B:B,0))</f>
        <v>唐文文</v>
      </c>
      <c r="E527" s="23" t="s">
        <v>562</v>
      </c>
      <c r="F527" s="24">
        <f t="shared" si="9"/>
        <v>500</v>
      </c>
      <c r="G527" s="24" t="s">
        <v>77</v>
      </c>
      <c r="H527" s="36"/>
      <c r="I527" s="36"/>
      <c r="J527" s="24"/>
      <c r="K527" s="24"/>
      <c r="L527" s="24"/>
      <c r="M527" s="24"/>
      <c r="N527" s="24"/>
      <c r="O527" s="24"/>
      <c r="P527" s="24"/>
      <c r="Q527" s="24"/>
      <c r="R527" s="43"/>
      <c r="S527" s="24">
        <v>500</v>
      </c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36"/>
      <c r="AG527" s="36"/>
      <c r="AH527" s="36"/>
      <c r="AI527" s="36"/>
    </row>
    <row r="528" s="1" customFormat="1" customHeight="1" spans="1:35">
      <c r="A528" s="17">
        <v>525</v>
      </c>
      <c r="B528" s="20">
        <v>46132</v>
      </c>
      <c r="C528" s="21" t="s">
        <v>97</v>
      </c>
      <c r="D528" s="22" t="str" cm="1">
        <f t="array" ref="D528">INDEX([1]Sheet2!A:A,MATCH(E528,[1]Sheet2!B:B,0))</f>
        <v>黎合</v>
      </c>
      <c r="E528" s="23" t="s">
        <v>98</v>
      </c>
      <c r="F528" s="24">
        <f t="shared" si="9"/>
        <v>10</v>
      </c>
      <c r="G528" s="24" t="s">
        <v>77</v>
      </c>
      <c r="H528" s="36"/>
      <c r="I528" s="36"/>
      <c r="J528" s="24"/>
      <c r="K528" s="24"/>
      <c r="L528" s="24"/>
      <c r="M528" s="24"/>
      <c r="N528" s="24"/>
      <c r="O528" s="24"/>
      <c r="P528" s="24"/>
      <c r="Q528" s="24"/>
      <c r="R528" s="43"/>
      <c r="S528" s="24">
        <v>10</v>
      </c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36"/>
      <c r="AG528" s="36"/>
      <c r="AH528" s="36"/>
      <c r="AI528" s="36"/>
    </row>
    <row r="529" s="1" customFormat="1" customHeight="1" spans="1:35">
      <c r="A529" s="17">
        <v>526</v>
      </c>
      <c r="B529" s="20">
        <v>46132</v>
      </c>
      <c r="C529" s="21" t="s">
        <v>124</v>
      </c>
      <c r="D529" s="22" t="str" cm="1">
        <f t="array" ref="D529">INDEX([1]Sheet2!A:A,MATCH(E529,[1]Sheet2!B:B,0))</f>
        <v>王冬林</v>
      </c>
      <c r="E529" s="23" t="s">
        <v>125</v>
      </c>
      <c r="F529" s="24">
        <f t="shared" si="9"/>
        <v>500</v>
      </c>
      <c r="G529" s="24" t="s">
        <v>77</v>
      </c>
      <c r="H529" s="36"/>
      <c r="I529" s="36"/>
      <c r="J529" s="24"/>
      <c r="K529" s="24"/>
      <c r="L529" s="24"/>
      <c r="M529" s="24"/>
      <c r="N529" s="24"/>
      <c r="O529" s="24"/>
      <c r="P529" s="24"/>
      <c r="Q529" s="24"/>
      <c r="R529" s="43"/>
      <c r="S529" s="24">
        <v>500</v>
      </c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36"/>
      <c r="AG529" s="36"/>
      <c r="AH529" s="36"/>
      <c r="AI529" s="36"/>
    </row>
    <row r="530" s="1" customFormat="1" customHeight="1" spans="1:35">
      <c r="A530" s="17">
        <v>527</v>
      </c>
      <c r="B530" s="20">
        <v>46132</v>
      </c>
      <c r="C530" s="21" t="s">
        <v>563</v>
      </c>
      <c r="D530" s="22" t="str" cm="1">
        <f t="array" ref="D530">INDEX([1]Sheet2!A:A,MATCH(E530,[1]Sheet2!B:B,0))</f>
        <v>伍兰</v>
      </c>
      <c r="E530" s="23" t="s">
        <v>564</v>
      </c>
      <c r="F530" s="24">
        <f t="shared" si="9"/>
        <v>1000</v>
      </c>
      <c r="G530" s="24" t="s">
        <v>77</v>
      </c>
      <c r="H530" s="36"/>
      <c r="I530" s="36"/>
      <c r="J530" s="24"/>
      <c r="K530" s="24"/>
      <c r="L530" s="24"/>
      <c r="M530" s="24"/>
      <c r="N530" s="24"/>
      <c r="O530" s="24"/>
      <c r="P530" s="24"/>
      <c r="Q530" s="24"/>
      <c r="R530" s="43"/>
      <c r="S530" s="24">
        <v>1000</v>
      </c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36"/>
      <c r="AG530" s="36"/>
      <c r="AH530" s="36"/>
      <c r="AI530" s="36"/>
    </row>
    <row r="531" s="1" customFormat="1" customHeight="1" spans="1:35">
      <c r="A531" s="17">
        <v>528</v>
      </c>
      <c r="B531" s="20">
        <v>46132</v>
      </c>
      <c r="C531" s="21" t="s">
        <v>109</v>
      </c>
      <c r="D531" s="22" t="str" cm="1">
        <f t="array" ref="D531">INDEX([1]Sheet2!A:A,MATCH(E531,[1]Sheet2!B:B,0))</f>
        <v>杨美丽</v>
      </c>
      <c r="E531" s="23" t="s">
        <v>110</v>
      </c>
      <c r="F531" s="24">
        <f t="shared" si="9"/>
        <v>100</v>
      </c>
      <c r="G531" s="24" t="s">
        <v>77</v>
      </c>
      <c r="H531" s="36"/>
      <c r="I531" s="36"/>
      <c r="J531" s="24"/>
      <c r="K531" s="24"/>
      <c r="L531" s="24"/>
      <c r="M531" s="24"/>
      <c r="N531" s="24"/>
      <c r="O531" s="24"/>
      <c r="P531" s="24"/>
      <c r="Q531" s="24"/>
      <c r="R531" s="43"/>
      <c r="S531" s="24">
        <v>100</v>
      </c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36"/>
      <c r="AG531" s="36"/>
      <c r="AH531" s="36"/>
      <c r="AI531" s="36"/>
    </row>
    <row r="532" s="1" customFormat="1" customHeight="1" spans="1:35">
      <c r="A532" s="17">
        <v>529</v>
      </c>
      <c r="B532" s="20">
        <v>46132</v>
      </c>
      <c r="C532" s="21" t="s">
        <v>24</v>
      </c>
      <c r="D532" s="22" t="str" cm="1">
        <f t="array" ref="D532">INDEX([1]Sheet2!A:A,MATCH(E532,[1]Sheet2!B:B,0))</f>
        <v>临时</v>
      </c>
      <c r="E532" s="23" t="s">
        <v>99</v>
      </c>
      <c r="F532" s="24">
        <f t="shared" si="9"/>
        <v>360</v>
      </c>
      <c r="G532" s="24" t="s">
        <v>100</v>
      </c>
      <c r="H532" s="25"/>
      <c r="I532" s="25"/>
      <c r="J532" s="24"/>
      <c r="K532" s="24"/>
      <c r="L532" s="24"/>
      <c r="M532" s="24"/>
      <c r="N532" s="24"/>
      <c r="O532" s="24"/>
      <c r="P532" s="24"/>
      <c r="Q532" s="24"/>
      <c r="R532" s="43"/>
      <c r="S532" s="24"/>
      <c r="T532" s="24"/>
      <c r="U532" s="24"/>
      <c r="V532" s="24"/>
      <c r="W532" s="24">
        <v>360</v>
      </c>
      <c r="X532" s="24"/>
      <c r="Y532" s="24"/>
      <c r="Z532" s="24"/>
      <c r="AA532" s="24"/>
      <c r="AB532" s="24"/>
      <c r="AC532" s="24"/>
      <c r="AD532" s="24"/>
      <c r="AE532" s="24"/>
      <c r="AF532" s="36"/>
      <c r="AG532" s="36"/>
      <c r="AH532" s="36"/>
      <c r="AI532" s="36"/>
    </row>
    <row r="533" s="1" customFormat="1" customHeight="1" spans="1:35">
      <c r="A533" s="17">
        <v>530</v>
      </c>
      <c r="B533" s="20">
        <v>46133</v>
      </c>
      <c r="C533" s="21" t="s">
        <v>101</v>
      </c>
      <c r="D533" s="22" t="s">
        <v>565</v>
      </c>
      <c r="E533" s="23" t="s">
        <v>102</v>
      </c>
      <c r="F533" s="24">
        <f t="shared" si="9"/>
        <v>20538</v>
      </c>
      <c r="G533" s="24" t="s">
        <v>40</v>
      </c>
      <c r="H533" s="25">
        <v>46143</v>
      </c>
      <c r="I533" s="25">
        <v>46203</v>
      </c>
      <c r="J533" s="24">
        <v>10758</v>
      </c>
      <c r="K533" s="24">
        <v>9780</v>
      </c>
      <c r="L533" s="24"/>
      <c r="M533" s="24"/>
      <c r="N533" s="24"/>
      <c r="O533" s="24"/>
      <c r="P533" s="24"/>
      <c r="Q533" s="24"/>
      <c r="R533" s="43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36"/>
      <c r="AG533" s="36"/>
      <c r="AH533" s="36"/>
      <c r="AI533" s="36"/>
    </row>
    <row r="534" s="1" customFormat="1" customHeight="1" spans="1:35">
      <c r="A534" s="17">
        <v>531</v>
      </c>
      <c r="B534" s="20">
        <v>46133</v>
      </c>
      <c r="C534" s="21" t="s">
        <v>566</v>
      </c>
      <c r="D534" s="22" t="str" cm="1">
        <f t="array" ref="D534">INDEX([1]Sheet2!A:A,MATCH(E534,[1]Sheet2!B:B,0))</f>
        <v>许春</v>
      </c>
      <c r="E534" s="23" t="s">
        <v>567</v>
      </c>
      <c r="F534" s="24">
        <f t="shared" si="9"/>
        <v>2600</v>
      </c>
      <c r="G534" s="24" t="s">
        <v>40</v>
      </c>
      <c r="H534" s="25">
        <v>46143</v>
      </c>
      <c r="I534" s="25">
        <v>46203</v>
      </c>
      <c r="J534" s="24"/>
      <c r="K534" s="24"/>
      <c r="L534" s="24"/>
      <c r="M534" s="24"/>
      <c r="N534" s="24"/>
      <c r="O534" s="24">
        <v>2600</v>
      </c>
      <c r="P534" s="24"/>
      <c r="Q534" s="24"/>
      <c r="R534" s="43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36"/>
      <c r="AG534" s="36"/>
      <c r="AH534" s="36"/>
      <c r="AI534" s="36"/>
    </row>
    <row r="535" s="1" customFormat="1" customHeight="1" spans="1:35">
      <c r="A535" s="17">
        <v>532</v>
      </c>
      <c r="B535" s="20">
        <v>46133</v>
      </c>
      <c r="C535" s="21" t="s">
        <v>566</v>
      </c>
      <c r="D535" s="22" t="str" cm="1">
        <f t="array" ref="D535">INDEX([1]Sheet2!A:A,MATCH(E535,[1]Sheet2!B:B,0))</f>
        <v>许春</v>
      </c>
      <c r="E535" s="23" t="s">
        <v>567</v>
      </c>
      <c r="F535" s="24">
        <f t="shared" si="9"/>
        <v>838.71</v>
      </c>
      <c r="G535" s="24" t="s">
        <v>40</v>
      </c>
      <c r="H535" s="25">
        <v>46204</v>
      </c>
      <c r="I535" s="25">
        <v>46223</v>
      </c>
      <c r="J535" s="24"/>
      <c r="K535" s="24"/>
      <c r="L535" s="24"/>
      <c r="M535" s="24"/>
      <c r="N535" s="24"/>
      <c r="O535" s="24">
        <v>838.71</v>
      </c>
      <c r="P535" s="24"/>
      <c r="Q535" s="24"/>
      <c r="R535" s="43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36"/>
      <c r="AG535" s="36"/>
      <c r="AH535" s="36"/>
      <c r="AI535" s="36"/>
    </row>
    <row r="536" s="1" customFormat="1" customHeight="1" spans="1:35">
      <c r="A536" s="17">
        <v>533</v>
      </c>
      <c r="B536" s="20">
        <v>46133</v>
      </c>
      <c r="C536" s="21" t="s">
        <v>566</v>
      </c>
      <c r="D536" s="22" t="str" cm="1">
        <f t="array" ref="D536">INDEX([1]Sheet2!A:A,MATCH(E536,[1]Sheet2!B:B,0))</f>
        <v>许春</v>
      </c>
      <c r="E536" s="23" t="s">
        <v>567</v>
      </c>
      <c r="F536" s="24">
        <f t="shared" si="9"/>
        <v>195.61</v>
      </c>
      <c r="G536" s="24" t="s">
        <v>40</v>
      </c>
      <c r="H536" s="25">
        <v>46082</v>
      </c>
      <c r="I536" s="25">
        <v>46112</v>
      </c>
      <c r="J536" s="24"/>
      <c r="K536" s="24"/>
      <c r="L536" s="24"/>
      <c r="M536" s="24"/>
      <c r="N536" s="24"/>
      <c r="O536" s="24"/>
      <c r="P536" s="24"/>
      <c r="Q536" s="24"/>
      <c r="R536" s="43">
        <v>195.61</v>
      </c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36"/>
      <c r="AG536" s="36"/>
      <c r="AH536" s="36"/>
      <c r="AI536" s="36"/>
    </row>
    <row r="537" s="1" customFormat="1" customHeight="1" spans="1:35">
      <c r="A537" s="17">
        <v>534</v>
      </c>
      <c r="B537" s="20">
        <v>46133</v>
      </c>
      <c r="C537" s="21" t="s">
        <v>43</v>
      </c>
      <c r="D537" s="22" t="str" cm="1">
        <f t="array" ref="D537">INDEX([1]Sheet2!A:A,MATCH(E537,[1]Sheet2!B:B,0))</f>
        <v>衡阳博纳影院管理有限公司</v>
      </c>
      <c r="E537" s="23" t="s">
        <v>42</v>
      </c>
      <c r="F537" s="24">
        <f t="shared" si="9"/>
        <v>12099.93</v>
      </c>
      <c r="G537" s="24" t="s">
        <v>40</v>
      </c>
      <c r="H537" s="25">
        <v>46082</v>
      </c>
      <c r="I537" s="25">
        <v>46112</v>
      </c>
      <c r="J537" s="24"/>
      <c r="K537" s="24"/>
      <c r="L537" s="24"/>
      <c r="M537" s="24"/>
      <c r="N537" s="24"/>
      <c r="O537" s="24"/>
      <c r="P537" s="24"/>
      <c r="Q537" s="24">
        <v>705.28</v>
      </c>
      <c r="R537" s="43">
        <v>11394.65</v>
      </c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36"/>
      <c r="AG537" s="36"/>
      <c r="AH537" s="36"/>
      <c r="AI537" s="36"/>
    </row>
    <row r="538" s="1" customFormat="1" customHeight="1" spans="1:35">
      <c r="A538" s="17">
        <v>535</v>
      </c>
      <c r="B538" s="20">
        <v>46133</v>
      </c>
      <c r="C538" s="21" t="s">
        <v>41</v>
      </c>
      <c r="D538" s="22" t="s">
        <v>44</v>
      </c>
      <c r="E538" s="23" t="s">
        <v>45</v>
      </c>
      <c r="F538" s="24">
        <f t="shared" si="9"/>
        <v>187.31</v>
      </c>
      <c r="G538" s="24" t="s">
        <v>40</v>
      </c>
      <c r="H538" s="25">
        <v>46082</v>
      </c>
      <c r="I538" s="25">
        <v>46112</v>
      </c>
      <c r="J538" s="24"/>
      <c r="K538" s="24"/>
      <c r="L538" s="24"/>
      <c r="M538" s="24"/>
      <c r="N538" s="24"/>
      <c r="O538" s="24"/>
      <c r="P538" s="24"/>
      <c r="Q538" s="24"/>
      <c r="R538" s="43">
        <v>187.31</v>
      </c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36"/>
      <c r="AG538" s="36"/>
      <c r="AH538" s="36"/>
      <c r="AI538" s="36"/>
    </row>
    <row r="539" s="1" customFormat="1" customHeight="1" spans="1:35">
      <c r="A539" s="17">
        <v>536</v>
      </c>
      <c r="B539" s="20">
        <v>46133</v>
      </c>
      <c r="C539" s="21" t="s">
        <v>185</v>
      </c>
      <c r="D539" s="22" t="s">
        <v>568</v>
      </c>
      <c r="E539" s="23" t="s">
        <v>569</v>
      </c>
      <c r="F539" s="24">
        <f t="shared" si="9"/>
        <v>224.96</v>
      </c>
      <c r="G539" s="24" t="s">
        <v>49</v>
      </c>
      <c r="H539" s="25">
        <v>46082</v>
      </c>
      <c r="I539" s="25">
        <v>46112</v>
      </c>
      <c r="J539" s="24"/>
      <c r="K539" s="24"/>
      <c r="L539" s="24"/>
      <c r="M539" s="24"/>
      <c r="N539" s="24"/>
      <c r="O539" s="24"/>
      <c r="P539" s="24"/>
      <c r="Q539" s="24">
        <v>224.96</v>
      </c>
      <c r="R539" s="43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36"/>
      <c r="AG539" s="36"/>
      <c r="AH539" s="36"/>
      <c r="AI539" s="36"/>
    </row>
    <row r="540" s="1" customFormat="1" customHeight="1" spans="1:35">
      <c r="A540" s="17">
        <v>537</v>
      </c>
      <c r="B540" s="20">
        <v>46133</v>
      </c>
      <c r="C540" s="21" t="s">
        <v>540</v>
      </c>
      <c r="D540" s="22" t="str" cm="1">
        <f t="array" ref="D540">INDEX([1]Sheet2!A:A,MATCH(E540,[1]Sheet2!B:B,0))</f>
        <v>王钇淇</v>
      </c>
      <c r="E540" s="23" t="s">
        <v>541</v>
      </c>
      <c r="F540" s="24">
        <f t="shared" si="9"/>
        <v>20</v>
      </c>
      <c r="G540" s="24" t="s">
        <v>49</v>
      </c>
      <c r="H540" s="36"/>
      <c r="I540" s="36"/>
      <c r="J540" s="24"/>
      <c r="K540" s="24"/>
      <c r="L540" s="24"/>
      <c r="M540" s="24"/>
      <c r="N540" s="24"/>
      <c r="O540" s="24"/>
      <c r="P540" s="24"/>
      <c r="Q540" s="24"/>
      <c r="R540" s="43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>
        <v>20</v>
      </c>
      <c r="AD540" s="24"/>
      <c r="AE540" s="24"/>
      <c r="AF540" s="36" t="s">
        <v>570</v>
      </c>
      <c r="AG540" s="36"/>
      <c r="AH540" s="36"/>
      <c r="AI540" s="36"/>
    </row>
    <row r="541" s="1" customFormat="1" customHeight="1" spans="1:35">
      <c r="A541" s="17">
        <v>538</v>
      </c>
      <c r="B541" s="20">
        <v>46133</v>
      </c>
      <c r="C541" s="21" t="s">
        <v>143</v>
      </c>
      <c r="D541" s="22" t="s">
        <v>571</v>
      </c>
      <c r="E541" s="23" t="s">
        <v>572</v>
      </c>
      <c r="F541" s="24">
        <f t="shared" si="9"/>
        <v>8932</v>
      </c>
      <c r="G541" s="24" t="s">
        <v>49</v>
      </c>
      <c r="H541" s="25">
        <v>46023</v>
      </c>
      <c r="I541" s="25">
        <v>46053</v>
      </c>
      <c r="J541" s="24">
        <v>4872</v>
      </c>
      <c r="K541" s="24">
        <v>4060</v>
      </c>
      <c r="L541" s="24"/>
      <c r="M541" s="24"/>
      <c r="N541" s="24"/>
      <c r="O541" s="24"/>
      <c r="P541" s="24"/>
      <c r="Q541" s="24"/>
      <c r="R541" s="43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36"/>
      <c r="AG541" s="36"/>
      <c r="AH541" s="36"/>
      <c r="AI541" s="36"/>
    </row>
    <row r="542" s="1" customFormat="1" customHeight="1" spans="1:35">
      <c r="A542" s="17">
        <v>539</v>
      </c>
      <c r="B542" s="20">
        <v>46133</v>
      </c>
      <c r="C542" s="21" t="s">
        <v>75</v>
      </c>
      <c r="D542" s="22" t="str" cm="1">
        <f t="array" ref="D542">INDEX([1]Sheet2!A:A,MATCH(E542,[1]Sheet2!B:B,0))</f>
        <v>刘连</v>
      </c>
      <c r="E542" s="23" t="s">
        <v>76</v>
      </c>
      <c r="F542" s="24">
        <f t="shared" si="9"/>
        <v>7870.5</v>
      </c>
      <c r="G542" s="24" t="s">
        <v>49</v>
      </c>
      <c r="H542" s="25">
        <v>46023</v>
      </c>
      <c r="I542" s="25">
        <v>46053</v>
      </c>
      <c r="J542" s="24">
        <v>2700</v>
      </c>
      <c r="K542" s="24">
        <v>5170.5</v>
      </c>
      <c r="L542" s="24"/>
      <c r="M542" s="24"/>
      <c r="N542" s="24"/>
      <c r="O542" s="24"/>
      <c r="P542" s="24"/>
      <c r="Q542" s="24"/>
      <c r="R542" s="43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36"/>
      <c r="AG542" s="36"/>
      <c r="AH542" s="36"/>
      <c r="AI542" s="36"/>
    </row>
    <row r="543" s="2" customFormat="1" customHeight="1" spans="1:35">
      <c r="A543" s="27">
        <v>540</v>
      </c>
      <c r="B543" s="20">
        <v>46133</v>
      </c>
      <c r="C543" s="34" t="s">
        <v>408</v>
      </c>
      <c r="D543" s="30" t="s">
        <v>548</v>
      </c>
      <c r="E543" s="31" t="s">
        <v>409</v>
      </c>
      <c r="F543" s="32">
        <f t="shared" si="9"/>
        <v>7500</v>
      </c>
      <c r="G543" s="32" t="s">
        <v>49</v>
      </c>
      <c r="H543" s="35"/>
      <c r="I543" s="35"/>
      <c r="J543" s="32"/>
      <c r="K543" s="32"/>
      <c r="L543" s="32"/>
      <c r="M543" s="32"/>
      <c r="N543" s="32"/>
      <c r="O543" s="32"/>
      <c r="P543" s="32"/>
      <c r="Q543" s="32"/>
      <c r="R543" s="45"/>
      <c r="S543" s="32"/>
      <c r="T543" s="32"/>
      <c r="U543" s="32"/>
      <c r="V543" s="32"/>
      <c r="W543" s="32"/>
      <c r="X543" s="32"/>
      <c r="Y543" s="32"/>
      <c r="Z543" s="32"/>
      <c r="AA543" s="32">
        <v>7500</v>
      </c>
      <c r="AB543" s="32"/>
      <c r="AC543" s="32"/>
      <c r="AD543" s="32"/>
      <c r="AE543" s="32"/>
      <c r="AF543" s="35" t="s">
        <v>60</v>
      </c>
      <c r="AG543" s="35"/>
      <c r="AH543" s="35"/>
      <c r="AI543" s="35"/>
    </row>
    <row r="544" s="1" customFormat="1" customHeight="1" spans="1:35">
      <c r="A544" s="17">
        <v>541</v>
      </c>
      <c r="B544" s="20">
        <v>46133</v>
      </c>
      <c r="C544" s="21" t="s">
        <v>445</v>
      </c>
      <c r="D544" s="22" t="s">
        <v>573</v>
      </c>
      <c r="E544" s="23" t="s">
        <v>446</v>
      </c>
      <c r="F544" s="24">
        <f t="shared" si="9"/>
        <v>4734.24</v>
      </c>
      <c r="G544" s="24" t="s">
        <v>49</v>
      </c>
      <c r="H544" s="25">
        <v>46113</v>
      </c>
      <c r="I544" s="25">
        <v>46142</v>
      </c>
      <c r="J544" s="24">
        <v>3313.97</v>
      </c>
      <c r="K544" s="24">
        <v>1420.27</v>
      </c>
      <c r="L544" s="24"/>
      <c r="M544" s="24"/>
      <c r="N544" s="24"/>
      <c r="O544" s="24"/>
      <c r="P544" s="24"/>
      <c r="Q544" s="24"/>
      <c r="R544" s="43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36"/>
      <c r="AG544" s="36"/>
      <c r="AH544" s="36"/>
      <c r="AI544" s="36"/>
    </row>
    <row r="545" s="1" customFormat="1" customHeight="1" spans="1:35">
      <c r="A545" s="17">
        <v>542</v>
      </c>
      <c r="B545" s="20">
        <v>46133</v>
      </c>
      <c r="C545" s="21" t="s">
        <v>73</v>
      </c>
      <c r="D545" s="22" t="str" cm="1">
        <f t="array" ref="D545">INDEX([1]Sheet2!A:A,MATCH(E545,[1]Sheet2!B:B,0))</f>
        <v>衡阳志扬体育文化有限公司</v>
      </c>
      <c r="E545" s="23" t="s">
        <v>74</v>
      </c>
      <c r="F545" s="24">
        <f t="shared" si="9"/>
        <v>1035</v>
      </c>
      <c r="G545" s="24" t="s">
        <v>49</v>
      </c>
      <c r="H545" s="36"/>
      <c r="I545" s="36"/>
      <c r="J545" s="24"/>
      <c r="K545" s="24"/>
      <c r="L545" s="24"/>
      <c r="M545" s="24"/>
      <c r="N545" s="24"/>
      <c r="O545" s="24"/>
      <c r="P545" s="24"/>
      <c r="Q545" s="24"/>
      <c r="R545" s="43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>
        <v>1035</v>
      </c>
      <c r="AF545" s="36"/>
      <c r="AG545" s="36"/>
      <c r="AH545" s="36"/>
      <c r="AI545" s="36"/>
    </row>
    <row r="546" s="1" customFormat="1" customHeight="1" spans="1:35">
      <c r="A546" s="17">
        <v>543</v>
      </c>
      <c r="B546" s="20">
        <v>46133</v>
      </c>
      <c r="C546" s="21" t="s">
        <v>95</v>
      </c>
      <c r="D546" s="22" t="str" cm="1">
        <f t="array" ref="D546">INDEX([1]Sheet2!A:A,MATCH(E546,[1]Sheet2!B:B,0))</f>
        <v>周建华</v>
      </c>
      <c r="E546" s="23" t="s">
        <v>96</v>
      </c>
      <c r="F546" s="24">
        <f t="shared" si="9"/>
        <v>200</v>
      </c>
      <c r="G546" s="24" t="s">
        <v>77</v>
      </c>
      <c r="H546" s="25"/>
      <c r="I546" s="25"/>
      <c r="J546" s="24"/>
      <c r="K546" s="24"/>
      <c r="L546" s="24"/>
      <c r="M546" s="24"/>
      <c r="N546" s="24"/>
      <c r="O546" s="24"/>
      <c r="P546" s="24"/>
      <c r="Q546" s="24"/>
      <c r="R546" s="43"/>
      <c r="S546" s="24">
        <v>200</v>
      </c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36"/>
      <c r="AG546" s="36"/>
      <c r="AH546" s="36"/>
      <c r="AI546" s="36"/>
    </row>
    <row r="547" s="1" customFormat="1" customHeight="1" spans="1:35">
      <c r="A547" s="17">
        <v>544</v>
      </c>
      <c r="B547" s="20">
        <v>46133</v>
      </c>
      <c r="C547" s="21" t="s">
        <v>169</v>
      </c>
      <c r="D547" s="22" t="str" cm="1">
        <f t="array" ref="D547">INDEX([1]Sheet2!A:A,MATCH(E547,[1]Sheet2!B:B,0))</f>
        <v>周乐群</v>
      </c>
      <c r="E547" s="23" t="s">
        <v>170</v>
      </c>
      <c r="F547" s="24">
        <f t="shared" si="9"/>
        <v>100</v>
      </c>
      <c r="G547" s="24" t="s">
        <v>77</v>
      </c>
      <c r="H547" s="25"/>
      <c r="I547" s="25"/>
      <c r="J547" s="24"/>
      <c r="K547" s="24"/>
      <c r="L547" s="24"/>
      <c r="M547" s="24"/>
      <c r="N547" s="24"/>
      <c r="O547" s="24"/>
      <c r="P547" s="24"/>
      <c r="Q547" s="24"/>
      <c r="R547" s="43"/>
      <c r="S547" s="24">
        <v>100</v>
      </c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36"/>
      <c r="AG547" s="36"/>
      <c r="AH547" s="36"/>
      <c r="AI547" s="36"/>
    </row>
    <row r="548" s="1" customFormat="1" customHeight="1" spans="1:35">
      <c r="A548" s="17">
        <v>545</v>
      </c>
      <c r="B548" s="20">
        <v>46133</v>
      </c>
      <c r="C548" s="21" t="s">
        <v>84</v>
      </c>
      <c r="D548" s="22" t="str" cm="1">
        <f t="array" ref="D548">INDEX([1]Sheet2!A:A,MATCH(E548,[1]Sheet2!B:B,0))</f>
        <v>莫靖凡</v>
      </c>
      <c r="E548" s="23" t="s">
        <v>85</v>
      </c>
      <c r="F548" s="24">
        <f t="shared" si="9"/>
        <v>50</v>
      </c>
      <c r="G548" s="24" t="s">
        <v>77</v>
      </c>
      <c r="H548" s="25"/>
      <c r="I548" s="25"/>
      <c r="J548" s="24"/>
      <c r="K548" s="24"/>
      <c r="L548" s="24"/>
      <c r="M548" s="24"/>
      <c r="N548" s="24"/>
      <c r="O548" s="24"/>
      <c r="P548" s="24"/>
      <c r="Q548" s="24"/>
      <c r="R548" s="43"/>
      <c r="S548" s="24">
        <v>50</v>
      </c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36"/>
      <c r="AG548" s="36"/>
      <c r="AH548" s="36"/>
      <c r="AI548" s="36"/>
    </row>
    <row r="549" s="1" customFormat="1" customHeight="1" spans="1:35">
      <c r="A549" s="17">
        <v>546</v>
      </c>
      <c r="B549" s="20">
        <v>46133</v>
      </c>
      <c r="C549" s="21" t="s">
        <v>388</v>
      </c>
      <c r="D549" s="22" t="str" cm="1">
        <f t="array" ref="D549">INDEX([1]Sheet2!A:A,MATCH(E549,[1]Sheet2!B:B,0))</f>
        <v>宁小兰</v>
      </c>
      <c r="E549" s="23" t="s">
        <v>574</v>
      </c>
      <c r="F549" s="24">
        <f t="shared" si="9"/>
        <v>500</v>
      </c>
      <c r="G549" s="24" t="s">
        <v>77</v>
      </c>
      <c r="H549" s="25"/>
      <c r="I549" s="25"/>
      <c r="J549" s="24"/>
      <c r="K549" s="24"/>
      <c r="L549" s="24"/>
      <c r="M549" s="24"/>
      <c r="N549" s="24"/>
      <c r="O549" s="24"/>
      <c r="P549" s="24"/>
      <c r="Q549" s="24"/>
      <c r="R549" s="43"/>
      <c r="S549" s="24">
        <v>500</v>
      </c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36"/>
      <c r="AG549" s="36"/>
      <c r="AH549" s="36"/>
      <c r="AI549" s="36"/>
    </row>
    <row r="550" s="1" customFormat="1" customHeight="1" spans="1:35">
      <c r="A550" s="17">
        <v>547</v>
      </c>
      <c r="B550" s="20">
        <v>46133</v>
      </c>
      <c r="C550" s="21" t="s">
        <v>384</v>
      </c>
      <c r="D550" s="22" t="str" cm="1">
        <f t="array" ref="D550">INDEX([1]Sheet2!A:A,MATCH(E550,[1]Sheet2!B:B,0))</f>
        <v>杨杰</v>
      </c>
      <c r="E550" s="23" t="s">
        <v>134</v>
      </c>
      <c r="F550" s="24">
        <f t="shared" si="9"/>
        <v>100</v>
      </c>
      <c r="G550" s="24" t="s">
        <v>77</v>
      </c>
      <c r="H550" s="25"/>
      <c r="I550" s="25"/>
      <c r="J550" s="24"/>
      <c r="K550" s="24"/>
      <c r="L550" s="24"/>
      <c r="M550" s="24"/>
      <c r="N550" s="24"/>
      <c r="O550" s="24"/>
      <c r="P550" s="24"/>
      <c r="Q550" s="24"/>
      <c r="R550" s="43"/>
      <c r="S550" s="24">
        <v>100</v>
      </c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36"/>
      <c r="AG550" s="36"/>
      <c r="AH550" s="36"/>
      <c r="AI550" s="36"/>
    </row>
    <row r="551" s="1" customFormat="1" customHeight="1" spans="1:35">
      <c r="A551" s="17">
        <v>548</v>
      </c>
      <c r="B551" s="20">
        <v>46133</v>
      </c>
      <c r="C551" s="21" t="s">
        <v>511</v>
      </c>
      <c r="D551" s="22" t="str" cm="1">
        <f t="array" ref="D551">INDEX([1]Sheet2!A:A,MATCH(E551,[1]Sheet2!B:B,0))</f>
        <v>衡阳市蒸湘区乐学教育培训学校</v>
      </c>
      <c r="E551" s="23" t="s">
        <v>575</v>
      </c>
      <c r="F551" s="24">
        <f t="shared" si="9"/>
        <v>1000</v>
      </c>
      <c r="G551" s="24" t="s">
        <v>77</v>
      </c>
      <c r="H551" s="25"/>
      <c r="I551" s="25"/>
      <c r="J551" s="24"/>
      <c r="K551" s="24"/>
      <c r="L551" s="24"/>
      <c r="M551" s="24"/>
      <c r="N551" s="24"/>
      <c r="O551" s="24"/>
      <c r="P551" s="24"/>
      <c r="Q551" s="24"/>
      <c r="R551" s="43"/>
      <c r="S551" s="24">
        <v>1000</v>
      </c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36"/>
      <c r="AG551" s="36"/>
      <c r="AH551" s="36"/>
      <c r="AI551" s="36"/>
    </row>
    <row r="552" s="1" customFormat="1" customHeight="1" spans="1:35">
      <c r="A552" s="17">
        <v>549</v>
      </c>
      <c r="B552" s="20">
        <v>46133</v>
      </c>
      <c r="C552" s="21" t="s">
        <v>177</v>
      </c>
      <c r="D552" s="22" t="str" cm="1">
        <f t="array" ref="D552">INDEX([1]Sheet2!A:A,MATCH(E552,[1]Sheet2!B:B,0))</f>
        <v>屈姣</v>
      </c>
      <c r="E552" s="23" t="s">
        <v>178</v>
      </c>
      <c r="F552" s="24">
        <f t="shared" si="9"/>
        <v>2000</v>
      </c>
      <c r="G552" s="24" t="s">
        <v>77</v>
      </c>
      <c r="H552" s="36"/>
      <c r="I552" s="36"/>
      <c r="J552" s="24"/>
      <c r="K552" s="24"/>
      <c r="L552" s="24"/>
      <c r="M552" s="24"/>
      <c r="N552" s="24"/>
      <c r="O552" s="24"/>
      <c r="P552" s="24"/>
      <c r="Q552" s="24"/>
      <c r="R552" s="43"/>
      <c r="S552" s="24">
        <v>2000</v>
      </c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36"/>
      <c r="AG552" s="36"/>
      <c r="AH552" s="36"/>
      <c r="AI552" s="36"/>
    </row>
    <row r="553" s="1" customFormat="1" customHeight="1" spans="1:35">
      <c r="A553" s="17">
        <v>550</v>
      </c>
      <c r="B553" s="20">
        <v>46133</v>
      </c>
      <c r="C553" s="21" t="s">
        <v>156</v>
      </c>
      <c r="D553" s="22" t="str" cm="1">
        <f t="array" ref="D553">INDEX([1]Sheet2!A:A,MATCH(E553,[1]Sheet2!B:B,0))</f>
        <v>刘露</v>
      </c>
      <c r="E553" s="23" t="s">
        <v>157</v>
      </c>
      <c r="F553" s="24">
        <f t="shared" si="9"/>
        <v>100</v>
      </c>
      <c r="G553" s="24" t="s">
        <v>77</v>
      </c>
      <c r="H553" s="36"/>
      <c r="I553" s="36"/>
      <c r="J553" s="24"/>
      <c r="K553" s="24"/>
      <c r="L553" s="24"/>
      <c r="M553" s="24"/>
      <c r="N553" s="24"/>
      <c r="O553" s="24"/>
      <c r="P553" s="24"/>
      <c r="Q553" s="24"/>
      <c r="R553" s="43"/>
      <c r="S553" s="24">
        <v>100</v>
      </c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36"/>
      <c r="AG553" s="36"/>
      <c r="AH553" s="36"/>
      <c r="AI553" s="36"/>
    </row>
    <row r="554" s="1" customFormat="1" customHeight="1" spans="1:35">
      <c r="A554" s="17">
        <v>551</v>
      </c>
      <c r="B554" s="20">
        <v>46133</v>
      </c>
      <c r="C554" s="21" t="s">
        <v>135</v>
      </c>
      <c r="D554" s="22" t="str" cm="1">
        <f t="array" ref="D554">INDEX([1]Sheet2!A:A,MATCH(E554,[1]Sheet2!B:B,0))</f>
        <v>周军伟</v>
      </c>
      <c r="E554" s="23" t="s">
        <v>136</v>
      </c>
      <c r="F554" s="24">
        <f t="shared" si="9"/>
        <v>50</v>
      </c>
      <c r="G554" s="24" t="s">
        <v>77</v>
      </c>
      <c r="H554" s="25"/>
      <c r="I554" s="25"/>
      <c r="J554" s="24"/>
      <c r="K554" s="24"/>
      <c r="L554" s="24"/>
      <c r="M554" s="24"/>
      <c r="N554" s="24"/>
      <c r="O554" s="24"/>
      <c r="P554" s="24"/>
      <c r="Q554" s="24"/>
      <c r="R554" s="43"/>
      <c r="S554" s="24">
        <v>50</v>
      </c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36"/>
      <c r="AG554" s="36"/>
      <c r="AH554" s="36"/>
      <c r="AI554" s="36"/>
    </row>
    <row r="555" s="1" customFormat="1" customHeight="1" spans="1:35">
      <c r="A555" s="17">
        <v>552</v>
      </c>
      <c r="B555" s="20">
        <v>46133</v>
      </c>
      <c r="C555" s="21" t="s">
        <v>24</v>
      </c>
      <c r="D555" s="22" t="str" cm="1">
        <f t="array" ref="D555">INDEX([1]Sheet2!A:A,MATCH(E555,[1]Sheet2!B:B,0))</f>
        <v>临时</v>
      </c>
      <c r="E555" s="23" t="s">
        <v>99</v>
      </c>
      <c r="F555" s="24">
        <f t="shared" si="9"/>
        <v>270</v>
      </c>
      <c r="G555" s="24" t="s">
        <v>100</v>
      </c>
      <c r="H555" s="25"/>
      <c r="I555" s="25"/>
      <c r="J555" s="24"/>
      <c r="K555" s="24"/>
      <c r="L555" s="24"/>
      <c r="M555" s="24"/>
      <c r="N555" s="24"/>
      <c r="O555" s="24"/>
      <c r="P555" s="24"/>
      <c r="Q555" s="24"/>
      <c r="R555" s="43"/>
      <c r="S555" s="24"/>
      <c r="T555" s="24"/>
      <c r="U555" s="24"/>
      <c r="V555" s="24"/>
      <c r="W555" s="24">
        <v>270</v>
      </c>
      <c r="X555" s="24"/>
      <c r="Y555" s="24"/>
      <c r="Z555" s="24"/>
      <c r="AA555" s="24"/>
      <c r="AB555" s="24"/>
      <c r="AC555" s="24"/>
      <c r="AD555" s="24"/>
      <c r="AE555" s="24"/>
      <c r="AF555" s="36"/>
      <c r="AG555" s="36"/>
      <c r="AH555" s="36"/>
      <c r="AI555" s="36"/>
    </row>
    <row r="556" s="1" customFormat="1" customHeight="1" spans="1:35">
      <c r="A556" s="17">
        <v>553</v>
      </c>
      <c r="B556" s="20">
        <v>46134</v>
      </c>
      <c r="C556" s="21" t="s">
        <v>416</v>
      </c>
      <c r="D556" s="22" t="s">
        <v>576</v>
      </c>
      <c r="E556" s="23" t="s">
        <v>417</v>
      </c>
      <c r="F556" s="24">
        <f t="shared" si="9"/>
        <v>29009.56</v>
      </c>
      <c r="G556" s="24" t="s">
        <v>40</v>
      </c>
      <c r="H556" s="25">
        <v>46113</v>
      </c>
      <c r="I556" s="25">
        <v>46142</v>
      </c>
      <c r="J556" s="24">
        <v>9056.94</v>
      </c>
      <c r="K556" s="24">
        <v>7935</v>
      </c>
      <c r="L556" s="24"/>
      <c r="M556" s="24"/>
      <c r="N556" s="24"/>
      <c r="O556" s="24"/>
      <c r="P556" s="24"/>
      <c r="Q556" s="24"/>
      <c r="R556" s="43"/>
      <c r="S556" s="24"/>
      <c r="T556" s="24"/>
      <c r="U556" s="24"/>
      <c r="V556" s="24"/>
      <c r="W556" s="24"/>
      <c r="X556" s="24"/>
      <c r="Y556" s="24"/>
      <c r="Z556" s="24"/>
      <c r="AA556" s="24">
        <v>12017.62</v>
      </c>
      <c r="AB556" s="24"/>
      <c r="AC556" s="24"/>
      <c r="AD556" s="24"/>
      <c r="AE556" s="24"/>
      <c r="AF556" s="36"/>
      <c r="AG556" s="36"/>
      <c r="AH556" s="36"/>
      <c r="AI556" s="36"/>
    </row>
    <row r="557" s="1" customFormat="1" customHeight="1" spans="1:35">
      <c r="A557" s="17">
        <v>554</v>
      </c>
      <c r="B557" s="20">
        <v>46134</v>
      </c>
      <c r="C557" s="21" t="s">
        <v>577</v>
      </c>
      <c r="D557" s="22" t="s">
        <v>38</v>
      </c>
      <c r="E557" s="23" t="s">
        <v>195</v>
      </c>
      <c r="F557" s="24">
        <f t="shared" si="9"/>
        <v>28048.8</v>
      </c>
      <c r="G557" s="24" t="s">
        <v>40</v>
      </c>
      <c r="H557" s="25">
        <v>46113</v>
      </c>
      <c r="I557" s="25">
        <v>46173</v>
      </c>
      <c r="J557" s="24"/>
      <c r="K557" s="24"/>
      <c r="L557" s="24"/>
      <c r="M557" s="24"/>
      <c r="N557" s="24"/>
      <c r="O557" s="24"/>
      <c r="P557" s="24"/>
      <c r="Q557" s="24"/>
      <c r="R557" s="43"/>
      <c r="S557" s="24"/>
      <c r="T557" s="24"/>
      <c r="U557" s="24"/>
      <c r="V557" s="24"/>
      <c r="W557" s="24"/>
      <c r="X557" s="24"/>
      <c r="Y557" s="24"/>
      <c r="Z557" s="24"/>
      <c r="AA557" s="24">
        <v>28048.8</v>
      </c>
      <c r="AB557" s="24"/>
      <c r="AC557" s="24"/>
      <c r="AD557" s="24"/>
      <c r="AE557" s="24"/>
      <c r="AF557" s="36" t="s">
        <v>578</v>
      </c>
      <c r="AG557" s="36"/>
      <c r="AH557" s="36"/>
      <c r="AI557" s="36"/>
    </row>
    <row r="558" s="1" customFormat="1" customHeight="1" spans="1:35">
      <c r="A558" s="17">
        <v>555</v>
      </c>
      <c r="B558" s="20">
        <v>46134</v>
      </c>
      <c r="C558" s="21" t="s">
        <v>579</v>
      </c>
      <c r="D558" s="22" t="str" cm="1">
        <f t="array" ref="D558">INDEX([1]Sheet2!A:A,MATCH(E558,[1]Sheet2!B:B,0))</f>
        <v>黄潇钦</v>
      </c>
      <c r="E558" s="23" t="s">
        <v>580</v>
      </c>
      <c r="F558" s="24">
        <f t="shared" si="9"/>
        <v>733.08</v>
      </c>
      <c r="G558" s="24" t="s">
        <v>40</v>
      </c>
      <c r="H558" s="25">
        <v>46054</v>
      </c>
      <c r="I558" s="25">
        <v>46112</v>
      </c>
      <c r="J558" s="24"/>
      <c r="K558" s="24"/>
      <c r="L558" s="24"/>
      <c r="M558" s="24"/>
      <c r="N558" s="24"/>
      <c r="O558" s="24"/>
      <c r="P558" s="24"/>
      <c r="Q558" s="24"/>
      <c r="R558" s="43">
        <v>733.08</v>
      </c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36"/>
      <c r="AG558" s="36"/>
      <c r="AH558" s="36"/>
      <c r="AI558" s="36"/>
    </row>
    <row r="559" s="1" customFormat="1" customHeight="1" spans="1:35">
      <c r="A559" s="17">
        <v>556</v>
      </c>
      <c r="B559" s="20">
        <v>46134</v>
      </c>
      <c r="C559" s="21" t="s">
        <v>226</v>
      </c>
      <c r="D559" s="22" t="s">
        <v>581</v>
      </c>
      <c r="E559" s="23" t="s">
        <v>582</v>
      </c>
      <c r="F559" s="24">
        <f t="shared" si="9"/>
        <v>4439.92</v>
      </c>
      <c r="G559" s="24" t="s">
        <v>40</v>
      </c>
      <c r="H559" s="25">
        <v>45931</v>
      </c>
      <c r="I559" s="25">
        <v>45961</v>
      </c>
      <c r="J559" s="24">
        <v>4439.92</v>
      </c>
      <c r="K559" s="24"/>
      <c r="L559" s="24"/>
      <c r="M559" s="24"/>
      <c r="N559" s="24"/>
      <c r="O559" s="24"/>
      <c r="P559" s="24"/>
      <c r="Q559" s="24"/>
      <c r="R559" s="43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36"/>
      <c r="AG559" s="36"/>
      <c r="AH559" s="36"/>
      <c r="AI559" s="36"/>
    </row>
    <row r="560" s="1" customFormat="1" customHeight="1" spans="1:35">
      <c r="A560" s="17">
        <v>557</v>
      </c>
      <c r="B560" s="20">
        <v>46134</v>
      </c>
      <c r="C560" s="21" t="s">
        <v>583</v>
      </c>
      <c r="D560" s="22" t="s">
        <v>584</v>
      </c>
      <c r="E560" s="23" t="s">
        <v>585</v>
      </c>
      <c r="F560" s="24">
        <f t="shared" si="9"/>
        <v>5200</v>
      </c>
      <c r="G560" s="24" t="s">
        <v>40</v>
      </c>
      <c r="H560" s="25">
        <v>46143</v>
      </c>
      <c r="I560" s="25">
        <v>46173</v>
      </c>
      <c r="J560" s="24">
        <v>2600</v>
      </c>
      <c r="K560" s="24">
        <v>2600</v>
      </c>
      <c r="L560" s="24"/>
      <c r="M560" s="24"/>
      <c r="N560" s="24"/>
      <c r="O560" s="24"/>
      <c r="P560" s="24"/>
      <c r="Q560" s="24"/>
      <c r="R560" s="43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36"/>
      <c r="AG560" s="36"/>
      <c r="AH560" s="36"/>
      <c r="AI560" s="36"/>
    </row>
    <row r="561" s="1" customFormat="1" customHeight="1" spans="1:35">
      <c r="A561" s="17">
        <v>558</v>
      </c>
      <c r="B561" s="20">
        <v>46134</v>
      </c>
      <c r="C561" s="21" t="s">
        <v>586</v>
      </c>
      <c r="D561" s="22" t="s">
        <v>587</v>
      </c>
      <c r="E561" s="23" t="s">
        <v>588</v>
      </c>
      <c r="F561" s="24">
        <f t="shared" si="9"/>
        <v>80</v>
      </c>
      <c r="G561" s="24" t="s">
        <v>49</v>
      </c>
      <c r="H561" s="36"/>
      <c r="I561" s="36"/>
      <c r="J561" s="24"/>
      <c r="K561" s="24"/>
      <c r="L561" s="24"/>
      <c r="M561" s="24"/>
      <c r="N561" s="24"/>
      <c r="O561" s="24"/>
      <c r="P561" s="24"/>
      <c r="Q561" s="24"/>
      <c r="R561" s="43"/>
      <c r="S561" s="24"/>
      <c r="T561" s="24"/>
      <c r="U561" s="24"/>
      <c r="V561" s="24">
        <v>80</v>
      </c>
      <c r="W561" s="24"/>
      <c r="X561" s="24"/>
      <c r="Y561" s="24"/>
      <c r="Z561" s="24"/>
      <c r="AA561" s="24"/>
      <c r="AB561" s="24"/>
      <c r="AC561" s="24"/>
      <c r="AD561" s="24"/>
      <c r="AE561" s="24"/>
      <c r="AF561" s="36"/>
      <c r="AG561" s="36"/>
      <c r="AH561" s="36"/>
      <c r="AI561" s="36"/>
    </row>
    <row r="562" s="1" customFormat="1" customHeight="1" spans="1:35">
      <c r="A562" s="17">
        <v>559</v>
      </c>
      <c r="B562" s="20">
        <v>46134</v>
      </c>
      <c r="C562" s="21" t="s">
        <v>589</v>
      </c>
      <c r="D562" s="22" t="s">
        <v>587</v>
      </c>
      <c r="E562" s="23" t="s">
        <v>588</v>
      </c>
      <c r="F562" s="24">
        <f t="shared" si="9"/>
        <v>500</v>
      </c>
      <c r="G562" s="24" t="s">
        <v>49</v>
      </c>
      <c r="H562" s="36"/>
      <c r="I562" s="36"/>
      <c r="J562" s="24"/>
      <c r="K562" s="24"/>
      <c r="L562" s="24"/>
      <c r="M562" s="24"/>
      <c r="N562" s="24"/>
      <c r="O562" s="24"/>
      <c r="P562" s="24"/>
      <c r="Q562" s="24"/>
      <c r="R562" s="43"/>
      <c r="S562" s="24">
        <v>500</v>
      </c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36"/>
      <c r="AG562" s="36"/>
      <c r="AH562" s="36"/>
      <c r="AI562" s="36"/>
    </row>
    <row r="563" s="1" customFormat="1" customHeight="1" spans="1:35">
      <c r="A563" s="17">
        <v>560</v>
      </c>
      <c r="B563" s="20">
        <v>46134</v>
      </c>
      <c r="C563" s="21" t="s">
        <v>590</v>
      </c>
      <c r="D563" s="22" t="s">
        <v>591</v>
      </c>
      <c r="E563" s="23" t="s">
        <v>592</v>
      </c>
      <c r="F563" s="24">
        <f t="shared" si="9"/>
        <v>18981</v>
      </c>
      <c r="G563" s="24" t="s">
        <v>49</v>
      </c>
      <c r="H563" s="25">
        <v>46113</v>
      </c>
      <c r="I563" s="25">
        <v>46203</v>
      </c>
      <c r="J563" s="24">
        <v>8991</v>
      </c>
      <c r="K563" s="24">
        <v>9990</v>
      </c>
      <c r="L563" s="24"/>
      <c r="M563" s="24"/>
      <c r="N563" s="24"/>
      <c r="O563" s="24"/>
      <c r="P563" s="24"/>
      <c r="Q563" s="24"/>
      <c r="R563" s="43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36"/>
      <c r="AG563" s="36"/>
      <c r="AH563" s="36"/>
      <c r="AI563" s="36"/>
    </row>
    <row r="564" s="1" customFormat="1" customHeight="1" spans="1:35">
      <c r="A564" s="17">
        <v>561</v>
      </c>
      <c r="B564" s="20">
        <v>46134</v>
      </c>
      <c r="C564" s="21" t="s">
        <v>488</v>
      </c>
      <c r="D564" s="22" t="s">
        <v>489</v>
      </c>
      <c r="E564" s="23" t="s">
        <v>490</v>
      </c>
      <c r="F564" s="24">
        <f t="shared" si="9"/>
        <v>6990</v>
      </c>
      <c r="G564" s="24" t="s">
        <v>49</v>
      </c>
      <c r="H564" s="25"/>
      <c r="I564" s="25"/>
      <c r="J564" s="24"/>
      <c r="K564" s="24"/>
      <c r="L564" s="24"/>
      <c r="M564" s="24"/>
      <c r="N564" s="24"/>
      <c r="O564" s="24"/>
      <c r="P564" s="24"/>
      <c r="Q564" s="24"/>
      <c r="R564" s="43"/>
      <c r="S564" s="24"/>
      <c r="T564" s="24">
        <v>475</v>
      </c>
      <c r="U564" s="24">
        <v>475</v>
      </c>
      <c r="V564" s="24">
        <v>40</v>
      </c>
      <c r="W564" s="24"/>
      <c r="X564" s="24"/>
      <c r="Y564" s="24">
        <v>5000</v>
      </c>
      <c r="Z564" s="24"/>
      <c r="AA564" s="24"/>
      <c r="AB564" s="24">
        <v>1000</v>
      </c>
      <c r="AC564" s="24"/>
      <c r="AD564" s="24"/>
      <c r="AE564" s="24"/>
      <c r="AF564" s="36" t="s">
        <v>593</v>
      </c>
      <c r="AG564" s="36" t="s">
        <v>50</v>
      </c>
      <c r="AH564" s="36">
        <v>7472883</v>
      </c>
      <c r="AI564" s="36" t="s">
        <v>594</v>
      </c>
    </row>
    <row r="565" s="1" customFormat="1" customHeight="1" spans="1:35">
      <c r="A565" s="17">
        <v>562</v>
      </c>
      <c r="B565" s="20">
        <v>46134</v>
      </c>
      <c r="C565" s="21" t="s">
        <v>488</v>
      </c>
      <c r="D565" s="22" t="s">
        <v>489</v>
      </c>
      <c r="E565" s="23" t="s">
        <v>490</v>
      </c>
      <c r="F565" s="24">
        <f t="shared" si="9"/>
        <v>300</v>
      </c>
      <c r="G565" s="24" t="s">
        <v>49</v>
      </c>
      <c r="H565" s="36"/>
      <c r="I565" s="36"/>
      <c r="J565" s="24"/>
      <c r="K565" s="24"/>
      <c r="L565" s="24"/>
      <c r="M565" s="24"/>
      <c r="N565" s="24"/>
      <c r="O565" s="24"/>
      <c r="P565" s="24"/>
      <c r="Q565" s="24"/>
      <c r="R565" s="43"/>
      <c r="S565" s="24">
        <v>300</v>
      </c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36" t="s">
        <v>595</v>
      </c>
      <c r="AG565" s="36"/>
      <c r="AH565" s="36"/>
      <c r="AI565" s="36"/>
    </row>
    <row r="566" s="1" customFormat="1" customHeight="1" spans="1:35">
      <c r="A566" s="17">
        <v>563</v>
      </c>
      <c r="B566" s="20">
        <v>46134</v>
      </c>
      <c r="C566" s="21" t="s">
        <v>596</v>
      </c>
      <c r="D566" s="22" t="str" cm="1">
        <f t="array" ref="D566">INDEX([1]Sheet2!A:A,MATCH(E566,[1]Sheet2!B:B,0))</f>
        <v>衡阳市中通速递有限公司</v>
      </c>
      <c r="E566" s="23" t="s">
        <v>597</v>
      </c>
      <c r="F566" s="24">
        <f t="shared" si="9"/>
        <v>101</v>
      </c>
      <c r="G566" s="24" t="s">
        <v>49</v>
      </c>
      <c r="H566" s="36"/>
      <c r="I566" s="36"/>
      <c r="J566" s="24"/>
      <c r="K566" s="24"/>
      <c r="L566" s="24"/>
      <c r="M566" s="24"/>
      <c r="N566" s="24"/>
      <c r="O566" s="24"/>
      <c r="P566" s="24"/>
      <c r="Q566" s="24"/>
      <c r="R566" s="43">
        <v>101</v>
      </c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36"/>
      <c r="AG566" s="36"/>
      <c r="AH566" s="36"/>
      <c r="AI566" s="36"/>
    </row>
    <row r="567" s="1" customFormat="1" customHeight="1" spans="1:35">
      <c r="A567" s="17">
        <v>564</v>
      </c>
      <c r="B567" s="20">
        <v>46134</v>
      </c>
      <c r="C567" s="21" t="s">
        <v>478</v>
      </c>
      <c r="D567" s="22" t="s">
        <v>598</v>
      </c>
      <c r="E567" s="23" t="s">
        <v>599</v>
      </c>
      <c r="F567" s="24">
        <f t="shared" si="9"/>
        <v>8585</v>
      </c>
      <c r="G567" s="24" t="s">
        <v>49</v>
      </c>
      <c r="H567" s="25">
        <v>46113</v>
      </c>
      <c r="I567" s="25">
        <v>46142</v>
      </c>
      <c r="J567" s="24">
        <v>5555</v>
      </c>
      <c r="K567" s="24">
        <v>3030</v>
      </c>
      <c r="L567" s="24"/>
      <c r="M567" s="24"/>
      <c r="N567" s="24"/>
      <c r="O567" s="24"/>
      <c r="P567" s="24"/>
      <c r="Q567" s="24"/>
      <c r="R567" s="43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36"/>
      <c r="AG567" s="36"/>
      <c r="AH567" s="36"/>
      <c r="AI567" s="36"/>
    </row>
    <row r="568" s="1" customFormat="1" customHeight="1" spans="1:35">
      <c r="A568" s="17">
        <v>565</v>
      </c>
      <c r="B568" s="20">
        <v>46134</v>
      </c>
      <c r="C568" s="21" t="s">
        <v>164</v>
      </c>
      <c r="D568" s="22" t="s">
        <v>600</v>
      </c>
      <c r="E568" s="23" t="s">
        <v>601</v>
      </c>
      <c r="F568" s="24">
        <f t="shared" si="9"/>
        <v>65529.86</v>
      </c>
      <c r="G568" s="24" t="s">
        <v>49</v>
      </c>
      <c r="H568" s="25">
        <v>46032</v>
      </c>
      <c r="I568" s="25">
        <v>46142</v>
      </c>
      <c r="J568" s="24">
        <v>32764.93</v>
      </c>
      <c r="K568" s="24">
        <v>32764.93</v>
      </c>
      <c r="L568" s="24"/>
      <c r="M568" s="24"/>
      <c r="N568" s="24"/>
      <c r="O568" s="24"/>
      <c r="P568" s="24"/>
      <c r="Q568" s="24"/>
      <c r="R568" s="43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36"/>
      <c r="AG568" s="36"/>
      <c r="AH568" s="36"/>
      <c r="AI568" s="36"/>
    </row>
    <row r="569" s="1" customFormat="1" customHeight="1" spans="1:35">
      <c r="A569" s="17">
        <v>566</v>
      </c>
      <c r="B569" s="20">
        <v>46134</v>
      </c>
      <c r="C569" s="21" t="s">
        <v>164</v>
      </c>
      <c r="D569" s="22" t="s">
        <v>600</v>
      </c>
      <c r="E569" s="23" t="s">
        <v>601</v>
      </c>
      <c r="F569" s="24">
        <f t="shared" si="9"/>
        <v>3000</v>
      </c>
      <c r="G569" s="24" t="s">
        <v>49</v>
      </c>
      <c r="H569" s="25">
        <v>46032</v>
      </c>
      <c r="I569" s="25">
        <v>46396</v>
      </c>
      <c r="J569" s="24"/>
      <c r="K569" s="24"/>
      <c r="L569" s="24">
        <v>3000</v>
      </c>
      <c r="M569" s="24"/>
      <c r="N569" s="24"/>
      <c r="O569" s="24"/>
      <c r="P569" s="24"/>
      <c r="Q569" s="24"/>
      <c r="R569" s="43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36"/>
      <c r="AG569" s="36"/>
      <c r="AH569" s="36"/>
      <c r="AI569" s="36"/>
    </row>
    <row r="570" s="1" customFormat="1" customHeight="1" spans="1:35">
      <c r="A570" s="17">
        <v>567</v>
      </c>
      <c r="B570" s="20">
        <v>46134</v>
      </c>
      <c r="C570" s="21" t="s">
        <v>73</v>
      </c>
      <c r="D570" s="22" t="str" cm="1">
        <f t="array" ref="D570">INDEX([1]Sheet2!A:A,MATCH(E570,[1]Sheet2!B:B,0))</f>
        <v>衡阳志扬体育文化有限公司</v>
      </c>
      <c r="E570" s="23" t="s">
        <v>74</v>
      </c>
      <c r="F570" s="24">
        <f t="shared" si="9"/>
        <v>1458</v>
      </c>
      <c r="G570" s="24" t="s">
        <v>49</v>
      </c>
      <c r="H570" s="36"/>
      <c r="I570" s="36"/>
      <c r="J570" s="24"/>
      <c r="K570" s="24"/>
      <c r="L570" s="24"/>
      <c r="M570" s="24"/>
      <c r="N570" s="24"/>
      <c r="O570" s="24"/>
      <c r="P570" s="24"/>
      <c r="Q570" s="24"/>
      <c r="R570" s="43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>
        <v>1458</v>
      </c>
      <c r="AF570" s="36"/>
      <c r="AG570" s="36"/>
      <c r="AH570" s="36"/>
      <c r="AI570" s="36"/>
    </row>
    <row r="571" s="1" customFormat="1" customHeight="1" spans="1:35">
      <c r="A571" s="17">
        <v>568</v>
      </c>
      <c r="B571" s="20">
        <v>46134</v>
      </c>
      <c r="C571" s="21" t="s">
        <v>113</v>
      </c>
      <c r="D571" s="22" t="str" cm="1">
        <f t="array" ref="D571">INDEX([1]Sheet2!A:A,MATCH(E571,[1]Sheet2!B:B,0))</f>
        <v>湖南亮点体育文化发展有限公司</v>
      </c>
      <c r="E571" s="23" t="s">
        <v>114</v>
      </c>
      <c r="F571" s="24">
        <f t="shared" si="9"/>
        <v>100</v>
      </c>
      <c r="G571" s="24" t="s">
        <v>77</v>
      </c>
      <c r="H571" s="36"/>
      <c r="I571" s="36"/>
      <c r="J571" s="24"/>
      <c r="K571" s="24"/>
      <c r="L571" s="24"/>
      <c r="M571" s="24"/>
      <c r="N571" s="24"/>
      <c r="O571" s="24"/>
      <c r="P571" s="24"/>
      <c r="Q571" s="24"/>
      <c r="R571" s="43"/>
      <c r="S571" s="24">
        <v>100</v>
      </c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36"/>
      <c r="AG571" s="36"/>
      <c r="AH571" s="36"/>
      <c r="AI571" s="36"/>
    </row>
    <row r="572" s="1" customFormat="1" customHeight="1" spans="1:35">
      <c r="A572" s="17">
        <v>569</v>
      </c>
      <c r="B572" s="20">
        <v>46134</v>
      </c>
      <c r="C572" s="21" t="s">
        <v>115</v>
      </c>
      <c r="D572" s="22" t="str" cm="1">
        <f t="array" ref="D572">INDEX([1]Sheet2!A:A,MATCH(E572,[1]Sheet2!B:B,0))</f>
        <v>湖南亮点体育文化发展有限公司</v>
      </c>
      <c r="E572" s="23" t="s">
        <v>116</v>
      </c>
      <c r="F572" s="24">
        <f t="shared" si="9"/>
        <v>100</v>
      </c>
      <c r="G572" s="24" t="s">
        <v>77</v>
      </c>
      <c r="H572" s="36"/>
      <c r="I572" s="36"/>
      <c r="J572" s="24"/>
      <c r="K572" s="24"/>
      <c r="L572" s="24"/>
      <c r="M572" s="24"/>
      <c r="N572" s="24"/>
      <c r="O572" s="24"/>
      <c r="P572" s="24"/>
      <c r="Q572" s="24"/>
      <c r="R572" s="43"/>
      <c r="S572" s="24">
        <v>100</v>
      </c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36"/>
      <c r="AG572" s="36"/>
      <c r="AH572" s="36"/>
      <c r="AI572" s="36"/>
    </row>
    <row r="573" s="1" customFormat="1" customHeight="1" spans="1:35">
      <c r="A573" s="17">
        <v>570</v>
      </c>
      <c r="B573" s="20">
        <v>46134</v>
      </c>
      <c r="C573" s="21" t="s">
        <v>117</v>
      </c>
      <c r="D573" s="22" t="str" cm="1">
        <f t="array" ref="D573">INDEX([1]Sheet2!A:A,MATCH(E573,[1]Sheet2!B:B,0))</f>
        <v>湖南亮点体育文化发展有限公司</v>
      </c>
      <c r="E573" s="23" t="s">
        <v>118</v>
      </c>
      <c r="F573" s="24">
        <f t="shared" si="9"/>
        <v>200</v>
      </c>
      <c r="G573" s="24" t="s">
        <v>77</v>
      </c>
      <c r="H573" s="36"/>
      <c r="I573" s="36"/>
      <c r="J573" s="24"/>
      <c r="K573" s="24"/>
      <c r="L573" s="24"/>
      <c r="M573" s="24"/>
      <c r="N573" s="24"/>
      <c r="O573" s="24"/>
      <c r="P573" s="24"/>
      <c r="Q573" s="24"/>
      <c r="R573" s="43"/>
      <c r="S573" s="24">
        <v>200</v>
      </c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36"/>
      <c r="AG573" s="36"/>
      <c r="AH573" s="36"/>
      <c r="AI573" s="36"/>
    </row>
    <row r="574" s="1" customFormat="1" customHeight="1" spans="1:35">
      <c r="A574" s="17">
        <v>571</v>
      </c>
      <c r="B574" s="20">
        <v>46134</v>
      </c>
      <c r="C574" s="21" t="s">
        <v>119</v>
      </c>
      <c r="D574" s="22" t="str" cm="1">
        <f t="array" ref="D574">INDEX([1]Sheet2!A:A,MATCH(E574,[1]Sheet2!B:B,0))</f>
        <v>湖南亮点体育文化发展有限公司</v>
      </c>
      <c r="E574" s="23" t="s">
        <v>120</v>
      </c>
      <c r="F574" s="24">
        <f t="shared" si="9"/>
        <v>200</v>
      </c>
      <c r="G574" s="24" t="s">
        <v>77</v>
      </c>
      <c r="H574" s="36"/>
      <c r="I574" s="36"/>
      <c r="J574" s="24"/>
      <c r="K574" s="24"/>
      <c r="L574" s="24"/>
      <c r="M574" s="24"/>
      <c r="N574" s="24"/>
      <c r="O574" s="24"/>
      <c r="P574" s="24"/>
      <c r="Q574" s="24"/>
      <c r="R574" s="43"/>
      <c r="S574" s="24">
        <v>200</v>
      </c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36"/>
      <c r="AG574" s="36"/>
      <c r="AH574" s="36"/>
      <c r="AI574" s="36"/>
    </row>
    <row r="575" s="1" customFormat="1" customHeight="1" spans="1:35">
      <c r="A575" s="17">
        <v>572</v>
      </c>
      <c r="B575" s="20">
        <v>46134</v>
      </c>
      <c r="C575" s="21" t="s">
        <v>121</v>
      </c>
      <c r="D575" s="22" t="str" cm="1">
        <f t="array" ref="D575">INDEX([1]Sheet2!A:A,MATCH(E575,[1]Sheet2!B:B,0))</f>
        <v>湖南亮点体育文化发展有限公司</v>
      </c>
      <c r="E575" s="23" t="s">
        <v>122</v>
      </c>
      <c r="F575" s="24">
        <f t="shared" si="9"/>
        <v>200</v>
      </c>
      <c r="G575" s="24" t="s">
        <v>77</v>
      </c>
      <c r="H575" s="36"/>
      <c r="I575" s="36"/>
      <c r="J575" s="24"/>
      <c r="K575" s="24"/>
      <c r="L575" s="24"/>
      <c r="M575" s="24"/>
      <c r="N575" s="24"/>
      <c r="O575" s="24"/>
      <c r="P575" s="24"/>
      <c r="Q575" s="24"/>
      <c r="R575" s="43"/>
      <c r="S575" s="24">
        <v>200</v>
      </c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36"/>
      <c r="AG575" s="36"/>
      <c r="AH575" s="36"/>
      <c r="AI575" s="36"/>
    </row>
    <row r="576" s="1" customFormat="1" customHeight="1" spans="1:35">
      <c r="A576" s="17">
        <v>573</v>
      </c>
      <c r="B576" s="20">
        <v>46134</v>
      </c>
      <c r="C576" s="21" t="s">
        <v>197</v>
      </c>
      <c r="D576" s="22" t="str" cm="1">
        <f t="array" ref="D576">INDEX([1]Sheet2!A:A,MATCH(E576,[1]Sheet2!B:B,0))</f>
        <v>湖南亮点体育文化发展有限公司</v>
      </c>
      <c r="E576" s="23" t="s">
        <v>198</v>
      </c>
      <c r="F576" s="24">
        <f t="shared" si="9"/>
        <v>300</v>
      </c>
      <c r="G576" s="24" t="s">
        <v>77</v>
      </c>
      <c r="H576" s="36"/>
      <c r="I576" s="36"/>
      <c r="J576" s="24"/>
      <c r="K576" s="24"/>
      <c r="L576" s="24"/>
      <c r="M576" s="24"/>
      <c r="N576" s="24"/>
      <c r="O576" s="24"/>
      <c r="P576" s="24"/>
      <c r="Q576" s="24"/>
      <c r="R576" s="43"/>
      <c r="S576" s="24">
        <v>300</v>
      </c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36"/>
      <c r="AG576" s="36"/>
      <c r="AH576" s="36"/>
      <c r="AI576" s="36"/>
    </row>
    <row r="577" s="1" customFormat="1" customHeight="1" spans="1:35">
      <c r="A577" s="17">
        <v>574</v>
      </c>
      <c r="B577" s="20">
        <v>46134</v>
      </c>
      <c r="C577" s="21" t="s">
        <v>124</v>
      </c>
      <c r="D577" s="22" t="str" cm="1">
        <f t="array" ref="D577">INDEX([1]Sheet2!A:A,MATCH(E577,[1]Sheet2!B:B,0))</f>
        <v>王冬林</v>
      </c>
      <c r="E577" s="23" t="s">
        <v>125</v>
      </c>
      <c r="F577" s="24">
        <f t="shared" si="9"/>
        <v>300</v>
      </c>
      <c r="G577" s="24" t="s">
        <v>77</v>
      </c>
      <c r="H577" s="25"/>
      <c r="I577" s="25"/>
      <c r="J577" s="24"/>
      <c r="K577" s="24"/>
      <c r="L577" s="24"/>
      <c r="M577" s="24"/>
      <c r="N577" s="24"/>
      <c r="O577" s="24"/>
      <c r="P577" s="24"/>
      <c r="Q577" s="24"/>
      <c r="R577" s="43"/>
      <c r="S577" s="24">
        <v>300</v>
      </c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36"/>
      <c r="AG577" s="36"/>
      <c r="AH577" s="36"/>
      <c r="AI577" s="36"/>
    </row>
    <row r="578" s="1" customFormat="1" customHeight="1" spans="1:35">
      <c r="A578" s="17">
        <v>575</v>
      </c>
      <c r="B578" s="20">
        <v>46134</v>
      </c>
      <c r="C578" s="21" t="s">
        <v>84</v>
      </c>
      <c r="D578" s="22" t="str" cm="1">
        <f t="array" ref="D578">INDEX([1]Sheet2!A:A,MATCH(E578,[1]Sheet2!B:B,0))</f>
        <v>莫靖凡</v>
      </c>
      <c r="E578" s="23" t="s">
        <v>85</v>
      </c>
      <c r="F578" s="24">
        <f t="shared" si="9"/>
        <v>50</v>
      </c>
      <c r="G578" s="24" t="s">
        <v>77</v>
      </c>
      <c r="H578" s="25"/>
      <c r="I578" s="25"/>
      <c r="J578" s="24"/>
      <c r="K578" s="24"/>
      <c r="L578" s="24"/>
      <c r="M578" s="24"/>
      <c r="N578" s="24"/>
      <c r="O578" s="24"/>
      <c r="P578" s="24"/>
      <c r="Q578" s="24"/>
      <c r="R578" s="43"/>
      <c r="S578" s="24">
        <v>50</v>
      </c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36"/>
      <c r="AG578" s="36"/>
      <c r="AH578" s="36"/>
      <c r="AI578" s="36"/>
    </row>
    <row r="579" s="1" customFormat="1" customHeight="1" spans="1:35">
      <c r="A579" s="17">
        <v>576</v>
      </c>
      <c r="B579" s="20">
        <v>46134</v>
      </c>
      <c r="C579" s="21" t="s">
        <v>203</v>
      </c>
      <c r="D579" s="22" t="str" cm="1">
        <f t="array" ref="D579">INDEX([1]Sheet2!A:A,MATCH(E579,[1]Sheet2!B:B,0))</f>
        <v>周文文</v>
      </c>
      <c r="E579" s="23" t="s">
        <v>602</v>
      </c>
      <c r="F579" s="24">
        <f t="shared" si="9"/>
        <v>500</v>
      </c>
      <c r="G579" s="24" t="s">
        <v>77</v>
      </c>
      <c r="H579" s="25"/>
      <c r="I579" s="25"/>
      <c r="J579" s="24"/>
      <c r="K579" s="24"/>
      <c r="L579" s="24"/>
      <c r="M579" s="24"/>
      <c r="N579" s="24"/>
      <c r="O579" s="24"/>
      <c r="P579" s="24"/>
      <c r="Q579" s="24"/>
      <c r="R579" s="43"/>
      <c r="S579" s="24">
        <v>500</v>
      </c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36"/>
      <c r="AG579" s="36"/>
      <c r="AH579" s="36"/>
      <c r="AI579" s="36"/>
    </row>
    <row r="580" s="1" customFormat="1" customHeight="1" spans="1:35">
      <c r="A580" s="17">
        <v>577</v>
      </c>
      <c r="B580" s="20">
        <v>46134</v>
      </c>
      <c r="C580" s="21" t="s">
        <v>603</v>
      </c>
      <c r="D580" s="22" t="str" cm="1">
        <f t="array" ref="D580">INDEX([1]Sheet2!A:A,MATCH(E580,[1]Sheet2!B:B,0))</f>
        <v>刘盼</v>
      </c>
      <c r="E580" s="23" t="s">
        <v>604</v>
      </c>
      <c r="F580" s="24">
        <f t="shared" ref="F580:F643" si="10">SUM(J580:AE580)</f>
        <v>1000</v>
      </c>
      <c r="G580" s="24" t="s">
        <v>77</v>
      </c>
      <c r="H580" s="25"/>
      <c r="I580" s="25"/>
      <c r="J580" s="24"/>
      <c r="K580" s="24"/>
      <c r="L580" s="24"/>
      <c r="M580" s="24"/>
      <c r="N580" s="24"/>
      <c r="O580" s="24"/>
      <c r="P580" s="24"/>
      <c r="Q580" s="24"/>
      <c r="R580" s="43"/>
      <c r="S580" s="24">
        <v>1000</v>
      </c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36"/>
      <c r="AG580" s="36"/>
      <c r="AH580" s="36"/>
      <c r="AI580" s="36"/>
    </row>
    <row r="581" s="1" customFormat="1" customHeight="1" spans="1:35">
      <c r="A581" s="17">
        <v>578</v>
      </c>
      <c r="B581" s="20">
        <v>46134</v>
      </c>
      <c r="C581" s="21" t="s">
        <v>88</v>
      </c>
      <c r="D581" s="22" t="str" cm="1">
        <f t="array" ref="D581">INDEX([1]Sheet2!A:A,MATCH(E581,[1]Sheet2!B:B,0))</f>
        <v>马黎平</v>
      </c>
      <c r="E581" s="23" t="s">
        <v>89</v>
      </c>
      <c r="F581" s="24">
        <f t="shared" si="10"/>
        <v>3000</v>
      </c>
      <c r="G581" s="24" t="s">
        <v>77</v>
      </c>
      <c r="H581" s="36"/>
      <c r="I581" s="36"/>
      <c r="J581" s="24"/>
      <c r="K581" s="24"/>
      <c r="L581" s="24"/>
      <c r="M581" s="24"/>
      <c r="N581" s="24"/>
      <c r="O581" s="24"/>
      <c r="P581" s="24"/>
      <c r="Q581" s="24"/>
      <c r="R581" s="43"/>
      <c r="S581" s="24">
        <v>3000</v>
      </c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36"/>
      <c r="AG581" s="36"/>
      <c r="AH581" s="36"/>
      <c r="AI581" s="36"/>
    </row>
    <row r="582" s="1" customFormat="1" customHeight="1" spans="1:35">
      <c r="A582" s="17">
        <v>579</v>
      </c>
      <c r="B582" s="20">
        <v>46134</v>
      </c>
      <c r="C582" s="21" t="s">
        <v>129</v>
      </c>
      <c r="D582" s="22" t="str" cm="1">
        <f t="array" ref="D582">INDEX([1]Sheet2!A:A,MATCH(E582,[1]Sheet2!B:B,0))</f>
        <v>张成菊</v>
      </c>
      <c r="E582" s="23" t="s">
        <v>130</v>
      </c>
      <c r="F582" s="24">
        <f t="shared" si="10"/>
        <v>1000</v>
      </c>
      <c r="G582" s="24" t="s">
        <v>77</v>
      </c>
      <c r="H582" s="25"/>
      <c r="I582" s="25"/>
      <c r="J582" s="24"/>
      <c r="K582" s="24"/>
      <c r="L582" s="24"/>
      <c r="M582" s="24"/>
      <c r="N582" s="24"/>
      <c r="O582" s="24"/>
      <c r="P582" s="24"/>
      <c r="Q582" s="24"/>
      <c r="R582" s="43"/>
      <c r="S582" s="24">
        <v>1000</v>
      </c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36"/>
      <c r="AG582" s="36"/>
      <c r="AH582" s="36"/>
      <c r="AI582" s="36"/>
    </row>
    <row r="583" s="1" customFormat="1" customHeight="1" spans="1:35">
      <c r="A583" s="17">
        <v>580</v>
      </c>
      <c r="B583" s="20">
        <v>46134</v>
      </c>
      <c r="C583" s="21" t="s">
        <v>508</v>
      </c>
      <c r="D583" s="22" t="str" cm="1">
        <f t="array" ref="D583">INDEX([1]Sheet2!A:A,MATCH(E583,[1]Sheet2!B:B,0))</f>
        <v>周喜</v>
      </c>
      <c r="E583" s="23" t="s">
        <v>605</v>
      </c>
      <c r="F583" s="24">
        <f t="shared" si="10"/>
        <v>2000</v>
      </c>
      <c r="G583" s="24" t="s">
        <v>77</v>
      </c>
      <c r="H583" s="25"/>
      <c r="I583" s="25"/>
      <c r="J583" s="24"/>
      <c r="K583" s="24"/>
      <c r="L583" s="24"/>
      <c r="M583" s="24"/>
      <c r="N583" s="24"/>
      <c r="O583" s="24"/>
      <c r="P583" s="24"/>
      <c r="Q583" s="24"/>
      <c r="R583" s="43"/>
      <c r="S583" s="24">
        <v>2000</v>
      </c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36"/>
      <c r="AG583" s="36"/>
      <c r="AH583" s="36"/>
      <c r="AI583" s="36"/>
    </row>
    <row r="584" s="1" customFormat="1" customHeight="1" spans="1:35">
      <c r="A584" s="17">
        <v>581</v>
      </c>
      <c r="B584" s="20">
        <v>46134</v>
      </c>
      <c r="C584" s="21" t="s">
        <v>24</v>
      </c>
      <c r="D584" s="22" t="str" cm="1">
        <f t="array" ref="D584">INDEX([1]Sheet2!A:A,MATCH(E584,[1]Sheet2!B:B,0))</f>
        <v>临时</v>
      </c>
      <c r="E584" s="23" t="s">
        <v>99</v>
      </c>
      <c r="F584" s="24">
        <f t="shared" si="10"/>
        <v>282</v>
      </c>
      <c r="G584" s="24" t="s">
        <v>100</v>
      </c>
      <c r="H584" s="36"/>
      <c r="I584" s="36"/>
      <c r="J584" s="24"/>
      <c r="K584" s="24"/>
      <c r="L584" s="24"/>
      <c r="M584" s="24"/>
      <c r="N584" s="24"/>
      <c r="O584" s="24"/>
      <c r="P584" s="24"/>
      <c r="Q584" s="24"/>
      <c r="R584" s="43"/>
      <c r="S584" s="24"/>
      <c r="T584" s="24"/>
      <c r="U584" s="24"/>
      <c r="V584" s="24"/>
      <c r="W584" s="24">
        <v>282</v>
      </c>
      <c r="X584" s="24"/>
      <c r="Y584" s="24"/>
      <c r="Z584" s="24"/>
      <c r="AA584" s="24"/>
      <c r="AB584" s="24"/>
      <c r="AC584" s="24"/>
      <c r="AD584" s="24"/>
      <c r="AE584" s="24"/>
      <c r="AF584" s="36"/>
      <c r="AG584" s="36"/>
      <c r="AH584" s="36"/>
      <c r="AI584" s="36"/>
    </row>
    <row r="585" s="1" customFormat="1" customHeight="1" spans="1:35">
      <c r="A585" s="17">
        <v>582</v>
      </c>
      <c r="B585" s="20">
        <v>46135</v>
      </c>
      <c r="C585" s="21" t="s">
        <v>606</v>
      </c>
      <c r="D585" s="22" t="s">
        <v>607</v>
      </c>
      <c r="E585" s="23" t="s">
        <v>608</v>
      </c>
      <c r="F585" s="24">
        <f t="shared" si="10"/>
        <v>64513.31</v>
      </c>
      <c r="G585" s="24" t="s">
        <v>40</v>
      </c>
      <c r="H585" s="25">
        <v>46143</v>
      </c>
      <c r="I585" s="25">
        <v>46173</v>
      </c>
      <c r="J585" s="24">
        <v>38394.56</v>
      </c>
      <c r="K585" s="24">
        <v>26118.75</v>
      </c>
      <c r="L585" s="24"/>
      <c r="M585" s="24"/>
      <c r="N585" s="24"/>
      <c r="O585" s="24"/>
      <c r="P585" s="24"/>
      <c r="Q585" s="24"/>
      <c r="R585" s="43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36"/>
      <c r="AG585" s="36"/>
      <c r="AH585" s="36"/>
      <c r="AI585" s="36"/>
    </row>
    <row r="586" s="1" customFormat="1" customHeight="1" spans="1:35">
      <c r="A586" s="17">
        <v>583</v>
      </c>
      <c r="B586" s="20">
        <v>46135</v>
      </c>
      <c r="C586" s="21" t="s">
        <v>606</v>
      </c>
      <c r="D586" s="22" t="s">
        <v>607</v>
      </c>
      <c r="E586" s="23" t="s">
        <v>608</v>
      </c>
      <c r="F586" s="24">
        <f t="shared" si="10"/>
        <v>249.28</v>
      </c>
      <c r="G586" s="24" t="s">
        <v>40</v>
      </c>
      <c r="H586" s="25">
        <v>46054</v>
      </c>
      <c r="I586" s="25">
        <v>46112</v>
      </c>
      <c r="J586" s="24"/>
      <c r="K586" s="24"/>
      <c r="L586" s="24"/>
      <c r="M586" s="24"/>
      <c r="N586" s="24"/>
      <c r="O586" s="24"/>
      <c r="P586" s="24"/>
      <c r="Q586" s="24">
        <v>249.28</v>
      </c>
      <c r="R586" s="43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36"/>
      <c r="AG586" s="36"/>
      <c r="AH586" s="36"/>
      <c r="AI586" s="36"/>
    </row>
    <row r="587" s="2" customFormat="1" customHeight="1" spans="1:35">
      <c r="A587" s="27">
        <v>584</v>
      </c>
      <c r="B587" s="28">
        <v>46135</v>
      </c>
      <c r="C587" s="34" t="s">
        <v>609</v>
      </c>
      <c r="D587" s="30" t="s">
        <v>610</v>
      </c>
      <c r="E587" s="31" t="s">
        <v>611</v>
      </c>
      <c r="F587" s="32">
        <f t="shared" si="10"/>
        <v>28866.21</v>
      </c>
      <c r="G587" s="32" t="s">
        <v>40</v>
      </c>
      <c r="H587" s="33">
        <v>46082</v>
      </c>
      <c r="I587" s="33">
        <v>46112</v>
      </c>
      <c r="J587" s="32"/>
      <c r="K587" s="32"/>
      <c r="L587" s="32"/>
      <c r="M587" s="32"/>
      <c r="N587" s="32"/>
      <c r="O587" s="32"/>
      <c r="P587" s="32"/>
      <c r="Q587" s="32">
        <v>12.16</v>
      </c>
      <c r="R587" s="45"/>
      <c r="S587" s="32"/>
      <c r="T587" s="32"/>
      <c r="U587" s="32"/>
      <c r="V587" s="32"/>
      <c r="W587" s="32"/>
      <c r="X587" s="32"/>
      <c r="Y587" s="32"/>
      <c r="Z587" s="32"/>
      <c r="AA587" s="32">
        <v>28854.05</v>
      </c>
      <c r="AB587" s="32"/>
      <c r="AC587" s="32"/>
      <c r="AD587" s="32"/>
      <c r="AE587" s="32"/>
      <c r="AF587" s="35" t="s">
        <v>60</v>
      </c>
      <c r="AG587" s="35"/>
      <c r="AH587" s="35"/>
      <c r="AI587" s="35"/>
    </row>
    <row r="588" s="1" customFormat="1" customHeight="1" spans="1:35">
      <c r="A588" s="17">
        <v>585</v>
      </c>
      <c r="B588" s="20">
        <v>46135</v>
      </c>
      <c r="C588" s="21" t="s">
        <v>612</v>
      </c>
      <c r="D588" s="22" t="s">
        <v>613</v>
      </c>
      <c r="E588" s="23" t="s">
        <v>614</v>
      </c>
      <c r="F588" s="24">
        <f t="shared" si="10"/>
        <v>500</v>
      </c>
      <c r="G588" s="24" t="s">
        <v>49</v>
      </c>
      <c r="H588" s="36"/>
      <c r="I588" s="36"/>
      <c r="J588" s="24"/>
      <c r="K588" s="24"/>
      <c r="L588" s="24"/>
      <c r="M588" s="24"/>
      <c r="N588" s="24"/>
      <c r="O588" s="24"/>
      <c r="P588" s="24"/>
      <c r="Q588" s="24"/>
      <c r="R588" s="43"/>
      <c r="S588" s="24">
        <v>500</v>
      </c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36"/>
      <c r="AG588" s="36"/>
      <c r="AH588" s="36"/>
      <c r="AI588" s="36"/>
    </row>
    <row r="589" s="1" customFormat="1" customHeight="1" spans="1:35">
      <c r="A589" s="17">
        <v>586</v>
      </c>
      <c r="B589" s="20">
        <v>46135</v>
      </c>
      <c r="C589" s="21" t="s">
        <v>73</v>
      </c>
      <c r="D589" s="22" t="str" cm="1">
        <f t="array" ref="D589">INDEX([1]Sheet2!A:A,MATCH(E589,[1]Sheet2!B:B,0))</f>
        <v>衡阳志扬体育文化有限公司</v>
      </c>
      <c r="E589" s="23" t="s">
        <v>74</v>
      </c>
      <c r="F589" s="24">
        <f t="shared" si="10"/>
        <v>2489</v>
      </c>
      <c r="G589" s="24" t="s">
        <v>49</v>
      </c>
      <c r="H589" s="36"/>
      <c r="I589" s="36"/>
      <c r="J589" s="24"/>
      <c r="K589" s="24"/>
      <c r="L589" s="24"/>
      <c r="M589" s="24"/>
      <c r="N589" s="24"/>
      <c r="O589" s="24"/>
      <c r="P589" s="24"/>
      <c r="Q589" s="24"/>
      <c r="R589" s="43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>
        <v>2489</v>
      </c>
      <c r="AF589" s="36"/>
      <c r="AG589" s="36"/>
      <c r="AH589" s="36"/>
      <c r="AI589" s="36"/>
    </row>
    <row r="590" s="1" customFormat="1" customHeight="1" spans="1:35">
      <c r="A590" s="17">
        <v>587</v>
      </c>
      <c r="B590" s="20">
        <v>46135</v>
      </c>
      <c r="C590" s="21" t="s">
        <v>354</v>
      </c>
      <c r="D590" s="22" t="str" cm="1">
        <f t="array" ref="D590">INDEX([1]Sheet2!A:A,MATCH(E590,[1]Sheet2!B:B,0))</f>
        <v>刘益豪</v>
      </c>
      <c r="E590" s="23" t="s">
        <v>355</v>
      </c>
      <c r="F590" s="24">
        <f t="shared" si="10"/>
        <v>500</v>
      </c>
      <c r="G590" s="24" t="s">
        <v>77</v>
      </c>
      <c r="H590" s="36"/>
      <c r="I590" s="36"/>
      <c r="J590" s="24"/>
      <c r="K590" s="24"/>
      <c r="L590" s="24"/>
      <c r="M590" s="24"/>
      <c r="N590" s="24"/>
      <c r="O590" s="24"/>
      <c r="P590" s="24"/>
      <c r="Q590" s="24"/>
      <c r="R590" s="43"/>
      <c r="S590" s="24">
        <v>500</v>
      </c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36"/>
      <c r="AG590" s="36"/>
      <c r="AH590" s="36"/>
      <c r="AI590" s="36"/>
    </row>
    <row r="591" s="1" customFormat="1" customHeight="1" spans="1:35">
      <c r="A591" s="17">
        <v>588</v>
      </c>
      <c r="B591" s="20">
        <v>46135</v>
      </c>
      <c r="C591" s="21" t="s">
        <v>472</v>
      </c>
      <c r="D591" s="22" t="str" cm="1">
        <f t="array" ref="D591">INDEX([1]Sheet2!A:A,MATCH(E591,[1]Sheet2!B:B,0))</f>
        <v>郑雪娟</v>
      </c>
      <c r="E591" s="23" t="s">
        <v>615</v>
      </c>
      <c r="F591" s="24">
        <f t="shared" si="10"/>
        <v>500</v>
      </c>
      <c r="G591" s="24" t="s">
        <v>77</v>
      </c>
      <c r="H591" s="36"/>
      <c r="I591" s="36"/>
      <c r="J591" s="24"/>
      <c r="K591" s="24"/>
      <c r="L591" s="24"/>
      <c r="M591" s="24"/>
      <c r="N591" s="24"/>
      <c r="O591" s="24"/>
      <c r="P591" s="24"/>
      <c r="Q591" s="24"/>
      <c r="R591" s="43"/>
      <c r="S591" s="24">
        <v>500</v>
      </c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36"/>
      <c r="AG591" s="36"/>
      <c r="AH591" s="36"/>
      <c r="AI591" s="36"/>
    </row>
    <row r="592" s="1" customFormat="1" customHeight="1" spans="1:35">
      <c r="A592" s="17">
        <v>589</v>
      </c>
      <c r="B592" s="20">
        <v>46135</v>
      </c>
      <c r="C592" s="21" t="s">
        <v>80</v>
      </c>
      <c r="D592" s="22" t="str" cm="1">
        <f t="array" ref="D592">INDEX([1]Sheet2!A:A,MATCH(E592,[1]Sheet2!B:B,0))</f>
        <v>汪天皓</v>
      </c>
      <c r="E592" s="23" t="s">
        <v>81</v>
      </c>
      <c r="F592" s="24">
        <f t="shared" si="10"/>
        <v>500</v>
      </c>
      <c r="G592" s="24" t="s">
        <v>77</v>
      </c>
      <c r="H592" s="36"/>
      <c r="I592" s="36"/>
      <c r="J592" s="24"/>
      <c r="K592" s="24"/>
      <c r="L592" s="24"/>
      <c r="M592" s="24"/>
      <c r="N592" s="24"/>
      <c r="O592" s="24"/>
      <c r="P592" s="24"/>
      <c r="Q592" s="24"/>
      <c r="R592" s="43"/>
      <c r="S592" s="24">
        <v>500</v>
      </c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36"/>
      <c r="AG592" s="36"/>
      <c r="AH592" s="36"/>
      <c r="AI592" s="36"/>
    </row>
    <row r="593" s="1" customFormat="1" customHeight="1" spans="1:35">
      <c r="A593" s="17">
        <v>590</v>
      </c>
      <c r="B593" s="20">
        <v>46135</v>
      </c>
      <c r="C593" s="21" t="s">
        <v>160</v>
      </c>
      <c r="D593" s="22" t="str" cm="1">
        <f t="array" ref="D593">INDEX([1]Sheet2!A:A,MATCH(E593,[1]Sheet2!B:B,0))</f>
        <v>丁海军</v>
      </c>
      <c r="E593" s="23" t="s">
        <v>161</v>
      </c>
      <c r="F593" s="24">
        <f t="shared" si="10"/>
        <v>500</v>
      </c>
      <c r="G593" s="24" t="s">
        <v>77</v>
      </c>
      <c r="H593" s="36"/>
      <c r="I593" s="36"/>
      <c r="J593" s="24"/>
      <c r="K593" s="24"/>
      <c r="L593" s="24"/>
      <c r="M593" s="24"/>
      <c r="N593" s="24"/>
      <c r="O593" s="24"/>
      <c r="P593" s="24"/>
      <c r="Q593" s="24"/>
      <c r="R593" s="43"/>
      <c r="S593" s="24">
        <v>500</v>
      </c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36"/>
      <c r="AG593" s="36"/>
      <c r="AH593" s="36"/>
      <c r="AI593" s="36"/>
    </row>
    <row r="594" s="1" customFormat="1" customHeight="1" spans="1:35">
      <c r="A594" s="17">
        <v>591</v>
      </c>
      <c r="B594" s="20">
        <v>46135</v>
      </c>
      <c r="C594" s="21" t="s">
        <v>162</v>
      </c>
      <c r="D594" s="22" t="str" cm="1">
        <f t="array" ref="D594">INDEX([1]Sheet2!A:A,MATCH(E594,[1]Sheet2!B:B,0))</f>
        <v>丁海军</v>
      </c>
      <c r="E594" s="23" t="s">
        <v>163</v>
      </c>
      <c r="F594" s="24">
        <f t="shared" si="10"/>
        <v>200</v>
      </c>
      <c r="G594" s="24" t="s">
        <v>77</v>
      </c>
      <c r="H594" s="36"/>
      <c r="I594" s="36"/>
      <c r="J594" s="24"/>
      <c r="K594" s="24"/>
      <c r="L594" s="24"/>
      <c r="M594" s="24"/>
      <c r="N594" s="24"/>
      <c r="O594" s="24"/>
      <c r="P594" s="24"/>
      <c r="Q594" s="24"/>
      <c r="R594" s="43"/>
      <c r="S594" s="24">
        <v>200</v>
      </c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36"/>
      <c r="AG594" s="36"/>
      <c r="AH594" s="36"/>
      <c r="AI594" s="36"/>
    </row>
    <row r="595" s="1" customFormat="1" customHeight="1" spans="1:35">
      <c r="A595" s="17">
        <v>592</v>
      </c>
      <c r="B595" s="20">
        <v>46135</v>
      </c>
      <c r="C595" s="21" t="s">
        <v>86</v>
      </c>
      <c r="D595" s="22" t="str" cm="1">
        <f t="array" ref="D595">INDEX([1]Sheet2!A:A,MATCH(E595,[1]Sheet2!B:B,0))</f>
        <v>吴革民</v>
      </c>
      <c r="E595" s="23" t="s">
        <v>87</v>
      </c>
      <c r="F595" s="24">
        <f t="shared" si="10"/>
        <v>100</v>
      </c>
      <c r="G595" s="24" t="s">
        <v>77</v>
      </c>
      <c r="H595" s="36"/>
      <c r="I595" s="36"/>
      <c r="J595" s="24"/>
      <c r="K595" s="24"/>
      <c r="L595" s="24"/>
      <c r="M595" s="24"/>
      <c r="N595" s="24"/>
      <c r="O595" s="24"/>
      <c r="P595" s="24"/>
      <c r="Q595" s="24"/>
      <c r="R595" s="43"/>
      <c r="S595" s="24">
        <v>100</v>
      </c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36"/>
      <c r="AG595" s="36"/>
      <c r="AH595" s="36"/>
      <c r="AI595" s="36"/>
    </row>
    <row r="596" s="1" customFormat="1" customHeight="1" spans="1:35">
      <c r="A596" s="17">
        <v>593</v>
      </c>
      <c r="B596" s="20">
        <v>46135</v>
      </c>
      <c r="C596" s="21" t="s">
        <v>616</v>
      </c>
      <c r="D596" s="22" t="str" cm="1">
        <f t="array" ref="D596">INDEX([1]Sheet2!A:A,MATCH(E596,[1]Sheet2!B:B,0))</f>
        <v>黄潇钦</v>
      </c>
      <c r="E596" s="23" t="s">
        <v>617</v>
      </c>
      <c r="F596" s="24">
        <f t="shared" si="10"/>
        <v>500</v>
      </c>
      <c r="G596" s="24" t="s">
        <v>77</v>
      </c>
      <c r="H596" s="36"/>
      <c r="I596" s="36"/>
      <c r="J596" s="24"/>
      <c r="K596" s="24"/>
      <c r="L596" s="24"/>
      <c r="M596" s="24"/>
      <c r="N596" s="24"/>
      <c r="O596" s="24"/>
      <c r="P596" s="24"/>
      <c r="Q596" s="24"/>
      <c r="R596" s="43"/>
      <c r="S596" s="24">
        <v>500</v>
      </c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36"/>
      <c r="AG596" s="36"/>
      <c r="AH596" s="36"/>
      <c r="AI596" s="36"/>
    </row>
    <row r="597" s="1" customFormat="1" customHeight="1" spans="1:35">
      <c r="A597" s="17">
        <v>594</v>
      </c>
      <c r="B597" s="20">
        <v>46135</v>
      </c>
      <c r="C597" s="21" t="s">
        <v>154</v>
      </c>
      <c r="D597" s="22" t="str" cm="1">
        <f t="array" ref="D597">INDEX([1]Sheet2!A:A,MATCH(E597,[1]Sheet2!B:B,0))</f>
        <v>黄煌</v>
      </c>
      <c r="E597" s="23" t="s">
        <v>155</v>
      </c>
      <c r="F597" s="24">
        <f t="shared" si="10"/>
        <v>200</v>
      </c>
      <c r="G597" s="24" t="s">
        <v>77</v>
      </c>
      <c r="H597" s="36"/>
      <c r="I597" s="36"/>
      <c r="J597" s="24"/>
      <c r="K597" s="24"/>
      <c r="L597" s="24"/>
      <c r="M597" s="24"/>
      <c r="N597" s="24"/>
      <c r="O597" s="24"/>
      <c r="P597" s="24"/>
      <c r="Q597" s="24"/>
      <c r="R597" s="43"/>
      <c r="S597" s="24">
        <v>200</v>
      </c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36"/>
      <c r="AG597" s="36"/>
      <c r="AH597" s="36"/>
      <c r="AI597" s="36"/>
    </row>
    <row r="598" s="1" customFormat="1" customHeight="1" spans="1:35">
      <c r="A598" s="17">
        <v>595</v>
      </c>
      <c r="B598" s="20">
        <v>46135</v>
      </c>
      <c r="C598" s="21" t="s">
        <v>618</v>
      </c>
      <c r="D598" s="22" t="str" cm="1">
        <f t="array" ref="D598">INDEX([1]Sheet2!A:A,MATCH(E598,[1]Sheet2!B:B,0))</f>
        <v>刘香</v>
      </c>
      <c r="E598" s="23" t="s">
        <v>619</v>
      </c>
      <c r="F598" s="24">
        <f t="shared" si="10"/>
        <v>1000</v>
      </c>
      <c r="G598" s="24" t="s">
        <v>77</v>
      </c>
      <c r="H598" s="25"/>
      <c r="I598" s="25"/>
      <c r="J598" s="24"/>
      <c r="K598" s="24"/>
      <c r="L598" s="24"/>
      <c r="M598" s="24"/>
      <c r="N598" s="24"/>
      <c r="O598" s="24"/>
      <c r="P598" s="24"/>
      <c r="Q598" s="24"/>
      <c r="R598" s="43"/>
      <c r="S598" s="24">
        <v>1000</v>
      </c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36"/>
      <c r="AG598" s="36"/>
      <c r="AH598" s="36"/>
      <c r="AI598" s="36"/>
    </row>
    <row r="599" s="1" customFormat="1" customHeight="1" spans="1:35">
      <c r="A599" s="17">
        <v>596</v>
      </c>
      <c r="B599" s="20">
        <v>46135</v>
      </c>
      <c r="C599" s="67" t="s">
        <v>124</v>
      </c>
      <c r="D599" s="22" t="str" cm="1">
        <f t="array" ref="D599">INDEX([1]Sheet2!A:A,MATCH(E599,[1]Sheet2!B:B,0))</f>
        <v>王冬林</v>
      </c>
      <c r="E599" s="23" t="s">
        <v>125</v>
      </c>
      <c r="F599" s="24">
        <f t="shared" si="10"/>
        <v>1000</v>
      </c>
      <c r="G599" s="24" t="s">
        <v>77</v>
      </c>
      <c r="H599" s="25"/>
      <c r="I599" s="25"/>
      <c r="J599" s="24"/>
      <c r="K599" s="24"/>
      <c r="L599" s="24"/>
      <c r="M599" s="24"/>
      <c r="N599" s="24"/>
      <c r="O599" s="24"/>
      <c r="P599" s="24"/>
      <c r="Q599" s="24"/>
      <c r="R599" s="43"/>
      <c r="S599" s="24">
        <v>1000</v>
      </c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36"/>
      <c r="AG599" s="36"/>
      <c r="AH599" s="36"/>
      <c r="AI599" s="36"/>
    </row>
    <row r="600" s="1" customFormat="1" customHeight="1" spans="1:35">
      <c r="A600" s="17">
        <v>597</v>
      </c>
      <c r="B600" s="20">
        <v>46135</v>
      </c>
      <c r="C600" s="21" t="s">
        <v>143</v>
      </c>
      <c r="D600" s="22" t="str" cm="1">
        <f t="array" ref="D600">INDEX([1]Sheet2!A:A,MATCH(E600,[1]Sheet2!B:B,0))</f>
        <v>刘连</v>
      </c>
      <c r="E600" s="23" t="s">
        <v>144</v>
      </c>
      <c r="F600" s="24">
        <f t="shared" si="10"/>
        <v>100</v>
      </c>
      <c r="G600" s="24" t="s">
        <v>77</v>
      </c>
      <c r="H600" s="25"/>
      <c r="I600" s="25"/>
      <c r="J600" s="24"/>
      <c r="K600" s="24"/>
      <c r="L600" s="24"/>
      <c r="M600" s="24"/>
      <c r="N600" s="24"/>
      <c r="O600" s="24"/>
      <c r="P600" s="24"/>
      <c r="Q600" s="24"/>
      <c r="R600" s="43"/>
      <c r="S600" s="24">
        <v>100</v>
      </c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36"/>
      <c r="AG600" s="36"/>
      <c r="AH600" s="36"/>
      <c r="AI600" s="36"/>
    </row>
    <row r="601" s="1" customFormat="1" customHeight="1" spans="1:35">
      <c r="A601" s="17">
        <v>598</v>
      </c>
      <c r="B601" s="20">
        <v>46135</v>
      </c>
      <c r="C601" s="21" t="s">
        <v>24</v>
      </c>
      <c r="D601" s="22" t="str" cm="1">
        <f t="array" ref="D601">INDEX([1]Sheet2!A:A,MATCH(E601,[1]Sheet2!B:B,0))</f>
        <v>临时</v>
      </c>
      <c r="E601" s="23" t="s">
        <v>99</v>
      </c>
      <c r="F601" s="24">
        <f t="shared" si="10"/>
        <v>195</v>
      </c>
      <c r="G601" s="24" t="s">
        <v>100</v>
      </c>
      <c r="H601" s="36"/>
      <c r="I601" s="36"/>
      <c r="J601" s="24"/>
      <c r="K601" s="24"/>
      <c r="L601" s="24"/>
      <c r="M601" s="24"/>
      <c r="N601" s="24"/>
      <c r="O601" s="24"/>
      <c r="P601" s="24"/>
      <c r="Q601" s="24"/>
      <c r="R601" s="43"/>
      <c r="S601" s="24"/>
      <c r="T601" s="24"/>
      <c r="U601" s="24"/>
      <c r="V601" s="24"/>
      <c r="W601" s="24">
        <v>195</v>
      </c>
      <c r="X601" s="24"/>
      <c r="Y601" s="24"/>
      <c r="Z601" s="24"/>
      <c r="AA601" s="24"/>
      <c r="AB601" s="24"/>
      <c r="AC601" s="24"/>
      <c r="AD601" s="24"/>
      <c r="AE601" s="24"/>
      <c r="AF601" s="36"/>
      <c r="AG601" s="36"/>
      <c r="AH601" s="36"/>
      <c r="AI601" s="36"/>
    </row>
    <row r="602" s="1" customFormat="1" customHeight="1" spans="1:35">
      <c r="A602" s="17">
        <v>599</v>
      </c>
      <c r="B602" s="20">
        <v>46136</v>
      </c>
      <c r="C602" s="21" t="s">
        <v>329</v>
      </c>
      <c r="D602" s="22" t="s">
        <v>620</v>
      </c>
      <c r="E602" s="23" t="s">
        <v>330</v>
      </c>
      <c r="F602" s="24">
        <f t="shared" si="10"/>
        <v>17100</v>
      </c>
      <c r="G602" s="24" t="s">
        <v>40</v>
      </c>
      <c r="H602" s="25">
        <v>46150</v>
      </c>
      <c r="I602" s="25">
        <v>46241</v>
      </c>
      <c r="J602" s="24"/>
      <c r="K602" s="24"/>
      <c r="L602" s="24"/>
      <c r="M602" s="24"/>
      <c r="N602" s="24"/>
      <c r="O602" s="24">
        <v>17100</v>
      </c>
      <c r="P602" s="24"/>
      <c r="Q602" s="24"/>
      <c r="R602" s="43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36"/>
      <c r="AG602" s="36"/>
      <c r="AH602" s="36"/>
      <c r="AI602" s="36"/>
    </row>
    <row r="603" s="2" customFormat="1" customHeight="1" spans="1:35">
      <c r="A603" s="17">
        <v>600</v>
      </c>
      <c r="B603" s="28">
        <v>46136</v>
      </c>
      <c r="C603" s="34" t="s">
        <v>540</v>
      </c>
      <c r="D603" s="30" t="s">
        <v>621</v>
      </c>
      <c r="E603" s="31" t="s">
        <v>622</v>
      </c>
      <c r="F603" s="32">
        <f t="shared" si="10"/>
        <v>61811</v>
      </c>
      <c r="G603" s="32" t="s">
        <v>40</v>
      </c>
      <c r="H603" s="33">
        <v>45982</v>
      </c>
      <c r="I603" s="33">
        <v>46081</v>
      </c>
      <c r="J603" s="32"/>
      <c r="K603" s="32"/>
      <c r="L603" s="32"/>
      <c r="M603" s="32"/>
      <c r="N603" s="32"/>
      <c r="O603" s="32"/>
      <c r="P603" s="32"/>
      <c r="Q603" s="32"/>
      <c r="R603" s="45"/>
      <c r="S603" s="32"/>
      <c r="T603" s="32"/>
      <c r="U603" s="32"/>
      <c r="V603" s="32"/>
      <c r="W603" s="32"/>
      <c r="X603" s="32"/>
      <c r="Y603" s="32"/>
      <c r="Z603" s="32"/>
      <c r="AA603" s="32">
        <v>61811</v>
      </c>
      <c r="AB603" s="32"/>
      <c r="AC603" s="32"/>
      <c r="AD603" s="32"/>
      <c r="AE603" s="32"/>
      <c r="AF603" s="35" t="s">
        <v>60</v>
      </c>
      <c r="AG603" s="35"/>
      <c r="AH603" s="35"/>
      <c r="AI603" s="35"/>
    </row>
    <row r="604" s="1" customFormat="1" customHeight="1" spans="1:35">
      <c r="A604" s="17">
        <v>601</v>
      </c>
      <c r="B604" s="20">
        <v>46136</v>
      </c>
      <c r="C604" s="21" t="s">
        <v>24</v>
      </c>
      <c r="D604" s="22" t="str" cm="1">
        <f t="array" ref="D604">INDEX([1]Sheet2!A:A,MATCH(E604,[1]Sheet2!B:B,0))</f>
        <v>充值</v>
      </c>
      <c r="E604" s="23" t="s">
        <v>72</v>
      </c>
      <c r="F604" s="24">
        <f t="shared" si="10"/>
        <v>900</v>
      </c>
      <c r="G604" s="24" t="s">
        <v>49</v>
      </c>
      <c r="H604" s="36"/>
      <c r="I604" s="36"/>
      <c r="J604" s="24"/>
      <c r="K604" s="24"/>
      <c r="L604" s="24"/>
      <c r="M604" s="24"/>
      <c r="N604" s="24"/>
      <c r="O604" s="24"/>
      <c r="P604" s="24"/>
      <c r="Q604" s="24"/>
      <c r="R604" s="43"/>
      <c r="S604" s="24"/>
      <c r="T604" s="24"/>
      <c r="U604" s="24"/>
      <c r="V604" s="24"/>
      <c r="W604" s="24">
        <v>900</v>
      </c>
      <c r="X604" s="24"/>
      <c r="Y604" s="24"/>
      <c r="Z604" s="24"/>
      <c r="AA604" s="24"/>
      <c r="AB604" s="24"/>
      <c r="AC604" s="24"/>
      <c r="AD604" s="24"/>
      <c r="AE604" s="24"/>
      <c r="AF604" s="36"/>
      <c r="AG604" s="36"/>
      <c r="AH604" s="36"/>
      <c r="AI604" s="36"/>
    </row>
    <row r="605" s="1" customFormat="1" customHeight="1" spans="1:35">
      <c r="A605" s="17">
        <v>602</v>
      </c>
      <c r="B605" s="20">
        <v>46136</v>
      </c>
      <c r="C605" s="21" t="s">
        <v>65</v>
      </c>
      <c r="D605" s="22" t="s">
        <v>62</v>
      </c>
      <c r="E605" s="23" t="s">
        <v>623</v>
      </c>
      <c r="F605" s="24">
        <f t="shared" si="10"/>
        <v>6000</v>
      </c>
      <c r="G605" s="24" t="s">
        <v>49</v>
      </c>
      <c r="H605" s="25">
        <v>46113</v>
      </c>
      <c r="I605" s="25">
        <v>46142</v>
      </c>
      <c r="J605" s="24"/>
      <c r="K605" s="24"/>
      <c r="L605" s="24"/>
      <c r="M605" s="24"/>
      <c r="N605" s="24"/>
      <c r="O605" s="24"/>
      <c r="P605" s="24"/>
      <c r="Q605" s="24"/>
      <c r="R605" s="43"/>
      <c r="S605" s="24"/>
      <c r="T605" s="24"/>
      <c r="U605" s="24"/>
      <c r="V605" s="24"/>
      <c r="W605" s="24"/>
      <c r="X605" s="24"/>
      <c r="Y605" s="24"/>
      <c r="Z605" s="24"/>
      <c r="AA605" s="24">
        <v>6000</v>
      </c>
      <c r="AB605" s="24"/>
      <c r="AC605" s="24"/>
      <c r="AD605" s="24"/>
      <c r="AE605" s="24"/>
      <c r="AF605" s="36"/>
      <c r="AG605" s="36"/>
      <c r="AH605" s="36"/>
      <c r="AI605" s="36"/>
    </row>
    <row r="606" s="1" customFormat="1" customHeight="1" spans="1:35">
      <c r="A606" s="17">
        <v>603</v>
      </c>
      <c r="B606" s="20">
        <v>46136</v>
      </c>
      <c r="C606" s="21" t="s">
        <v>439</v>
      </c>
      <c r="D606" s="68" t="s">
        <v>440</v>
      </c>
      <c r="E606" s="23" t="s">
        <v>441</v>
      </c>
      <c r="F606" s="24">
        <f t="shared" si="10"/>
        <v>4500</v>
      </c>
      <c r="G606" s="24" t="s">
        <v>49</v>
      </c>
      <c r="H606" s="36"/>
      <c r="I606" s="36"/>
      <c r="J606" s="24"/>
      <c r="K606" s="24"/>
      <c r="L606" s="24"/>
      <c r="M606" s="24"/>
      <c r="N606" s="24"/>
      <c r="O606" s="24"/>
      <c r="P606" s="24"/>
      <c r="Q606" s="24"/>
      <c r="R606" s="43"/>
      <c r="S606" s="24"/>
      <c r="T606" s="24">
        <v>2220</v>
      </c>
      <c r="U606" s="24">
        <v>2220</v>
      </c>
      <c r="V606" s="24">
        <v>60</v>
      </c>
      <c r="W606" s="24"/>
      <c r="X606" s="24"/>
      <c r="Y606" s="24"/>
      <c r="Z606" s="24"/>
      <c r="AA606" s="24"/>
      <c r="AB606" s="24"/>
      <c r="AC606" s="24"/>
      <c r="AD606" s="24"/>
      <c r="AE606" s="24"/>
      <c r="AF606" s="36"/>
      <c r="AG606" s="36"/>
      <c r="AH606" s="36"/>
      <c r="AI606" s="36"/>
    </row>
    <row r="607" s="1" customFormat="1" customHeight="1" spans="1:35">
      <c r="A607" s="17">
        <v>604</v>
      </c>
      <c r="B607" s="20">
        <v>46136</v>
      </c>
      <c r="C607" s="21" t="s">
        <v>624</v>
      </c>
      <c r="D607" s="22" t="s">
        <v>625</v>
      </c>
      <c r="E607" s="23" t="s">
        <v>626</v>
      </c>
      <c r="F607" s="24">
        <f t="shared" si="10"/>
        <v>2000</v>
      </c>
      <c r="G607" s="24" t="s">
        <v>49</v>
      </c>
      <c r="H607" s="36"/>
      <c r="I607" s="36"/>
      <c r="J607" s="24"/>
      <c r="K607" s="24"/>
      <c r="L607" s="24"/>
      <c r="M607" s="24"/>
      <c r="N607" s="24"/>
      <c r="O607" s="24"/>
      <c r="P607" s="24"/>
      <c r="Q607" s="24"/>
      <c r="R607" s="43"/>
      <c r="S607" s="24">
        <v>2000</v>
      </c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36"/>
      <c r="AG607" s="36"/>
      <c r="AH607" s="36"/>
      <c r="AI607" s="36"/>
    </row>
    <row r="608" s="1" customFormat="1" customHeight="1" spans="1:35">
      <c r="A608" s="17">
        <v>605</v>
      </c>
      <c r="B608" s="20">
        <v>46136</v>
      </c>
      <c r="C608" s="21" t="s">
        <v>478</v>
      </c>
      <c r="D608" s="22" t="s">
        <v>598</v>
      </c>
      <c r="E608" s="23" t="s">
        <v>599</v>
      </c>
      <c r="F608" s="24">
        <f t="shared" si="10"/>
        <v>8585</v>
      </c>
      <c r="G608" s="24" t="s">
        <v>49</v>
      </c>
      <c r="H608" s="25">
        <v>46143</v>
      </c>
      <c r="I608" s="25">
        <v>46173</v>
      </c>
      <c r="J608" s="24">
        <v>5555</v>
      </c>
      <c r="K608" s="24">
        <v>3030</v>
      </c>
      <c r="L608" s="24"/>
      <c r="M608" s="24"/>
      <c r="N608" s="24"/>
      <c r="O608" s="24"/>
      <c r="P608" s="24"/>
      <c r="Q608" s="24"/>
      <c r="R608" s="43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36"/>
      <c r="AG608" s="36"/>
      <c r="AH608" s="36"/>
      <c r="AI608" s="36"/>
    </row>
    <row r="609" s="1" customFormat="1" customHeight="1" spans="1:35">
      <c r="A609" s="17">
        <v>606</v>
      </c>
      <c r="B609" s="20">
        <v>46136</v>
      </c>
      <c r="C609" s="21" t="s">
        <v>73</v>
      </c>
      <c r="D609" s="22" t="str" cm="1">
        <f t="array" ref="D609">INDEX([1]Sheet2!A:A,MATCH(E609,[1]Sheet2!B:B,0))</f>
        <v>衡阳志扬体育文化有限公司</v>
      </c>
      <c r="E609" s="23" t="s">
        <v>74</v>
      </c>
      <c r="F609" s="24">
        <f t="shared" si="10"/>
        <v>3094</v>
      </c>
      <c r="G609" s="24" t="s">
        <v>49</v>
      </c>
      <c r="H609" s="36"/>
      <c r="I609" s="36"/>
      <c r="J609" s="24"/>
      <c r="K609" s="24"/>
      <c r="L609" s="24"/>
      <c r="M609" s="24"/>
      <c r="N609" s="24"/>
      <c r="O609" s="24"/>
      <c r="P609" s="24"/>
      <c r="Q609" s="24"/>
      <c r="R609" s="43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>
        <v>3094</v>
      </c>
      <c r="AF609" s="36"/>
      <c r="AG609" s="36"/>
      <c r="AH609" s="36"/>
      <c r="AI609" s="36"/>
    </row>
    <row r="610" s="1" customFormat="1" customHeight="1" spans="1:35">
      <c r="A610" s="17">
        <v>607</v>
      </c>
      <c r="B610" s="20">
        <v>46136</v>
      </c>
      <c r="C610" s="21" t="s">
        <v>95</v>
      </c>
      <c r="D610" s="22" t="str" cm="1">
        <f t="array" ref="D610">INDEX([1]Sheet2!A:A,MATCH(E610,[1]Sheet2!B:B,0))</f>
        <v>周建华</v>
      </c>
      <c r="E610" s="23" t="s">
        <v>96</v>
      </c>
      <c r="F610" s="24">
        <f t="shared" si="10"/>
        <v>200</v>
      </c>
      <c r="G610" s="24" t="s">
        <v>77</v>
      </c>
      <c r="H610" s="36"/>
      <c r="I610" s="36"/>
      <c r="J610" s="24"/>
      <c r="K610" s="24"/>
      <c r="L610" s="24"/>
      <c r="M610" s="24"/>
      <c r="N610" s="24"/>
      <c r="O610" s="24"/>
      <c r="P610" s="24"/>
      <c r="Q610" s="24"/>
      <c r="R610" s="43"/>
      <c r="S610" s="24">
        <v>200</v>
      </c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36"/>
      <c r="AG610" s="36"/>
      <c r="AH610" s="36"/>
      <c r="AI610" s="36"/>
    </row>
    <row r="611" s="1" customFormat="1" customHeight="1" spans="1:35">
      <c r="A611" s="17">
        <v>608</v>
      </c>
      <c r="B611" s="20">
        <v>46136</v>
      </c>
      <c r="C611" s="21" t="s">
        <v>113</v>
      </c>
      <c r="D611" s="22" t="str" cm="1">
        <f t="array" ref="D611">INDEX([1]Sheet2!A:A,MATCH(E611,[1]Sheet2!B:B,0))</f>
        <v>湖南亮点体育文化发展有限公司</v>
      </c>
      <c r="E611" s="23" t="s">
        <v>114</v>
      </c>
      <c r="F611" s="24">
        <f t="shared" si="10"/>
        <v>100</v>
      </c>
      <c r="G611" s="24" t="s">
        <v>77</v>
      </c>
      <c r="H611" s="36"/>
      <c r="I611" s="36"/>
      <c r="J611" s="24"/>
      <c r="K611" s="24"/>
      <c r="L611" s="24"/>
      <c r="M611" s="24"/>
      <c r="N611" s="24"/>
      <c r="O611" s="24"/>
      <c r="P611" s="24"/>
      <c r="Q611" s="24"/>
      <c r="R611" s="43"/>
      <c r="S611" s="24">
        <v>100</v>
      </c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36"/>
      <c r="AG611" s="36"/>
      <c r="AH611" s="36"/>
      <c r="AI611" s="36"/>
    </row>
    <row r="612" s="1" customFormat="1" customHeight="1" spans="1:35">
      <c r="A612" s="17">
        <v>609</v>
      </c>
      <c r="B612" s="20">
        <v>46136</v>
      </c>
      <c r="C612" s="21" t="s">
        <v>115</v>
      </c>
      <c r="D612" s="22" t="str" cm="1">
        <f t="array" ref="D612">INDEX([1]Sheet2!A:A,MATCH(E612,[1]Sheet2!B:B,0))</f>
        <v>湖南亮点体育文化发展有限公司</v>
      </c>
      <c r="E612" s="23" t="s">
        <v>116</v>
      </c>
      <c r="F612" s="24">
        <f t="shared" si="10"/>
        <v>300</v>
      </c>
      <c r="G612" s="24" t="s">
        <v>77</v>
      </c>
      <c r="H612" s="36"/>
      <c r="I612" s="36"/>
      <c r="J612" s="24"/>
      <c r="K612" s="24"/>
      <c r="L612" s="24"/>
      <c r="M612" s="24"/>
      <c r="N612" s="24"/>
      <c r="O612" s="24"/>
      <c r="P612" s="24"/>
      <c r="Q612" s="24"/>
      <c r="R612" s="43"/>
      <c r="S612" s="24">
        <v>300</v>
      </c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36"/>
      <c r="AG612" s="36"/>
      <c r="AH612" s="36"/>
      <c r="AI612" s="36"/>
    </row>
    <row r="613" s="1" customFormat="1" customHeight="1" spans="1:35">
      <c r="A613" s="17">
        <v>610</v>
      </c>
      <c r="B613" s="20">
        <v>46136</v>
      </c>
      <c r="C613" s="21" t="s">
        <v>117</v>
      </c>
      <c r="D613" s="22" t="str" cm="1">
        <f t="array" ref="D613">INDEX([1]Sheet2!A:A,MATCH(E613,[1]Sheet2!B:B,0))</f>
        <v>湖南亮点体育文化发展有限公司</v>
      </c>
      <c r="E613" s="23" t="s">
        <v>118</v>
      </c>
      <c r="F613" s="24">
        <f t="shared" si="10"/>
        <v>100</v>
      </c>
      <c r="G613" s="24" t="s">
        <v>77</v>
      </c>
      <c r="H613" s="36"/>
      <c r="I613" s="36"/>
      <c r="J613" s="24"/>
      <c r="K613" s="24"/>
      <c r="L613" s="24"/>
      <c r="M613" s="24"/>
      <c r="N613" s="24"/>
      <c r="O613" s="24"/>
      <c r="P613" s="24"/>
      <c r="Q613" s="24"/>
      <c r="R613" s="43"/>
      <c r="S613" s="24">
        <v>100</v>
      </c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36"/>
      <c r="AG613" s="36"/>
      <c r="AH613" s="36"/>
      <c r="AI613" s="36"/>
    </row>
    <row r="614" s="1" customFormat="1" customHeight="1" spans="1:35">
      <c r="A614" s="17">
        <v>611</v>
      </c>
      <c r="B614" s="20">
        <v>46136</v>
      </c>
      <c r="C614" s="21" t="s">
        <v>119</v>
      </c>
      <c r="D614" s="22" t="str" cm="1">
        <f t="array" ref="D614">INDEX([1]Sheet2!A:A,MATCH(E614,[1]Sheet2!B:B,0))</f>
        <v>湖南亮点体育文化发展有限公司</v>
      </c>
      <c r="E614" s="23" t="s">
        <v>120</v>
      </c>
      <c r="F614" s="24">
        <f t="shared" si="10"/>
        <v>300</v>
      </c>
      <c r="G614" s="24" t="s">
        <v>77</v>
      </c>
      <c r="H614" s="36"/>
      <c r="I614" s="36"/>
      <c r="J614" s="24"/>
      <c r="K614" s="24"/>
      <c r="L614" s="24"/>
      <c r="M614" s="24"/>
      <c r="N614" s="24"/>
      <c r="O614" s="24"/>
      <c r="P614" s="24"/>
      <c r="Q614" s="24"/>
      <c r="R614" s="43"/>
      <c r="S614" s="24">
        <v>300</v>
      </c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36"/>
      <c r="AG614" s="36"/>
      <c r="AH614" s="36"/>
      <c r="AI614" s="36"/>
    </row>
    <row r="615" s="1" customFormat="1" customHeight="1" spans="1:35">
      <c r="A615" s="17">
        <v>612</v>
      </c>
      <c r="B615" s="20">
        <v>46136</v>
      </c>
      <c r="C615" s="21" t="s">
        <v>121</v>
      </c>
      <c r="D615" s="22" t="str" cm="1">
        <f t="array" ref="D615">INDEX([1]Sheet2!A:A,MATCH(E615,[1]Sheet2!B:B,0))</f>
        <v>湖南亮点体育文化发展有限公司</v>
      </c>
      <c r="E615" s="23" t="s">
        <v>122</v>
      </c>
      <c r="F615" s="24">
        <f t="shared" si="10"/>
        <v>100</v>
      </c>
      <c r="G615" s="24" t="s">
        <v>77</v>
      </c>
      <c r="H615" s="36"/>
      <c r="I615" s="36"/>
      <c r="J615" s="24"/>
      <c r="K615" s="24"/>
      <c r="L615" s="24"/>
      <c r="M615" s="24"/>
      <c r="N615" s="24"/>
      <c r="O615" s="24"/>
      <c r="P615" s="24"/>
      <c r="Q615" s="24"/>
      <c r="R615" s="43"/>
      <c r="S615" s="24">
        <v>100</v>
      </c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36"/>
      <c r="AG615" s="36"/>
      <c r="AH615" s="36"/>
      <c r="AI615" s="36"/>
    </row>
    <row r="616" s="1" customFormat="1" customHeight="1" spans="1:35">
      <c r="A616" s="17">
        <v>613</v>
      </c>
      <c r="B616" s="20">
        <v>46136</v>
      </c>
      <c r="C616" s="21" t="s">
        <v>78</v>
      </c>
      <c r="D616" s="22" t="str" cm="1">
        <f t="array" ref="D616">INDEX([1]Sheet2!A:A,MATCH(E616,[1]Sheet2!B:B,0))</f>
        <v>湖南亮点体育文化发展有限公司</v>
      </c>
      <c r="E616" s="23" t="s">
        <v>123</v>
      </c>
      <c r="F616" s="24">
        <f t="shared" si="10"/>
        <v>100</v>
      </c>
      <c r="G616" s="24" t="s">
        <v>77</v>
      </c>
      <c r="H616" s="36"/>
      <c r="I616" s="36"/>
      <c r="J616" s="24"/>
      <c r="K616" s="24"/>
      <c r="L616" s="24"/>
      <c r="M616" s="24"/>
      <c r="N616" s="24"/>
      <c r="O616" s="24"/>
      <c r="P616" s="24"/>
      <c r="Q616" s="24"/>
      <c r="R616" s="43"/>
      <c r="S616" s="24">
        <v>100</v>
      </c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36"/>
      <c r="AG616" s="36"/>
      <c r="AH616" s="36"/>
      <c r="AI616" s="36"/>
    </row>
    <row r="617" s="1" customFormat="1" customHeight="1" spans="1:35">
      <c r="A617" s="17">
        <v>614</v>
      </c>
      <c r="B617" s="20">
        <v>46136</v>
      </c>
      <c r="C617" s="21" t="s">
        <v>197</v>
      </c>
      <c r="D617" s="22" t="str" cm="1">
        <f t="array" ref="D617">INDEX([1]Sheet2!A:A,MATCH(E617,[1]Sheet2!B:B,0))</f>
        <v>湖南亮点体育文化发展有限公司</v>
      </c>
      <c r="E617" s="23" t="s">
        <v>198</v>
      </c>
      <c r="F617" s="24">
        <f t="shared" si="10"/>
        <v>100</v>
      </c>
      <c r="G617" s="24" t="s">
        <v>77</v>
      </c>
      <c r="H617" s="36"/>
      <c r="I617" s="36"/>
      <c r="J617" s="24"/>
      <c r="K617" s="24"/>
      <c r="L617" s="24"/>
      <c r="M617" s="24"/>
      <c r="N617" s="24"/>
      <c r="O617" s="24"/>
      <c r="P617" s="24"/>
      <c r="Q617" s="24"/>
      <c r="R617" s="43"/>
      <c r="S617" s="24">
        <v>100</v>
      </c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36"/>
      <c r="AG617" s="36"/>
      <c r="AH617" s="36"/>
      <c r="AI617" s="36"/>
    </row>
    <row r="618" s="1" customFormat="1" customHeight="1" spans="1:35">
      <c r="A618" s="17">
        <v>615</v>
      </c>
      <c r="B618" s="20">
        <v>46136</v>
      </c>
      <c r="C618" s="21" t="s">
        <v>107</v>
      </c>
      <c r="D618" s="22" t="str" cm="1">
        <f t="array" ref="D618">INDEX([1]Sheet2!A:A,MATCH(E618,[1]Sheet2!B:B,0))</f>
        <v>陈捷</v>
      </c>
      <c r="E618" s="23" t="s">
        <v>108</v>
      </c>
      <c r="F618" s="24">
        <f t="shared" si="10"/>
        <v>500</v>
      </c>
      <c r="G618" s="24" t="s">
        <v>77</v>
      </c>
      <c r="H618" s="36"/>
      <c r="I618" s="36"/>
      <c r="J618" s="24"/>
      <c r="K618" s="24"/>
      <c r="L618" s="24"/>
      <c r="M618" s="24"/>
      <c r="N618" s="24"/>
      <c r="O618" s="24"/>
      <c r="P618" s="24"/>
      <c r="Q618" s="24"/>
      <c r="R618" s="43"/>
      <c r="S618" s="24">
        <v>500</v>
      </c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36"/>
      <c r="AG618" s="36"/>
      <c r="AH618" s="36"/>
      <c r="AI618" s="36"/>
    </row>
    <row r="619" s="1" customFormat="1" customHeight="1" spans="1:35">
      <c r="A619" s="17">
        <v>616</v>
      </c>
      <c r="B619" s="20">
        <v>46136</v>
      </c>
      <c r="C619" s="21" t="s">
        <v>84</v>
      </c>
      <c r="D619" s="22" t="str" cm="1">
        <f t="array" ref="D619">INDEX([1]Sheet2!A:A,MATCH(E619,[1]Sheet2!B:B,0))</f>
        <v>莫靖凡</v>
      </c>
      <c r="E619" s="23" t="s">
        <v>85</v>
      </c>
      <c r="F619" s="24">
        <f t="shared" si="10"/>
        <v>50</v>
      </c>
      <c r="G619" s="24" t="s">
        <v>77</v>
      </c>
      <c r="H619" s="36"/>
      <c r="I619" s="36"/>
      <c r="J619" s="24"/>
      <c r="K619" s="24"/>
      <c r="L619" s="24"/>
      <c r="M619" s="24"/>
      <c r="N619" s="24"/>
      <c r="O619" s="24"/>
      <c r="P619" s="24"/>
      <c r="Q619" s="24"/>
      <c r="R619" s="43"/>
      <c r="S619" s="24">
        <v>50</v>
      </c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36"/>
      <c r="AG619" s="36"/>
      <c r="AH619" s="36"/>
      <c r="AI619" s="36"/>
    </row>
    <row r="620" s="1" customFormat="1" customHeight="1" spans="1:35">
      <c r="A620" s="17">
        <v>617</v>
      </c>
      <c r="B620" s="20">
        <v>46136</v>
      </c>
      <c r="C620" s="21" t="s">
        <v>423</v>
      </c>
      <c r="D620" s="22" t="str" cm="1">
        <f t="array" ref="D620">INDEX([1]Sheet2!A:A,MATCH(E620,[1]Sheet2!B:B,0))</f>
        <v>唐歆</v>
      </c>
      <c r="E620" s="23" t="s">
        <v>424</v>
      </c>
      <c r="F620" s="24">
        <f t="shared" si="10"/>
        <v>2000</v>
      </c>
      <c r="G620" s="24" t="s">
        <v>77</v>
      </c>
      <c r="H620" s="36"/>
      <c r="I620" s="36"/>
      <c r="J620" s="24"/>
      <c r="K620" s="24"/>
      <c r="L620" s="24"/>
      <c r="M620" s="24"/>
      <c r="N620" s="24"/>
      <c r="O620" s="24"/>
      <c r="P620" s="24"/>
      <c r="Q620" s="24"/>
      <c r="R620" s="43"/>
      <c r="S620" s="24">
        <v>2000</v>
      </c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36"/>
      <c r="AG620" s="36"/>
      <c r="AH620" s="36"/>
      <c r="AI620" s="36"/>
    </row>
    <row r="621" s="1" customFormat="1" customHeight="1" spans="1:35">
      <c r="A621" s="17">
        <v>618</v>
      </c>
      <c r="B621" s="20">
        <v>46136</v>
      </c>
      <c r="C621" s="21" t="s">
        <v>199</v>
      </c>
      <c r="D621" s="22" t="str" cm="1">
        <f t="array" ref="D621">INDEX([1]Sheet2!A:A,MATCH(E621,[1]Sheet2!B:B,0))</f>
        <v>唐向群</v>
      </c>
      <c r="E621" s="23" t="s">
        <v>200</v>
      </c>
      <c r="F621" s="24">
        <f t="shared" si="10"/>
        <v>1000</v>
      </c>
      <c r="G621" s="24" t="s">
        <v>77</v>
      </c>
      <c r="H621" s="36"/>
      <c r="I621" s="36"/>
      <c r="J621" s="24"/>
      <c r="K621" s="24"/>
      <c r="L621" s="24"/>
      <c r="M621" s="24"/>
      <c r="N621" s="24"/>
      <c r="O621" s="24"/>
      <c r="P621" s="24"/>
      <c r="Q621" s="24"/>
      <c r="R621" s="43"/>
      <c r="S621" s="24">
        <v>1000</v>
      </c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36"/>
      <c r="AG621" s="36"/>
      <c r="AH621" s="36"/>
      <c r="AI621" s="36"/>
    </row>
    <row r="622" s="1" customFormat="1" customHeight="1" spans="1:35">
      <c r="A622" s="17">
        <v>619</v>
      </c>
      <c r="B622" s="20">
        <v>46136</v>
      </c>
      <c r="C622" s="21" t="s">
        <v>173</v>
      </c>
      <c r="D622" s="22" t="str" cm="1">
        <f t="array" ref="D622">INDEX([1]Sheet2!A:A,MATCH(E622,[1]Sheet2!B:B,0))</f>
        <v>王成宁</v>
      </c>
      <c r="E622" s="23" t="s">
        <v>174</v>
      </c>
      <c r="F622" s="24">
        <f t="shared" si="10"/>
        <v>500</v>
      </c>
      <c r="G622" s="24" t="s">
        <v>77</v>
      </c>
      <c r="H622" s="36"/>
      <c r="I622" s="36"/>
      <c r="J622" s="24"/>
      <c r="K622" s="24"/>
      <c r="L622" s="24"/>
      <c r="M622" s="24"/>
      <c r="N622" s="24"/>
      <c r="O622" s="24"/>
      <c r="P622" s="24"/>
      <c r="Q622" s="24"/>
      <c r="R622" s="43"/>
      <c r="S622" s="24">
        <v>500</v>
      </c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36"/>
      <c r="AG622" s="36"/>
      <c r="AH622" s="36"/>
      <c r="AI622" s="36"/>
    </row>
    <row r="623" s="1" customFormat="1" customHeight="1" spans="1:35">
      <c r="A623" s="17">
        <v>620</v>
      </c>
      <c r="B623" s="20">
        <v>46136</v>
      </c>
      <c r="C623" s="21" t="s">
        <v>216</v>
      </c>
      <c r="D623" s="22" t="str" cm="1">
        <f t="array" ref="D623">INDEX([1]Sheet2!A:A,MATCH(E623,[1]Sheet2!B:B,0))</f>
        <v>肖超杰</v>
      </c>
      <c r="E623" s="23" t="s">
        <v>627</v>
      </c>
      <c r="F623" s="24">
        <f t="shared" si="10"/>
        <v>4000</v>
      </c>
      <c r="G623" s="24" t="s">
        <v>77</v>
      </c>
      <c r="H623" s="36"/>
      <c r="I623" s="36"/>
      <c r="J623" s="24"/>
      <c r="K623" s="24"/>
      <c r="L623" s="24"/>
      <c r="M623" s="24"/>
      <c r="N623" s="24"/>
      <c r="O623" s="24"/>
      <c r="P623" s="24"/>
      <c r="Q623" s="24"/>
      <c r="R623" s="43"/>
      <c r="S623" s="24">
        <v>4000</v>
      </c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36"/>
      <c r="AG623" s="36"/>
      <c r="AH623" s="36"/>
      <c r="AI623" s="36"/>
    </row>
    <row r="624" s="1" customFormat="1" customHeight="1" spans="1:35">
      <c r="A624" s="17">
        <v>621</v>
      </c>
      <c r="B624" s="20">
        <v>46136</v>
      </c>
      <c r="C624" s="21" t="s">
        <v>427</v>
      </c>
      <c r="D624" s="22" t="str" cm="1">
        <f t="array" ref="D624">INDEX([1]Sheet2!A:A,MATCH(E624,[1]Sheet2!B:B,0))</f>
        <v>林祥富</v>
      </c>
      <c r="E624" s="23" t="s">
        <v>429</v>
      </c>
      <c r="F624" s="24">
        <f t="shared" si="10"/>
        <v>500</v>
      </c>
      <c r="G624" s="24" t="s">
        <v>77</v>
      </c>
      <c r="H624" s="36"/>
      <c r="I624" s="36"/>
      <c r="J624" s="24"/>
      <c r="K624" s="24"/>
      <c r="L624" s="24"/>
      <c r="M624" s="24"/>
      <c r="N624" s="24"/>
      <c r="O624" s="24"/>
      <c r="P624" s="24"/>
      <c r="Q624" s="24"/>
      <c r="R624" s="43"/>
      <c r="S624" s="24">
        <v>500</v>
      </c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36"/>
      <c r="AG624" s="36"/>
      <c r="AH624" s="36"/>
      <c r="AI624" s="36"/>
    </row>
    <row r="625" s="1" customFormat="1" customHeight="1" spans="1:35">
      <c r="A625" s="17">
        <v>622</v>
      </c>
      <c r="B625" s="20">
        <v>46136</v>
      </c>
      <c r="C625" s="21" t="s">
        <v>628</v>
      </c>
      <c r="D625" s="22" t="str" cm="1">
        <f t="array" ref="D625">INDEX([1]Sheet2!A:A,MATCH(E625,[1]Sheet2!B:B,0))</f>
        <v>黎合</v>
      </c>
      <c r="E625" s="23" t="s">
        <v>629</v>
      </c>
      <c r="F625" s="24">
        <f t="shared" si="10"/>
        <v>10</v>
      </c>
      <c r="G625" s="24" t="s">
        <v>77</v>
      </c>
      <c r="H625" s="36"/>
      <c r="I625" s="36"/>
      <c r="J625" s="24"/>
      <c r="K625" s="24"/>
      <c r="L625" s="24"/>
      <c r="M625" s="24"/>
      <c r="N625" s="24"/>
      <c r="O625" s="24"/>
      <c r="P625" s="24"/>
      <c r="Q625" s="24"/>
      <c r="R625" s="43"/>
      <c r="S625" s="24">
        <v>10</v>
      </c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36"/>
      <c r="AG625" s="36"/>
      <c r="AH625" s="36"/>
      <c r="AI625" s="36"/>
    </row>
    <row r="626" s="1" customFormat="1" customHeight="1" spans="1:35">
      <c r="A626" s="17">
        <v>623</v>
      </c>
      <c r="B626" s="20">
        <v>46136</v>
      </c>
      <c r="C626" s="21" t="s">
        <v>425</v>
      </c>
      <c r="D626" s="22" t="str" cm="1">
        <f t="array" ref="D626">INDEX([1]Sheet2!A:A,MATCH(E626,[1]Sheet2!B:B,0))</f>
        <v>杨帅</v>
      </c>
      <c r="E626" s="23" t="s">
        <v>426</v>
      </c>
      <c r="F626" s="24">
        <f t="shared" si="10"/>
        <v>100</v>
      </c>
      <c r="G626" s="24" t="s">
        <v>77</v>
      </c>
      <c r="H626" s="36"/>
      <c r="I626" s="36"/>
      <c r="J626" s="24"/>
      <c r="K626" s="24"/>
      <c r="L626" s="24"/>
      <c r="M626" s="24"/>
      <c r="N626" s="24"/>
      <c r="O626" s="24"/>
      <c r="P626" s="24"/>
      <c r="Q626" s="24"/>
      <c r="R626" s="43"/>
      <c r="S626" s="24">
        <v>100</v>
      </c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36"/>
      <c r="AG626" s="36"/>
      <c r="AH626" s="36"/>
      <c r="AI626" s="36"/>
    </row>
    <row r="627" s="1" customFormat="1" customHeight="1" spans="1:35">
      <c r="A627" s="17">
        <v>624</v>
      </c>
      <c r="B627" s="20">
        <v>46136</v>
      </c>
      <c r="C627" s="21" t="s">
        <v>139</v>
      </c>
      <c r="D627" s="22" t="str" cm="1">
        <f t="array" ref="D627">INDEX([1]Sheet2!A:A,MATCH(E627,[1]Sheet2!B:B,0))</f>
        <v>罗文霞</v>
      </c>
      <c r="E627" s="23" t="s">
        <v>140</v>
      </c>
      <c r="F627" s="24">
        <f t="shared" si="10"/>
        <v>200</v>
      </c>
      <c r="G627" s="24" t="s">
        <v>77</v>
      </c>
      <c r="H627" s="36"/>
      <c r="I627" s="36"/>
      <c r="J627" s="24"/>
      <c r="K627" s="24"/>
      <c r="L627" s="24"/>
      <c r="M627" s="24"/>
      <c r="N627" s="24"/>
      <c r="O627" s="24"/>
      <c r="P627" s="24"/>
      <c r="Q627" s="24"/>
      <c r="R627" s="43"/>
      <c r="S627" s="24">
        <v>200</v>
      </c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36"/>
      <c r="AG627" s="36"/>
      <c r="AH627" s="36"/>
      <c r="AI627" s="36"/>
    </row>
    <row r="628" s="1" customFormat="1" customHeight="1" spans="1:35">
      <c r="A628" s="17">
        <v>625</v>
      </c>
      <c r="B628" s="20">
        <v>46136</v>
      </c>
      <c r="C628" s="21" t="s">
        <v>24</v>
      </c>
      <c r="D628" s="22" t="str" cm="1">
        <f t="array" ref="D628">INDEX([1]Sheet2!A:A,MATCH(E628,[1]Sheet2!B:B,0))</f>
        <v>临时</v>
      </c>
      <c r="E628" s="23" t="s">
        <v>99</v>
      </c>
      <c r="F628" s="24">
        <f t="shared" si="10"/>
        <v>294</v>
      </c>
      <c r="G628" s="24" t="s">
        <v>100</v>
      </c>
      <c r="H628" s="36"/>
      <c r="I628" s="36"/>
      <c r="J628" s="24"/>
      <c r="K628" s="24"/>
      <c r="L628" s="24"/>
      <c r="M628" s="24"/>
      <c r="N628" s="24"/>
      <c r="O628" s="24"/>
      <c r="P628" s="24"/>
      <c r="Q628" s="24"/>
      <c r="R628" s="43"/>
      <c r="S628" s="24"/>
      <c r="T628" s="24"/>
      <c r="U628" s="24"/>
      <c r="V628" s="24"/>
      <c r="W628" s="24">
        <v>294</v>
      </c>
      <c r="X628" s="24"/>
      <c r="Y628" s="24"/>
      <c r="Z628" s="24"/>
      <c r="AA628" s="24"/>
      <c r="AB628" s="24"/>
      <c r="AC628" s="24"/>
      <c r="AD628" s="24"/>
      <c r="AE628" s="24"/>
      <c r="AF628" s="36"/>
      <c r="AG628" s="36"/>
      <c r="AH628" s="36"/>
      <c r="AI628" s="36"/>
    </row>
    <row r="629" s="1" customFormat="1" customHeight="1" spans="1:35">
      <c r="A629" s="17">
        <v>626</v>
      </c>
      <c r="B629" s="20">
        <v>46137</v>
      </c>
      <c r="C629" s="21" t="s">
        <v>449</v>
      </c>
      <c r="D629" s="22" t="s">
        <v>630</v>
      </c>
      <c r="E629" s="23" t="s">
        <v>631</v>
      </c>
      <c r="F629" s="24">
        <f t="shared" si="10"/>
        <v>38220</v>
      </c>
      <c r="G629" s="24" t="s">
        <v>40</v>
      </c>
      <c r="H629" s="25">
        <v>46143</v>
      </c>
      <c r="I629" s="25">
        <v>46234</v>
      </c>
      <c r="J629" s="24">
        <v>11760</v>
      </c>
      <c r="K629" s="24">
        <v>26460</v>
      </c>
      <c r="L629" s="24"/>
      <c r="M629" s="24"/>
      <c r="N629" s="24"/>
      <c r="O629" s="24"/>
      <c r="P629" s="24"/>
      <c r="Q629" s="24"/>
      <c r="R629" s="43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36"/>
      <c r="AG629" s="36"/>
      <c r="AH629" s="36"/>
      <c r="AI629" s="36"/>
    </row>
    <row r="630" s="1" customFormat="1" customHeight="1" spans="1:35">
      <c r="A630" s="17">
        <v>627</v>
      </c>
      <c r="B630" s="20">
        <v>46137</v>
      </c>
      <c r="C630" s="21" t="s">
        <v>449</v>
      </c>
      <c r="D630" s="22" t="s">
        <v>630</v>
      </c>
      <c r="E630" s="23" t="s">
        <v>631</v>
      </c>
      <c r="F630" s="24">
        <f t="shared" si="10"/>
        <v>350</v>
      </c>
      <c r="G630" s="24" t="s">
        <v>40</v>
      </c>
      <c r="H630" s="25">
        <v>46054</v>
      </c>
      <c r="I630" s="25">
        <v>46142</v>
      </c>
      <c r="J630" s="25"/>
      <c r="K630" s="24">
        <v>350</v>
      </c>
      <c r="L630" s="24"/>
      <c r="M630" s="24"/>
      <c r="N630" s="24"/>
      <c r="O630" s="24"/>
      <c r="P630" s="24"/>
      <c r="Q630" s="24"/>
      <c r="R630" s="43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36"/>
      <c r="AG630" s="36"/>
      <c r="AH630" s="36"/>
      <c r="AI630" s="36"/>
    </row>
    <row r="631" s="1" customFormat="1" customHeight="1" spans="1:35">
      <c r="A631" s="17">
        <v>628</v>
      </c>
      <c r="B631" s="20">
        <v>46137</v>
      </c>
      <c r="C631" s="21" t="s">
        <v>131</v>
      </c>
      <c r="D631" s="22" t="s">
        <v>379</v>
      </c>
      <c r="E631" s="23" t="s">
        <v>132</v>
      </c>
      <c r="F631" s="24">
        <f t="shared" si="10"/>
        <v>500</v>
      </c>
      <c r="G631" s="24" t="s">
        <v>49</v>
      </c>
      <c r="H631" s="36"/>
      <c r="I631" s="36"/>
      <c r="J631" s="24"/>
      <c r="K631" s="24"/>
      <c r="L631" s="24"/>
      <c r="M631" s="24"/>
      <c r="N631" s="24"/>
      <c r="O631" s="24"/>
      <c r="P631" s="24"/>
      <c r="Q631" s="24"/>
      <c r="R631" s="43" t="s">
        <v>632</v>
      </c>
      <c r="S631" s="24">
        <v>500</v>
      </c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36"/>
      <c r="AG631" s="36"/>
      <c r="AH631" s="36"/>
      <c r="AI631" s="36"/>
    </row>
    <row r="632" s="1" customFormat="1" customHeight="1" spans="1:35">
      <c r="A632" s="17">
        <v>629</v>
      </c>
      <c r="B632" s="20">
        <v>46137</v>
      </c>
      <c r="C632" s="21" t="s">
        <v>633</v>
      </c>
      <c r="D632" s="22" t="s">
        <v>634</v>
      </c>
      <c r="E632" s="21" t="s">
        <v>25</v>
      </c>
      <c r="F632" s="24">
        <f t="shared" si="10"/>
        <v>20000</v>
      </c>
      <c r="G632" s="24" t="s">
        <v>49</v>
      </c>
      <c r="H632" s="36"/>
      <c r="I632" s="36"/>
      <c r="J632" s="24"/>
      <c r="K632" s="24"/>
      <c r="L632" s="24"/>
      <c r="M632" s="24"/>
      <c r="N632" s="24"/>
      <c r="O632" s="24"/>
      <c r="P632" s="24"/>
      <c r="Q632" s="24"/>
      <c r="R632" s="43"/>
      <c r="S632" s="24"/>
      <c r="T632" s="24"/>
      <c r="U632" s="24"/>
      <c r="V632" s="24"/>
      <c r="W632" s="24"/>
      <c r="X632" s="24">
        <v>20000</v>
      </c>
      <c r="Y632" s="24"/>
      <c r="Z632" s="24"/>
      <c r="AA632" s="24"/>
      <c r="AB632" s="24"/>
      <c r="AC632" s="24"/>
      <c r="AD632" s="24"/>
      <c r="AE632" s="24"/>
      <c r="AF632" s="36"/>
      <c r="AG632" s="36"/>
      <c r="AH632" s="36"/>
      <c r="AI632" s="36"/>
    </row>
    <row r="633" s="1" customFormat="1" customHeight="1" spans="1:35">
      <c r="A633" s="17">
        <v>630</v>
      </c>
      <c r="B633" s="20">
        <v>46137</v>
      </c>
      <c r="C633" s="21" t="s">
        <v>24</v>
      </c>
      <c r="D633" s="22" t="str" cm="1">
        <f t="array" ref="D633">INDEX([1]Sheet2!A:A,MATCH(E633,[1]Sheet2!B:B,0))</f>
        <v>充值</v>
      </c>
      <c r="E633" s="23" t="s">
        <v>72</v>
      </c>
      <c r="F633" s="24">
        <f t="shared" si="10"/>
        <v>150</v>
      </c>
      <c r="G633" s="24" t="s">
        <v>49</v>
      </c>
      <c r="H633" s="36"/>
      <c r="I633" s="36"/>
      <c r="J633" s="24"/>
      <c r="K633" s="24"/>
      <c r="L633" s="24"/>
      <c r="M633" s="24"/>
      <c r="N633" s="24"/>
      <c r="O633" s="24"/>
      <c r="P633" s="24"/>
      <c r="Q633" s="24"/>
      <c r="R633" s="43"/>
      <c r="S633" s="24"/>
      <c r="T633" s="24"/>
      <c r="U633" s="24"/>
      <c r="V633" s="24"/>
      <c r="W633" s="24">
        <v>150</v>
      </c>
      <c r="X633" s="24"/>
      <c r="Y633" s="24"/>
      <c r="Z633" s="24"/>
      <c r="AA633" s="24"/>
      <c r="AB633" s="24"/>
      <c r="AC633" s="24"/>
      <c r="AD633" s="24"/>
      <c r="AE633" s="24"/>
      <c r="AF633" s="36"/>
      <c r="AG633" s="36"/>
      <c r="AH633" s="36"/>
      <c r="AI633" s="36"/>
    </row>
    <row r="634" s="1" customFormat="1" customHeight="1" spans="1:35">
      <c r="A634" s="17">
        <v>631</v>
      </c>
      <c r="B634" s="20">
        <v>46137</v>
      </c>
      <c r="C634" s="21" t="s">
        <v>559</v>
      </c>
      <c r="D634" s="22" t="str" cm="1">
        <f t="array" ref="D634">INDEX([1]Sheet2!A:A,MATCH(E634,[1]Sheet2!B:B,0))</f>
        <v>李雪亮</v>
      </c>
      <c r="E634" s="23" t="s">
        <v>560</v>
      </c>
      <c r="F634" s="24">
        <f t="shared" si="10"/>
        <v>300</v>
      </c>
      <c r="G634" s="24" t="s">
        <v>49</v>
      </c>
      <c r="H634" s="25"/>
      <c r="I634" s="25"/>
      <c r="J634" s="24"/>
      <c r="K634" s="24"/>
      <c r="L634" s="24"/>
      <c r="M634" s="24"/>
      <c r="N634" s="24"/>
      <c r="O634" s="24"/>
      <c r="P634" s="24"/>
      <c r="Q634" s="24"/>
      <c r="R634" s="43"/>
      <c r="S634" s="24">
        <v>300</v>
      </c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36"/>
      <c r="AG634" s="36"/>
      <c r="AH634" s="36"/>
      <c r="AI634" s="36"/>
    </row>
    <row r="635" s="1" customFormat="1" customHeight="1" spans="1:35">
      <c r="A635" s="17">
        <v>632</v>
      </c>
      <c r="B635" s="20">
        <v>46137</v>
      </c>
      <c r="C635" s="21" t="s">
        <v>73</v>
      </c>
      <c r="D635" s="22" t="str" cm="1">
        <f t="array" ref="D635">INDEX([1]Sheet2!A:A,MATCH(E635,[1]Sheet2!B:B,0))</f>
        <v>衡阳志扬体育文化有限公司</v>
      </c>
      <c r="E635" s="23" t="s">
        <v>74</v>
      </c>
      <c r="F635" s="24">
        <f t="shared" si="10"/>
        <v>2742</v>
      </c>
      <c r="G635" s="24" t="s">
        <v>49</v>
      </c>
      <c r="H635" s="25"/>
      <c r="I635" s="25"/>
      <c r="J635" s="24"/>
      <c r="K635" s="24"/>
      <c r="L635" s="24"/>
      <c r="M635" s="24"/>
      <c r="N635" s="24"/>
      <c r="O635" s="24"/>
      <c r="P635" s="24"/>
      <c r="Q635" s="24"/>
      <c r="R635" s="43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>
        <v>2742</v>
      </c>
      <c r="AF635" s="36"/>
      <c r="AG635" s="36"/>
      <c r="AH635" s="36"/>
      <c r="AI635" s="36"/>
    </row>
    <row r="636" s="1" customFormat="1" customHeight="1" spans="1:35">
      <c r="A636" s="17">
        <v>633</v>
      </c>
      <c r="B636" s="20">
        <v>46137</v>
      </c>
      <c r="C636" s="21" t="s">
        <v>97</v>
      </c>
      <c r="D636" s="22" t="str" cm="1">
        <f t="array" ref="D636">INDEX([1]Sheet2!A:A,MATCH(E636,[1]Sheet2!B:B,0))</f>
        <v>黎合</v>
      </c>
      <c r="E636" s="23" t="s">
        <v>98</v>
      </c>
      <c r="F636" s="24">
        <f t="shared" si="10"/>
        <v>20</v>
      </c>
      <c r="G636" s="24" t="s">
        <v>77</v>
      </c>
      <c r="H636" s="25"/>
      <c r="I636" s="25"/>
      <c r="J636" s="24"/>
      <c r="K636" s="24"/>
      <c r="L636" s="24"/>
      <c r="M636" s="24"/>
      <c r="N636" s="24"/>
      <c r="O636" s="24"/>
      <c r="P636" s="24"/>
      <c r="Q636" s="24"/>
      <c r="R636" s="43"/>
      <c r="S636" s="24">
        <v>20</v>
      </c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36"/>
      <c r="AG636" s="36"/>
      <c r="AH636" s="36"/>
      <c r="AI636" s="36"/>
    </row>
    <row r="637" s="1" customFormat="1" customHeight="1" spans="1:35">
      <c r="A637" s="17">
        <v>634</v>
      </c>
      <c r="B637" s="20">
        <v>46137</v>
      </c>
      <c r="C637" s="21" t="s">
        <v>67</v>
      </c>
      <c r="D637" s="22" t="s">
        <v>68</v>
      </c>
      <c r="E637" s="23" t="s">
        <v>635</v>
      </c>
      <c r="F637" s="24">
        <f t="shared" si="10"/>
        <v>100</v>
      </c>
      <c r="G637" s="24" t="s">
        <v>77</v>
      </c>
      <c r="H637" s="25"/>
      <c r="I637" s="25"/>
      <c r="J637" s="24"/>
      <c r="K637" s="24"/>
      <c r="L637" s="24"/>
      <c r="M637" s="24"/>
      <c r="N637" s="24"/>
      <c r="O637" s="24"/>
      <c r="P637" s="24"/>
      <c r="Q637" s="24"/>
      <c r="R637" s="43"/>
      <c r="S637" s="24">
        <v>100</v>
      </c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36"/>
      <c r="AG637" s="36"/>
      <c r="AH637" s="36"/>
      <c r="AI637" s="36"/>
    </row>
    <row r="638" s="1" customFormat="1" customHeight="1" spans="1:35">
      <c r="A638" s="17">
        <v>635</v>
      </c>
      <c r="B638" s="20">
        <v>46137</v>
      </c>
      <c r="C638" s="21" t="s">
        <v>84</v>
      </c>
      <c r="D638" s="22" t="str" cm="1">
        <f t="array" ref="D638">INDEX([1]Sheet2!A:A,MATCH(E638,[1]Sheet2!B:B,0))</f>
        <v>莫靖凡</v>
      </c>
      <c r="E638" s="23" t="s">
        <v>85</v>
      </c>
      <c r="F638" s="24">
        <f t="shared" si="10"/>
        <v>50</v>
      </c>
      <c r="G638" s="24" t="s">
        <v>77</v>
      </c>
      <c r="H638" s="25"/>
      <c r="I638" s="25"/>
      <c r="J638" s="24"/>
      <c r="K638" s="24"/>
      <c r="L638" s="24"/>
      <c r="M638" s="24"/>
      <c r="N638" s="24"/>
      <c r="O638" s="24"/>
      <c r="P638" s="24"/>
      <c r="Q638" s="24"/>
      <c r="R638" s="43"/>
      <c r="S638" s="24">
        <v>50</v>
      </c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36"/>
      <c r="AG638" s="36"/>
      <c r="AH638" s="36"/>
      <c r="AI638" s="36"/>
    </row>
    <row r="639" s="1" customFormat="1" customHeight="1" spans="1:35">
      <c r="A639" s="17">
        <v>636</v>
      </c>
      <c r="B639" s="20">
        <v>46137</v>
      </c>
      <c r="C639" s="21" t="s">
        <v>135</v>
      </c>
      <c r="D639" s="22" t="str" cm="1">
        <f t="array" ref="D639">INDEX([1]Sheet2!A:A,MATCH(E639,[1]Sheet2!B:B,0))</f>
        <v>周军伟</v>
      </c>
      <c r="E639" s="23" t="s">
        <v>136</v>
      </c>
      <c r="F639" s="24">
        <f t="shared" si="10"/>
        <v>100</v>
      </c>
      <c r="G639" s="24" t="s">
        <v>77</v>
      </c>
      <c r="H639" s="25"/>
      <c r="I639" s="25"/>
      <c r="J639" s="24"/>
      <c r="K639" s="24"/>
      <c r="L639" s="24"/>
      <c r="M639" s="24"/>
      <c r="N639" s="24"/>
      <c r="O639" s="24"/>
      <c r="P639" s="24"/>
      <c r="Q639" s="24"/>
      <c r="R639" s="43"/>
      <c r="S639" s="24">
        <v>100</v>
      </c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36"/>
      <c r="AG639" s="36"/>
      <c r="AH639" s="36"/>
      <c r="AI639" s="36"/>
    </row>
    <row r="640" s="1" customFormat="1" customHeight="1" spans="1:35">
      <c r="A640" s="17">
        <v>637</v>
      </c>
      <c r="B640" s="20">
        <v>46137</v>
      </c>
      <c r="C640" s="21" t="s">
        <v>408</v>
      </c>
      <c r="D640" s="22" t="str" cm="1">
        <f t="array" ref="D640">INDEX([1]Sheet2!A:A,MATCH(E640,[1]Sheet2!B:B,0))</f>
        <v>朱为星</v>
      </c>
      <c r="E640" s="23" t="s">
        <v>409</v>
      </c>
      <c r="F640" s="24">
        <f t="shared" si="10"/>
        <v>500</v>
      </c>
      <c r="G640" s="24" t="s">
        <v>77</v>
      </c>
      <c r="H640" s="25"/>
      <c r="I640" s="25"/>
      <c r="J640" s="24"/>
      <c r="K640" s="24"/>
      <c r="L640" s="24"/>
      <c r="M640" s="24"/>
      <c r="N640" s="24"/>
      <c r="O640" s="24"/>
      <c r="P640" s="24"/>
      <c r="Q640" s="24"/>
      <c r="R640" s="43"/>
      <c r="S640" s="24">
        <v>500</v>
      </c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36"/>
      <c r="AG640" s="36"/>
      <c r="AH640" s="36"/>
      <c r="AI640" s="36"/>
    </row>
    <row r="641" s="1" customFormat="1" customHeight="1" spans="1:35">
      <c r="A641" s="17">
        <v>638</v>
      </c>
      <c r="B641" s="20">
        <v>46137</v>
      </c>
      <c r="C641" s="21" t="s">
        <v>636</v>
      </c>
      <c r="D641" s="22" t="str" cm="1">
        <f t="array" ref="D641">INDEX([1]Sheet2!A:A,MATCH(E641,[1]Sheet2!B:B,0))</f>
        <v>衡阳市一本文化传播有限公司</v>
      </c>
      <c r="E641" s="23" t="s">
        <v>637</v>
      </c>
      <c r="F641" s="24">
        <f t="shared" si="10"/>
        <v>500</v>
      </c>
      <c r="G641" s="24" t="s">
        <v>77</v>
      </c>
      <c r="H641" s="25"/>
      <c r="I641" s="25"/>
      <c r="J641" s="24"/>
      <c r="K641" s="24"/>
      <c r="L641" s="24"/>
      <c r="M641" s="24"/>
      <c r="N641" s="24"/>
      <c r="O641" s="24"/>
      <c r="P641" s="24"/>
      <c r="Q641" s="24"/>
      <c r="R641" s="43"/>
      <c r="S641" s="24">
        <v>500</v>
      </c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36"/>
      <c r="AG641" s="36"/>
      <c r="AH641" s="36"/>
      <c r="AI641" s="36"/>
    </row>
    <row r="642" s="1" customFormat="1" customHeight="1" spans="1:35">
      <c r="A642" s="17">
        <v>639</v>
      </c>
      <c r="B642" s="20">
        <v>46137</v>
      </c>
      <c r="C642" s="21" t="s">
        <v>158</v>
      </c>
      <c r="D642" s="22" t="str" cm="1">
        <f t="array" ref="D642">INDEX([1]Sheet2!A:A,MATCH(E642,[1]Sheet2!B:B,0))</f>
        <v>刘香</v>
      </c>
      <c r="E642" s="23" t="s">
        <v>159</v>
      </c>
      <c r="F642" s="24">
        <f t="shared" si="10"/>
        <v>1000</v>
      </c>
      <c r="G642" s="24" t="s">
        <v>77</v>
      </c>
      <c r="H642" s="25"/>
      <c r="I642" s="25"/>
      <c r="J642" s="24"/>
      <c r="K642" s="24"/>
      <c r="L642" s="24"/>
      <c r="M642" s="24"/>
      <c r="N642" s="24"/>
      <c r="O642" s="24"/>
      <c r="P642" s="24"/>
      <c r="Q642" s="24"/>
      <c r="R642" s="43"/>
      <c r="S642" s="24">
        <v>1000</v>
      </c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36"/>
      <c r="AG642" s="36"/>
      <c r="AH642" s="36"/>
      <c r="AI642" s="36"/>
    </row>
    <row r="643" s="1" customFormat="1" customHeight="1" spans="1:35">
      <c r="A643" s="17">
        <v>640</v>
      </c>
      <c r="B643" s="20">
        <v>46137</v>
      </c>
      <c r="C643" s="21" t="s">
        <v>187</v>
      </c>
      <c r="D643" s="22" t="str" cm="1">
        <f t="array" ref="D643">INDEX([1]Sheet2!A:A,MATCH(E643,[1]Sheet2!B:B,0))</f>
        <v>衡阳市新顺电器有限公司</v>
      </c>
      <c r="E643" s="23" t="s">
        <v>188</v>
      </c>
      <c r="F643" s="24">
        <f t="shared" si="10"/>
        <v>1000</v>
      </c>
      <c r="G643" s="24" t="s">
        <v>77</v>
      </c>
      <c r="H643" s="25"/>
      <c r="I643" s="25"/>
      <c r="J643" s="24"/>
      <c r="K643" s="24"/>
      <c r="L643" s="24"/>
      <c r="M643" s="24"/>
      <c r="N643" s="24"/>
      <c r="O643" s="24"/>
      <c r="P643" s="24"/>
      <c r="Q643" s="24"/>
      <c r="R643" s="43"/>
      <c r="S643" s="24">
        <v>1000</v>
      </c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36"/>
      <c r="AG643" s="36"/>
      <c r="AH643" s="36"/>
      <c r="AI643" s="36"/>
    </row>
    <row r="644" s="1" customFormat="1" customHeight="1" spans="1:35">
      <c r="A644" s="17">
        <v>641</v>
      </c>
      <c r="B644" s="20">
        <v>46137</v>
      </c>
      <c r="C644" s="21" t="s">
        <v>638</v>
      </c>
      <c r="D644" s="22" t="str" cm="1">
        <f t="array" ref="D644">INDEX([1]Sheet2!A:A,MATCH(E644,[1]Sheet2!B:B,0))</f>
        <v>邓小琴</v>
      </c>
      <c r="E644" s="23" t="s">
        <v>639</v>
      </c>
      <c r="F644" s="24">
        <f t="shared" ref="F644:F707" si="11">SUM(J644:AE644)</f>
        <v>1000</v>
      </c>
      <c r="G644" s="24" t="s">
        <v>77</v>
      </c>
      <c r="H644" s="36"/>
      <c r="I644" s="36"/>
      <c r="J644" s="24"/>
      <c r="K644" s="24"/>
      <c r="L644" s="24"/>
      <c r="M644" s="24"/>
      <c r="N644" s="24"/>
      <c r="O644" s="24"/>
      <c r="P644" s="24"/>
      <c r="Q644" s="24"/>
      <c r="R644" s="43"/>
      <c r="S644" s="24">
        <v>1000</v>
      </c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36"/>
      <c r="AG644" s="36"/>
      <c r="AH644" s="36"/>
      <c r="AI644" s="36"/>
    </row>
    <row r="645" s="1" customFormat="1" customHeight="1" spans="1:35">
      <c r="A645" s="17">
        <v>642</v>
      </c>
      <c r="B645" s="20">
        <v>46137</v>
      </c>
      <c r="C645" s="21" t="s">
        <v>24</v>
      </c>
      <c r="D645" s="22" t="str" cm="1">
        <f t="array" ref="D645">INDEX([1]Sheet2!A:A,MATCH(E645,[1]Sheet2!B:B,0))</f>
        <v>临时</v>
      </c>
      <c r="E645" s="23" t="s">
        <v>99</v>
      </c>
      <c r="F645" s="24">
        <f t="shared" si="11"/>
        <v>393</v>
      </c>
      <c r="G645" s="24" t="s">
        <v>100</v>
      </c>
      <c r="H645" s="36"/>
      <c r="I645" s="36"/>
      <c r="J645" s="24"/>
      <c r="K645" s="24"/>
      <c r="L645" s="24"/>
      <c r="M645" s="24"/>
      <c r="N645" s="24"/>
      <c r="O645" s="24"/>
      <c r="P645" s="24"/>
      <c r="Q645" s="24"/>
      <c r="R645" s="43"/>
      <c r="S645" s="24"/>
      <c r="T645" s="24"/>
      <c r="U645" s="24"/>
      <c r="V645" s="24"/>
      <c r="W645" s="24">
        <v>393</v>
      </c>
      <c r="X645" s="24"/>
      <c r="Y645" s="24"/>
      <c r="Z645" s="24"/>
      <c r="AA645" s="24"/>
      <c r="AB645" s="24"/>
      <c r="AC645" s="24"/>
      <c r="AD645" s="24"/>
      <c r="AE645" s="24"/>
      <c r="AF645" s="36"/>
      <c r="AG645" s="36"/>
      <c r="AH645" s="36"/>
      <c r="AI645" s="36"/>
    </row>
    <row r="646" s="1" customFormat="1" customHeight="1" spans="1:35">
      <c r="A646" s="17">
        <v>643</v>
      </c>
      <c r="B646" s="20">
        <v>46138</v>
      </c>
      <c r="C646" s="21" t="s">
        <v>640</v>
      </c>
      <c r="D646" s="22" t="s">
        <v>152</v>
      </c>
      <c r="E646" s="23" t="s">
        <v>641</v>
      </c>
      <c r="F646" s="24">
        <f t="shared" si="11"/>
        <v>54.44</v>
      </c>
      <c r="G646" s="24" t="s">
        <v>49</v>
      </c>
      <c r="H646" s="36"/>
      <c r="I646" s="36"/>
      <c r="J646" s="24"/>
      <c r="K646" s="24"/>
      <c r="L646" s="24"/>
      <c r="M646" s="24"/>
      <c r="N646" s="24"/>
      <c r="O646" s="24"/>
      <c r="P646" s="24"/>
      <c r="Q646" s="24"/>
      <c r="R646" s="43">
        <v>54.44</v>
      </c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36"/>
      <c r="AG646" s="36"/>
      <c r="AH646" s="36"/>
      <c r="AI646" s="36"/>
    </row>
    <row r="647" s="1" customFormat="1" customHeight="1" spans="1:35">
      <c r="A647" s="17">
        <v>644</v>
      </c>
      <c r="B647" s="20">
        <v>46138</v>
      </c>
      <c r="C647" s="21" t="s">
        <v>642</v>
      </c>
      <c r="D647" s="22" t="s">
        <v>152</v>
      </c>
      <c r="E647" s="23" t="s">
        <v>643</v>
      </c>
      <c r="F647" s="24">
        <f t="shared" si="11"/>
        <v>382</v>
      </c>
      <c r="G647" s="24" t="s">
        <v>49</v>
      </c>
      <c r="H647" s="36"/>
      <c r="I647" s="36"/>
      <c r="J647" s="24"/>
      <c r="K647" s="24"/>
      <c r="L647" s="24"/>
      <c r="M647" s="24"/>
      <c r="N647" s="24"/>
      <c r="O647" s="24"/>
      <c r="P647" s="24"/>
      <c r="Q647" s="24"/>
      <c r="R647" s="43">
        <v>382</v>
      </c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36"/>
      <c r="AG647" s="36"/>
      <c r="AH647" s="36"/>
      <c r="AI647" s="36"/>
    </row>
    <row r="648" s="1" customFormat="1" customHeight="1" spans="1:35">
      <c r="A648" s="17">
        <v>645</v>
      </c>
      <c r="B648" s="20">
        <v>46138</v>
      </c>
      <c r="C648" s="21" t="s">
        <v>644</v>
      </c>
      <c r="D648" s="22" t="str" cm="1">
        <f t="array" ref="D648">INDEX([1]Sheet2!A:A,MATCH(E648,[1]Sheet2!B:B,0))</f>
        <v>湖南亮点体育文化发展有限公司</v>
      </c>
      <c r="E648" s="23" t="s">
        <v>114</v>
      </c>
      <c r="F648" s="24">
        <f t="shared" si="11"/>
        <v>235.98</v>
      </c>
      <c r="G648" s="24" t="s">
        <v>49</v>
      </c>
      <c r="H648" s="36"/>
      <c r="I648" s="36"/>
      <c r="J648" s="24"/>
      <c r="K648" s="24"/>
      <c r="L648" s="24"/>
      <c r="M648" s="24"/>
      <c r="N648" s="24"/>
      <c r="O648" s="24"/>
      <c r="P648" s="24"/>
      <c r="Q648" s="24">
        <v>235.98</v>
      </c>
      <c r="R648" s="43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36"/>
      <c r="AG648" s="36"/>
      <c r="AH648" s="36"/>
      <c r="AI648" s="36"/>
    </row>
    <row r="649" s="1" customFormat="1" customHeight="1" spans="1:35">
      <c r="A649" s="17">
        <v>646</v>
      </c>
      <c r="B649" s="20">
        <v>46138</v>
      </c>
      <c r="C649" s="21" t="s">
        <v>73</v>
      </c>
      <c r="D649" s="22" t="str" cm="1">
        <f t="array" ref="D649">INDEX([1]Sheet2!A:A,MATCH(E649,[1]Sheet2!B:B,0))</f>
        <v>衡阳志扬体育文化有限公司</v>
      </c>
      <c r="E649" s="23" t="s">
        <v>74</v>
      </c>
      <c r="F649" s="24">
        <f t="shared" si="11"/>
        <v>5072</v>
      </c>
      <c r="G649" s="24" t="s">
        <v>49</v>
      </c>
      <c r="H649" s="36"/>
      <c r="I649" s="36"/>
      <c r="J649" s="24"/>
      <c r="K649" s="24"/>
      <c r="L649" s="24"/>
      <c r="M649" s="24"/>
      <c r="N649" s="24"/>
      <c r="O649" s="24"/>
      <c r="P649" s="24"/>
      <c r="Q649" s="24"/>
      <c r="R649" s="43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>
        <v>5072</v>
      </c>
      <c r="AF649" s="36"/>
      <c r="AG649" s="36"/>
      <c r="AH649" s="36"/>
      <c r="AI649" s="36"/>
    </row>
    <row r="650" s="1" customFormat="1" customHeight="1" spans="1:35">
      <c r="A650" s="17">
        <v>647</v>
      </c>
      <c r="B650" s="20">
        <v>46138</v>
      </c>
      <c r="C650" s="21" t="s">
        <v>169</v>
      </c>
      <c r="D650" s="22" t="str" cm="1">
        <f t="array" ref="D650">INDEX([1]Sheet2!A:A,MATCH(E650,[1]Sheet2!B:B,0))</f>
        <v>周乐群</v>
      </c>
      <c r="E650" s="23" t="s">
        <v>170</v>
      </c>
      <c r="F650" s="24">
        <f t="shared" si="11"/>
        <v>100</v>
      </c>
      <c r="G650" s="24" t="s">
        <v>77</v>
      </c>
      <c r="H650" s="36"/>
      <c r="I650" s="36"/>
      <c r="J650" s="24"/>
      <c r="K650" s="24"/>
      <c r="L650" s="24"/>
      <c r="M650" s="24"/>
      <c r="N650" s="24"/>
      <c r="O650" s="24"/>
      <c r="P650" s="24"/>
      <c r="Q650" s="24"/>
      <c r="R650" s="43"/>
      <c r="S650" s="24">
        <v>100</v>
      </c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36"/>
      <c r="AG650" s="36"/>
      <c r="AH650" s="36"/>
      <c r="AI650" s="36"/>
    </row>
    <row r="651" s="1" customFormat="1" customHeight="1" spans="1:35">
      <c r="A651" s="17">
        <v>648</v>
      </c>
      <c r="B651" s="20">
        <v>46138</v>
      </c>
      <c r="C651" s="21" t="s">
        <v>113</v>
      </c>
      <c r="D651" s="22" t="str" cm="1">
        <f t="array" ref="D651">INDEX([1]Sheet2!A:A,MATCH(E651,[1]Sheet2!B:B,0))</f>
        <v>湖南亮点体育文化发展有限公司</v>
      </c>
      <c r="E651" s="23" t="s">
        <v>114</v>
      </c>
      <c r="F651" s="24">
        <f t="shared" si="11"/>
        <v>200</v>
      </c>
      <c r="G651" s="24" t="s">
        <v>77</v>
      </c>
      <c r="H651" s="36"/>
      <c r="I651" s="36"/>
      <c r="J651" s="24"/>
      <c r="K651" s="24"/>
      <c r="L651" s="24"/>
      <c r="M651" s="24"/>
      <c r="N651" s="24"/>
      <c r="O651" s="24"/>
      <c r="P651" s="24"/>
      <c r="Q651" s="24"/>
      <c r="R651" s="43"/>
      <c r="S651" s="24">
        <v>200</v>
      </c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36"/>
      <c r="AG651" s="36"/>
      <c r="AH651" s="36"/>
      <c r="AI651" s="36"/>
    </row>
    <row r="652" s="1" customFormat="1" customHeight="1" spans="1:35">
      <c r="A652" s="17">
        <v>649</v>
      </c>
      <c r="B652" s="20">
        <v>46138</v>
      </c>
      <c r="C652" s="21" t="s">
        <v>115</v>
      </c>
      <c r="D652" s="22" t="str" cm="1">
        <f t="array" ref="D652">INDEX([1]Sheet2!A:A,MATCH(E652,[1]Sheet2!B:B,0))</f>
        <v>湖南亮点体育文化发展有限公司</v>
      </c>
      <c r="E652" s="23" t="s">
        <v>116</v>
      </c>
      <c r="F652" s="24">
        <f t="shared" si="11"/>
        <v>100</v>
      </c>
      <c r="G652" s="24" t="s">
        <v>77</v>
      </c>
      <c r="H652" s="36"/>
      <c r="I652" s="36"/>
      <c r="J652" s="24"/>
      <c r="K652" s="24"/>
      <c r="L652" s="24"/>
      <c r="M652" s="24"/>
      <c r="N652" s="24"/>
      <c r="O652" s="24"/>
      <c r="P652" s="24"/>
      <c r="Q652" s="24"/>
      <c r="R652" s="43"/>
      <c r="S652" s="24">
        <v>100</v>
      </c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36"/>
      <c r="AG652" s="36"/>
      <c r="AH652" s="36"/>
      <c r="AI652" s="36"/>
    </row>
    <row r="653" s="1" customFormat="1" customHeight="1" spans="1:35">
      <c r="A653" s="17">
        <v>650</v>
      </c>
      <c r="B653" s="20">
        <v>46138</v>
      </c>
      <c r="C653" s="21" t="s">
        <v>117</v>
      </c>
      <c r="D653" s="22" t="str" cm="1">
        <f t="array" ref="D653">INDEX([1]Sheet2!A:A,MATCH(E653,[1]Sheet2!B:B,0))</f>
        <v>湖南亮点体育文化发展有限公司</v>
      </c>
      <c r="E653" s="23" t="s">
        <v>118</v>
      </c>
      <c r="F653" s="24">
        <f t="shared" si="11"/>
        <v>100</v>
      </c>
      <c r="G653" s="24" t="s">
        <v>77</v>
      </c>
      <c r="H653" s="36"/>
      <c r="I653" s="36"/>
      <c r="J653" s="24"/>
      <c r="K653" s="24"/>
      <c r="L653" s="24"/>
      <c r="M653" s="24"/>
      <c r="N653" s="24"/>
      <c r="O653" s="24"/>
      <c r="P653" s="24"/>
      <c r="Q653" s="24"/>
      <c r="R653" s="43"/>
      <c r="S653" s="24">
        <v>100</v>
      </c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36"/>
      <c r="AG653" s="36"/>
      <c r="AH653" s="36"/>
      <c r="AI653" s="36"/>
    </row>
    <row r="654" s="1" customFormat="1" customHeight="1" spans="1:35">
      <c r="A654" s="17">
        <v>651</v>
      </c>
      <c r="B654" s="20">
        <v>46138</v>
      </c>
      <c r="C654" s="21" t="s">
        <v>119</v>
      </c>
      <c r="D654" s="22" t="str" cm="1">
        <f t="array" ref="D654">INDEX([1]Sheet2!A:A,MATCH(E654,[1]Sheet2!B:B,0))</f>
        <v>湖南亮点体育文化发展有限公司</v>
      </c>
      <c r="E654" s="23" t="s">
        <v>120</v>
      </c>
      <c r="F654" s="24">
        <f t="shared" si="11"/>
        <v>100</v>
      </c>
      <c r="G654" s="24" t="s">
        <v>77</v>
      </c>
      <c r="H654" s="36"/>
      <c r="I654" s="36"/>
      <c r="J654" s="24"/>
      <c r="K654" s="24"/>
      <c r="L654" s="24"/>
      <c r="M654" s="24"/>
      <c r="N654" s="24"/>
      <c r="O654" s="24"/>
      <c r="P654" s="24"/>
      <c r="Q654" s="24"/>
      <c r="R654" s="43"/>
      <c r="S654" s="24">
        <v>100</v>
      </c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36"/>
      <c r="AG654" s="36"/>
      <c r="AH654" s="36"/>
      <c r="AI654" s="36"/>
    </row>
    <row r="655" s="1" customFormat="1" customHeight="1" spans="1:35">
      <c r="A655" s="17">
        <v>652</v>
      </c>
      <c r="B655" s="20">
        <v>46138</v>
      </c>
      <c r="C655" s="21" t="s">
        <v>121</v>
      </c>
      <c r="D655" s="22" t="str" cm="1">
        <f t="array" ref="D655">INDEX([1]Sheet2!A:A,MATCH(E655,[1]Sheet2!B:B,0))</f>
        <v>湖南亮点体育文化发展有限公司</v>
      </c>
      <c r="E655" s="23" t="s">
        <v>122</v>
      </c>
      <c r="F655" s="24">
        <f t="shared" si="11"/>
        <v>100</v>
      </c>
      <c r="G655" s="24" t="s">
        <v>77</v>
      </c>
      <c r="H655" s="36"/>
      <c r="I655" s="36"/>
      <c r="J655" s="24"/>
      <c r="K655" s="24"/>
      <c r="L655" s="24"/>
      <c r="M655" s="24"/>
      <c r="N655" s="24"/>
      <c r="O655" s="24"/>
      <c r="P655" s="24"/>
      <c r="Q655" s="24"/>
      <c r="R655" s="43"/>
      <c r="S655" s="24">
        <v>100</v>
      </c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36"/>
      <c r="AG655" s="36"/>
      <c r="AH655" s="36"/>
      <c r="AI655" s="36"/>
    </row>
    <row r="656" s="1" customFormat="1" customHeight="1" spans="1:35">
      <c r="A656" s="17">
        <v>653</v>
      </c>
      <c r="B656" s="20">
        <v>46138</v>
      </c>
      <c r="C656" s="21" t="s">
        <v>78</v>
      </c>
      <c r="D656" s="22" t="str" cm="1">
        <f t="array" ref="D656">INDEX([1]Sheet2!A:A,MATCH(E656,[1]Sheet2!B:B,0))</f>
        <v>湖南亮点体育文化发展有限公司</v>
      </c>
      <c r="E656" s="23" t="s">
        <v>123</v>
      </c>
      <c r="F656" s="24">
        <f t="shared" si="11"/>
        <v>100</v>
      </c>
      <c r="G656" s="24" t="s">
        <v>77</v>
      </c>
      <c r="H656" s="36"/>
      <c r="I656" s="36"/>
      <c r="J656" s="24"/>
      <c r="K656" s="24"/>
      <c r="L656" s="24"/>
      <c r="M656" s="24"/>
      <c r="N656" s="24"/>
      <c r="O656" s="24"/>
      <c r="P656" s="24"/>
      <c r="Q656" s="24"/>
      <c r="R656" s="43"/>
      <c r="S656" s="24">
        <v>100</v>
      </c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36"/>
      <c r="AG656" s="36"/>
      <c r="AH656" s="36"/>
      <c r="AI656" s="36"/>
    </row>
    <row r="657" s="1" customFormat="1" customHeight="1" spans="1:35">
      <c r="A657" s="17">
        <v>654</v>
      </c>
      <c r="B657" s="20">
        <v>46138</v>
      </c>
      <c r="C657" s="21" t="s">
        <v>197</v>
      </c>
      <c r="D657" s="22" t="str" cm="1">
        <f t="array" ref="D657">INDEX([1]Sheet2!A:A,MATCH(E657,[1]Sheet2!B:B,0))</f>
        <v>湖南亮点体育文化发展有限公司</v>
      </c>
      <c r="E657" s="23" t="s">
        <v>198</v>
      </c>
      <c r="F657" s="24">
        <f t="shared" si="11"/>
        <v>200</v>
      </c>
      <c r="G657" s="24" t="s">
        <v>77</v>
      </c>
      <c r="H657" s="36"/>
      <c r="I657" s="36"/>
      <c r="J657" s="24"/>
      <c r="K657" s="24"/>
      <c r="L657" s="24"/>
      <c r="M657" s="24"/>
      <c r="N657" s="24"/>
      <c r="O657" s="24"/>
      <c r="P657" s="24"/>
      <c r="Q657" s="24"/>
      <c r="R657" s="43"/>
      <c r="S657" s="24">
        <v>200</v>
      </c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36"/>
      <c r="AG657" s="36"/>
      <c r="AH657" s="36"/>
      <c r="AI657" s="36"/>
    </row>
    <row r="658" s="1" customFormat="1" customHeight="1" spans="1:35">
      <c r="A658" s="17">
        <v>655</v>
      </c>
      <c r="B658" s="20">
        <v>46138</v>
      </c>
      <c r="C658" s="21" t="s">
        <v>482</v>
      </c>
      <c r="D658" s="22" t="str" cm="1">
        <f t="array" ref="D658">INDEX([1]Sheet2!A:A,MATCH(E658,[1]Sheet2!B:B,0))</f>
        <v>汪天皓</v>
      </c>
      <c r="E658" s="23" t="s">
        <v>79</v>
      </c>
      <c r="F658" s="24">
        <f t="shared" si="11"/>
        <v>500</v>
      </c>
      <c r="G658" s="24" t="s">
        <v>77</v>
      </c>
      <c r="H658" s="36"/>
      <c r="I658" s="36"/>
      <c r="J658" s="24"/>
      <c r="K658" s="24"/>
      <c r="L658" s="24"/>
      <c r="M658" s="24"/>
      <c r="N658" s="24"/>
      <c r="O658" s="24"/>
      <c r="P658" s="24"/>
      <c r="Q658" s="24"/>
      <c r="R658" s="43"/>
      <c r="S658" s="24">
        <v>500</v>
      </c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36"/>
      <c r="AG658" s="36"/>
      <c r="AH658" s="36"/>
      <c r="AI658" s="36"/>
    </row>
    <row r="659" s="1" customFormat="1" customHeight="1" spans="1:35">
      <c r="A659" s="17">
        <v>656</v>
      </c>
      <c r="B659" s="20">
        <v>46138</v>
      </c>
      <c r="C659" s="21" t="s">
        <v>80</v>
      </c>
      <c r="D659" s="22" t="str" cm="1">
        <f t="array" ref="D659">INDEX([1]Sheet2!A:A,MATCH(E659,[1]Sheet2!B:B,0))</f>
        <v>汪天皓</v>
      </c>
      <c r="E659" s="23" t="s">
        <v>81</v>
      </c>
      <c r="F659" s="24">
        <f t="shared" si="11"/>
        <v>500</v>
      </c>
      <c r="G659" s="24" t="s">
        <v>77</v>
      </c>
      <c r="H659" s="36"/>
      <c r="I659" s="36"/>
      <c r="J659" s="24"/>
      <c r="K659" s="24"/>
      <c r="L659" s="24"/>
      <c r="M659" s="24"/>
      <c r="N659" s="24"/>
      <c r="O659" s="24"/>
      <c r="P659" s="24"/>
      <c r="Q659" s="24"/>
      <c r="R659" s="43"/>
      <c r="S659" s="24">
        <v>500</v>
      </c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36"/>
      <c r="AG659" s="36"/>
      <c r="AH659" s="36"/>
      <c r="AI659" s="36"/>
    </row>
    <row r="660" s="1" customFormat="1" customHeight="1" spans="1:35">
      <c r="A660" s="17">
        <v>657</v>
      </c>
      <c r="B660" s="20">
        <v>46138</v>
      </c>
      <c r="C660" s="21" t="s">
        <v>82</v>
      </c>
      <c r="D660" s="22" t="str" cm="1">
        <f t="array" ref="D660">INDEX([1]Sheet2!A:A,MATCH(E660,[1]Sheet2!B:B,0))</f>
        <v>汪天皓</v>
      </c>
      <c r="E660" s="23" t="s">
        <v>83</v>
      </c>
      <c r="F660" s="24">
        <f t="shared" si="11"/>
        <v>500</v>
      </c>
      <c r="G660" s="24" t="s">
        <v>77</v>
      </c>
      <c r="H660" s="36"/>
      <c r="I660" s="36"/>
      <c r="J660" s="24"/>
      <c r="K660" s="24"/>
      <c r="L660" s="24"/>
      <c r="M660" s="24"/>
      <c r="N660" s="24"/>
      <c r="O660" s="24"/>
      <c r="P660" s="24"/>
      <c r="Q660" s="24"/>
      <c r="R660" s="43"/>
      <c r="S660" s="24">
        <v>500</v>
      </c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36"/>
      <c r="AG660" s="36"/>
      <c r="AH660" s="36"/>
      <c r="AI660" s="36"/>
    </row>
    <row r="661" s="1" customFormat="1" customHeight="1" spans="1:35">
      <c r="A661" s="17">
        <v>658</v>
      </c>
      <c r="B661" s="20">
        <v>46138</v>
      </c>
      <c r="C661" s="21" t="s">
        <v>84</v>
      </c>
      <c r="D661" s="22" t="str" cm="1">
        <f t="array" ref="D661">INDEX([1]Sheet2!A:A,MATCH(E661,[1]Sheet2!B:B,0))</f>
        <v>莫靖凡</v>
      </c>
      <c r="E661" s="23" t="s">
        <v>85</v>
      </c>
      <c r="F661" s="24">
        <f t="shared" si="11"/>
        <v>50</v>
      </c>
      <c r="G661" s="24" t="s">
        <v>77</v>
      </c>
      <c r="H661" s="36"/>
      <c r="I661" s="36"/>
      <c r="J661" s="24"/>
      <c r="K661" s="24"/>
      <c r="L661" s="24"/>
      <c r="M661" s="24"/>
      <c r="N661" s="24"/>
      <c r="O661" s="24"/>
      <c r="P661" s="24"/>
      <c r="Q661" s="24"/>
      <c r="R661" s="43"/>
      <c r="S661" s="24">
        <v>50</v>
      </c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36"/>
      <c r="AG661" s="36"/>
      <c r="AH661" s="36"/>
      <c r="AI661" s="36"/>
    </row>
    <row r="662" s="1" customFormat="1" customHeight="1" spans="1:35">
      <c r="A662" s="17">
        <v>659</v>
      </c>
      <c r="B662" s="20">
        <v>46138</v>
      </c>
      <c r="C662" s="21" t="s">
        <v>232</v>
      </c>
      <c r="D662" s="22" t="str" cm="1">
        <f t="array" ref="D662">INDEX([1]Sheet2!A:A,MATCH(E662,[1]Sheet2!B:B,0))</f>
        <v>付勇</v>
      </c>
      <c r="E662" s="23" t="s">
        <v>381</v>
      </c>
      <c r="F662" s="24">
        <f t="shared" si="11"/>
        <v>3000</v>
      </c>
      <c r="G662" s="24" t="s">
        <v>77</v>
      </c>
      <c r="H662" s="36"/>
      <c r="I662" s="36"/>
      <c r="J662" s="24"/>
      <c r="K662" s="24"/>
      <c r="L662" s="24"/>
      <c r="M662" s="24"/>
      <c r="N662" s="24"/>
      <c r="O662" s="24"/>
      <c r="P662" s="24"/>
      <c r="Q662" s="24"/>
      <c r="R662" s="43"/>
      <c r="S662" s="24">
        <v>3000</v>
      </c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36"/>
      <c r="AG662" s="36"/>
      <c r="AH662" s="36"/>
      <c r="AI662" s="36"/>
    </row>
    <row r="663" s="1" customFormat="1" customHeight="1" spans="1:35">
      <c r="A663" s="17">
        <v>660</v>
      </c>
      <c r="B663" s="20">
        <v>46138</v>
      </c>
      <c r="C663" s="21" t="s">
        <v>95</v>
      </c>
      <c r="D663" s="22" t="str" cm="1">
        <f t="array" ref="D663">INDEX([1]Sheet2!A:A,MATCH(E663,[1]Sheet2!B:B,0))</f>
        <v>周建华</v>
      </c>
      <c r="E663" s="23" t="s">
        <v>96</v>
      </c>
      <c r="F663" s="24">
        <f t="shared" si="11"/>
        <v>300</v>
      </c>
      <c r="G663" s="24" t="s">
        <v>77</v>
      </c>
      <c r="H663" s="36"/>
      <c r="I663" s="36"/>
      <c r="J663" s="24"/>
      <c r="K663" s="24"/>
      <c r="L663" s="24"/>
      <c r="M663" s="24"/>
      <c r="N663" s="24"/>
      <c r="O663" s="24"/>
      <c r="P663" s="24"/>
      <c r="Q663" s="24"/>
      <c r="R663" s="43"/>
      <c r="S663" s="24">
        <v>300</v>
      </c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36"/>
      <c r="AG663" s="36"/>
      <c r="AH663" s="36"/>
      <c r="AI663" s="36"/>
    </row>
    <row r="664" s="1" customFormat="1" customHeight="1" spans="1:35">
      <c r="A664" s="17">
        <v>661</v>
      </c>
      <c r="B664" s="20">
        <v>46138</v>
      </c>
      <c r="C664" s="21" t="s">
        <v>156</v>
      </c>
      <c r="D664" s="22" t="str" cm="1">
        <f t="array" ref="D664">INDEX([1]Sheet2!A:A,MATCH(E664,[1]Sheet2!B:B,0))</f>
        <v>刘露</v>
      </c>
      <c r="E664" s="23" t="s">
        <v>157</v>
      </c>
      <c r="F664" s="24">
        <f t="shared" si="11"/>
        <v>100</v>
      </c>
      <c r="G664" s="24" t="s">
        <v>77</v>
      </c>
      <c r="H664" s="36"/>
      <c r="I664" s="36"/>
      <c r="J664" s="24"/>
      <c r="K664" s="24"/>
      <c r="L664" s="24"/>
      <c r="M664" s="24"/>
      <c r="N664" s="24"/>
      <c r="O664" s="24"/>
      <c r="P664" s="24"/>
      <c r="Q664" s="24"/>
      <c r="R664" s="43"/>
      <c r="S664" s="24">
        <v>100</v>
      </c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36"/>
      <c r="AG664" s="36"/>
      <c r="AH664" s="36"/>
      <c r="AI664" s="36"/>
    </row>
    <row r="665" s="1" customFormat="1" customHeight="1" spans="1:35">
      <c r="A665" s="17">
        <v>662</v>
      </c>
      <c r="B665" s="20">
        <v>46138</v>
      </c>
      <c r="C665" s="21" t="s">
        <v>224</v>
      </c>
      <c r="D665" s="22" t="str" cm="1">
        <f t="array" ref="D665">INDEX([1]Sheet2!A:A,MATCH(E665,[1]Sheet2!B:B,0))</f>
        <v>罗安</v>
      </c>
      <c r="E665" s="23" t="s">
        <v>225</v>
      </c>
      <c r="F665" s="24">
        <f t="shared" si="11"/>
        <v>1000</v>
      </c>
      <c r="G665" s="24" t="s">
        <v>77</v>
      </c>
      <c r="H665" s="25"/>
      <c r="I665" s="25"/>
      <c r="J665" s="24"/>
      <c r="K665" s="24"/>
      <c r="L665" s="24"/>
      <c r="M665" s="24"/>
      <c r="N665" s="24"/>
      <c r="O665" s="24"/>
      <c r="P665" s="24"/>
      <c r="Q665" s="24"/>
      <c r="R665" s="43"/>
      <c r="S665" s="24">
        <v>1000</v>
      </c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36"/>
      <c r="AG665" s="36"/>
      <c r="AH665" s="36"/>
      <c r="AI665" s="36"/>
    </row>
    <row r="666" s="1" customFormat="1" customHeight="1" spans="1:35">
      <c r="A666" s="17">
        <v>663</v>
      </c>
      <c r="B666" s="20">
        <v>46138</v>
      </c>
      <c r="C666" s="21" t="s">
        <v>124</v>
      </c>
      <c r="D666" s="22" t="str" cm="1">
        <f t="array" ref="D666">INDEX([1]Sheet2!A:A,MATCH(E666,[1]Sheet2!B:B,0))</f>
        <v>王冬林</v>
      </c>
      <c r="E666" s="23" t="s">
        <v>125</v>
      </c>
      <c r="F666" s="24">
        <f t="shared" si="11"/>
        <v>500</v>
      </c>
      <c r="G666" s="24" t="s">
        <v>77</v>
      </c>
      <c r="H666" s="25"/>
      <c r="I666" s="25"/>
      <c r="J666" s="24"/>
      <c r="K666" s="24"/>
      <c r="L666" s="24"/>
      <c r="M666" s="24"/>
      <c r="N666" s="24"/>
      <c r="O666" s="24"/>
      <c r="P666" s="24"/>
      <c r="Q666" s="24"/>
      <c r="R666" s="43"/>
      <c r="S666" s="24">
        <v>500</v>
      </c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36"/>
      <c r="AG666" s="36"/>
      <c r="AH666" s="36"/>
      <c r="AI666" s="36"/>
    </row>
    <row r="667" s="1" customFormat="1" customHeight="1" spans="1:35">
      <c r="A667" s="17">
        <v>664</v>
      </c>
      <c r="B667" s="20">
        <v>46138</v>
      </c>
      <c r="C667" s="21" t="s">
        <v>109</v>
      </c>
      <c r="D667" s="22" t="str" cm="1">
        <f t="array" ref="D667">INDEX([1]Sheet2!A:A,MATCH(E667,[1]Sheet2!B:B,0))</f>
        <v>杨美丽</v>
      </c>
      <c r="E667" s="23" t="s">
        <v>110</v>
      </c>
      <c r="F667" s="24">
        <f t="shared" si="11"/>
        <v>100</v>
      </c>
      <c r="G667" s="24" t="s">
        <v>77</v>
      </c>
      <c r="H667" s="25"/>
      <c r="I667" s="25"/>
      <c r="J667" s="24"/>
      <c r="K667" s="24"/>
      <c r="L667" s="24"/>
      <c r="M667" s="24"/>
      <c r="N667" s="24"/>
      <c r="O667" s="24"/>
      <c r="P667" s="24"/>
      <c r="Q667" s="24"/>
      <c r="R667" s="43"/>
      <c r="S667" s="24">
        <v>100</v>
      </c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36"/>
      <c r="AG667" s="36"/>
      <c r="AH667" s="36"/>
      <c r="AI667" s="36"/>
    </row>
    <row r="668" s="1" customFormat="1" customHeight="1" spans="1:35">
      <c r="A668" s="17">
        <v>665</v>
      </c>
      <c r="B668" s="20">
        <v>46138</v>
      </c>
      <c r="C668" s="21" t="s">
        <v>86</v>
      </c>
      <c r="D668" s="22" t="str" cm="1">
        <f t="array" ref="D668">INDEX([1]Sheet2!A:A,MATCH(E668,[1]Sheet2!B:B,0))</f>
        <v>吴革民</v>
      </c>
      <c r="E668" s="23" t="s">
        <v>87</v>
      </c>
      <c r="F668" s="24">
        <f t="shared" si="11"/>
        <v>200</v>
      </c>
      <c r="G668" s="24" t="s">
        <v>77</v>
      </c>
      <c r="H668" s="25"/>
      <c r="I668" s="25"/>
      <c r="J668" s="24"/>
      <c r="K668" s="24"/>
      <c r="L668" s="24"/>
      <c r="M668" s="24"/>
      <c r="N668" s="24"/>
      <c r="O668" s="24"/>
      <c r="P668" s="24"/>
      <c r="Q668" s="24"/>
      <c r="R668" s="43"/>
      <c r="S668" s="24">
        <v>200</v>
      </c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36"/>
      <c r="AG668" s="36"/>
      <c r="AH668" s="36"/>
      <c r="AI668" s="36"/>
    </row>
    <row r="669" s="1" customFormat="1" customHeight="1" spans="1:35">
      <c r="A669" s="17">
        <v>666</v>
      </c>
      <c r="B669" s="20">
        <v>46138</v>
      </c>
      <c r="C669" s="21" t="s">
        <v>164</v>
      </c>
      <c r="D669" s="22" t="str" cm="1">
        <f t="array" ref="D669">INDEX([1]Sheet2!A:A,MATCH(E669,[1]Sheet2!B:B,0))</f>
        <v>李江飞</v>
      </c>
      <c r="E669" s="23" t="s">
        <v>165</v>
      </c>
      <c r="F669" s="24">
        <f t="shared" si="11"/>
        <v>200</v>
      </c>
      <c r="G669" s="24" t="s">
        <v>77</v>
      </c>
      <c r="H669" s="25"/>
      <c r="I669" s="25"/>
      <c r="J669" s="24"/>
      <c r="K669" s="24"/>
      <c r="L669" s="24"/>
      <c r="M669" s="24"/>
      <c r="N669" s="24"/>
      <c r="O669" s="24"/>
      <c r="P669" s="24"/>
      <c r="Q669" s="24"/>
      <c r="R669" s="43"/>
      <c r="S669" s="24">
        <v>200</v>
      </c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36"/>
      <c r="AG669" s="36"/>
      <c r="AH669" s="36"/>
      <c r="AI669" s="36"/>
    </row>
    <row r="670" s="1" customFormat="1" customHeight="1" spans="1:35">
      <c r="A670" s="17">
        <v>667</v>
      </c>
      <c r="B670" s="20">
        <v>46138</v>
      </c>
      <c r="C670" s="21" t="s">
        <v>24</v>
      </c>
      <c r="D670" s="22" t="str" cm="1">
        <f t="array" ref="D670">INDEX([1]Sheet2!A:A,MATCH(E670,[1]Sheet2!B:B,0))</f>
        <v>临时</v>
      </c>
      <c r="E670" s="23" t="s">
        <v>99</v>
      </c>
      <c r="F670" s="24">
        <f t="shared" si="11"/>
        <v>330</v>
      </c>
      <c r="G670" s="24" t="s">
        <v>100</v>
      </c>
      <c r="H670" s="25"/>
      <c r="I670" s="25"/>
      <c r="J670" s="24"/>
      <c r="K670" s="24"/>
      <c r="L670" s="24"/>
      <c r="M670" s="24"/>
      <c r="N670" s="24"/>
      <c r="O670" s="24"/>
      <c r="P670" s="24"/>
      <c r="Q670" s="24"/>
      <c r="R670" s="43"/>
      <c r="S670" s="24"/>
      <c r="T670" s="24"/>
      <c r="U670" s="24"/>
      <c r="V670" s="24"/>
      <c r="W670" s="24">
        <v>330</v>
      </c>
      <c r="X670" s="24"/>
      <c r="Y670" s="24"/>
      <c r="Z670" s="24"/>
      <c r="AA670" s="24"/>
      <c r="AB670" s="24"/>
      <c r="AC670" s="24"/>
      <c r="AD670" s="24"/>
      <c r="AE670" s="24"/>
      <c r="AF670" s="36"/>
      <c r="AG670" s="36"/>
      <c r="AH670" s="36"/>
      <c r="AI670" s="36"/>
    </row>
    <row r="671" s="1" customFormat="1" customHeight="1" spans="1:35">
      <c r="A671" s="17">
        <v>668</v>
      </c>
      <c r="B671" s="20">
        <v>46139</v>
      </c>
      <c r="C671" s="21" t="s">
        <v>90</v>
      </c>
      <c r="D671" s="22" t="s">
        <v>645</v>
      </c>
      <c r="E671" s="23" t="s">
        <v>646</v>
      </c>
      <c r="F671" s="24">
        <f t="shared" si="11"/>
        <v>200</v>
      </c>
      <c r="G671" s="24" t="s">
        <v>40</v>
      </c>
      <c r="H671" s="25">
        <v>46106</v>
      </c>
      <c r="I671" s="25">
        <v>46470</v>
      </c>
      <c r="J671" s="24">
        <f>200+2800</f>
        <v>3000</v>
      </c>
      <c r="K671" s="24"/>
      <c r="L671" s="24"/>
      <c r="M671" s="24"/>
      <c r="N671" s="24"/>
      <c r="O671" s="24"/>
      <c r="P671" s="24"/>
      <c r="Q671" s="24"/>
      <c r="R671" s="43"/>
      <c r="S671" s="24"/>
      <c r="T671" s="24"/>
      <c r="U671" s="24"/>
      <c r="V671" s="24"/>
      <c r="W671" s="24"/>
      <c r="X671" s="24"/>
      <c r="Y671" s="24"/>
      <c r="Z671" s="24"/>
      <c r="AA671" s="24">
        <v>-2800</v>
      </c>
      <c r="AB671" s="24"/>
      <c r="AC671" s="24"/>
      <c r="AD671" s="24"/>
      <c r="AE671" s="24"/>
      <c r="AF671" s="36"/>
      <c r="AG671" s="36"/>
      <c r="AH671" s="36"/>
      <c r="AI671" s="36"/>
    </row>
    <row r="672" s="1" customFormat="1" customHeight="1" spans="1:35">
      <c r="A672" s="17">
        <v>669</v>
      </c>
      <c r="B672" s="20">
        <v>46139</v>
      </c>
      <c r="C672" s="21" t="s">
        <v>90</v>
      </c>
      <c r="D672" s="22" t="s">
        <v>645</v>
      </c>
      <c r="E672" s="23" t="s">
        <v>646</v>
      </c>
      <c r="F672" s="24">
        <f t="shared" si="11"/>
        <v>24.32</v>
      </c>
      <c r="G672" s="24" t="s">
        <v>40</v>
      </c>
      <c r="H672" s="25">
        <v>46082</v>
      </c>
      <c r="I672" s="25">
        <v>46112</v>
      </c>
      <c r="J672" s="24"/>
      <c r="K672" s="24"/>
      <c r="L672" s="24"/>
      <c r="M672" s="24"/>
      <c r="N672" s="24"/>
      <c r="O672" s="24"/>
      <c r="P672" s="24"/>
      <c r="Q672" s="24">
        <v>24.32</v>
      </c>
      <c r="R672" s="43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36"/>
      <c r="AG672" s="36"/>
      <c r="AH672" s="36"/>
      <c r="AI672" s="36"/>
    </row>
    <row r="673" s="2" customFormat="1" customHeight="1" spans="1:35">
      <c r="A673" s="27">
        <v>670</v>
      </c>
      <c r="B673" s="28">
        <v>46139</v>
      </c>
      <c r="C673" s="34" t="s">
        <v>540</v>
      </c>
      <c r="D673" s="30" t="s">
        <v>621</v>
      </c>
      <c r="E673" s="31" t="s">
        <v>622</v>
      </c>
      <c r="F673" s="32">
        <f t="shared" si="11"/>
        <v>59297.4</v>
      </c>
      <c r="G673" s="32" t="s">
        <v>40</v>
      </c>
      <c r="H673" s="33"/>
      <c r="I673" s="33"/>
      <c r="J673" s="32"/>
      <c r="K673" s="32"/>
      <c r="L673" s="32"/>
      <c r="M673" s="32"/>
      <c r="N673" s="32"/>
      <c r="O673" s="32"/>
      <c r="P673" s="32"/>
      <c r="Q673" s="32"/>
      <c r="R673" s="45"/>
      <c r="S673" s="32"/>
      <c r="T673" s="32"/>
      <c r="U673" s="32"/>
      <c r="V673" s="32"/>
      <c r="W673" s="32"/>
      <c r="X673" s="32"/>
      <c r="Y673" s="32"/>
      <c r="Z673" s="32"/>
      <c r="AA673" s="32">
        <v>59297.4</v>
      </c>
      <c r="AB673" s="32"/>
      <c r="AC673" s="32"/>
      <c r="AD673" s="32"/>
      <c r="AE673" s="32"/>
      <c r="AF673" s="35" t="s">
        <v>647</v>
      </c>
      <c r="AG673" s="35"/>
      <c r="AH673" s="35"/>
      <c r="AI673" s="35"/>
    </row>
    <row r="674" s="1" customFormat="1" customHeight="1" spans="1:35">
      <c r="A674" s="17">
        <v>671</v>
      </c>
      <c r="B674" s="20">
        <v>46139</v>
      </c>
      <c r="C674" s="21" t="s">
        <v>535</v>
      </c>
      <c r="D674" s="22" t="s">
        <v>531</v>
      </c>
      <c r="E674" s="23" t="s">
        <v>536</v>
      </c>
      <c r="F674" s="24">
        <f t="shared" si="11"/>
        <v>15000</v>
      </c>
      <c r="G674" s="24" t="s">
        <v>40</v>
      </c>
      <c r="H674" s="36"/>
      <c r="I674" s="36"/>
      <c r="J674" s="24"/>
      <c r="K674" s="24"/>
      <c r="L674" s="24"/>
      <c r="M674" s="24"/>
      <c r="N674" s="24"/>
      <c r="O674" s="24"/>
      <c r="P674" s="24"/>
      <c r="Q674" s="24"/>
      <c r="R674" s="43"/>
      <c r="S674" s="24">
        <v>15000</v>
      </c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36"/>
      <c r="AG674" s="36" t="s">
        <v>148</v>
      </c>
      <c r="AH674" s="23" t="s">
        <v>648</v>
      </c>
      <c r="AI674" s="36" t="s">
        <v>534</v>
      </c>
    </row>
    <row r="675" s="1" customFormat="1" customHeight="1" spans="1:35">
      <c r="A675" s="17">
        <v>672</v>
      </c>
      <c r="B675" s="20">
        <v>46139</v>
      </c>
      <c r="C675" s="21" t="s">
        <v>439</v>
      </c>
      <c r="D675" s="22" t="str" cm="1">
        <f t="array" ref="D675">INDEX([1]Sheet2!A:A,MATCH(E675,[1]Sheet2!B:B,0))</f>
        <v>衡阳市蒸湘区雁之地舞元素艺术培训学校有限公司</v>
      </c>
      <c r="E675" s="23" t="s">
        <v>441</v>
      </c>
      <c r="F675" s="24">
        <f t="shared" si="11"/>
        <v>21000</v>
      </c>
      <c r="G675" s="24" t="s">
        <v>40</v>
      </c>
      <c r="H675" s="25"/>
      <c r="I675" s="25"/>
      <c r="J675" s="24"/>
      <c r="K675" s="24"/>
      <c r="L675" s="24"/>
      <c r="M675" s="24"/>
      <c r="N675" s="24"/>
      <c r="O675" s="24"/>
      <c r="P675" s="24"/>
      <c r="Q675" s="24"/>
      <c r="R675" s="43"/>
      <c r="S675" s="24"/>
      <c r="T675" s="24"/>
      <c r="U675" s="24"/>
      <c r="V675" s="24"/>
      <c r="W675" s="24"/>
      <c r="X675" s="24"/>
      <c r="Y675" s="24">
        <v>20000</v>
      </c>
      <c r="Z675" s="24"/>
      <c r="AA675" s="24"/>
      <c r="AB675" s="24">
        <v>1000</v>
      </c>
      <c r="AC675" s="24"/>
      <c r="AD675" s="24"/>
      <c r="AE675" s="24"/>
      <c r="AF675" s="36" t="s">
        <v>649</v>
      </c>
      <c r="AG675" s="36" t="s">
        <v>50</v>
      </c>
      <c r="AH675" s="36">
        <v>7472845</v>
      </c>
      <c r="AI675" s="36" t="s">
        <v>650</v>
      </c>
    </row>
    <row r="676" s="1" customFormat="1" customHeight="1" spans="1:35">
      <c r="A676" s="17">
        <v>673</v>
      </c>
      <c r="B676" s="20">
        <v>46139</v>
      </c>
      <c r="C676" s="21" t="s">
        <v>651</v>
      </c>
      <c r="D676" s="22" t="str" cm="1">
        <f t="array" ref="D676">INDEX([1]Sheet2!A:A,MATCH(E676,[1]Sheet2!B:B,0))</f>
        <v>衡阳市春迎饮品有限公司</v>
      </c>
      <c r="E676" s="23" t="s">
        <v>371</v>
      </c>
      <c r="F676" s="24">
        <f t="shared" si="11"/>
        <v>4000</v>
      </c>
      <c r="G676" s="24" t="s">
        <v>40</v>
      </c>
      <c r="H676" s="36"/>
      <c r="I676" s="36"/>
      <c r="J676" s="24"/>
      <c r="K676" s="24"/>
      <c r="L676" s="24"/>
      <c r="M676" s="24"/>
      <c r="N676" s="24"/>
      <c r="O676" s="24"/>
      <c r="P676" s="24"/>
      <c r="Q676" s="24"/>
      <c r="R676" s="43"/>
      <c r="S676" s="24">
        <v>4000</v>
      </c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36"/>
      <c r="AG676" s="36"/>
      <c r="AH676" s="36"/>
      <c r="AI676" s="36"/>
    </row>
    <row r="677" s="1" customFormat="1" customHeight="1" spans="1:35">
      <c r="A677" s="17">
        <v>674</v>
      </c>
      <c r="B677" s="20">
        <v>46139</v>
      </c>
      <c r="C677" s="21" t="s">
        <v>352</v>
      </c>
      <c r="D677" s="22" t="s">
        <v>652</v>
      </c>
      <c r="E677" s="23" t="s">
        <v>653</v>
      </c>
      <c r="F677" s="24">
        <f t="shared" si="11"/>
        <v>46826</v>
      </c>
      <c r="G677" s="24" t="s">
        <v>40</v>
      </c>
      <c r="H677" s="25">
        <v>46143</v>
      </c>
      <c r="I677" s="25">
        <v>46173</v>
      </c>
      <c r="J677" s="24">
        <v>35296</v>
      </c>
      <c r="K677" s="24">
        <v>11030</v>
      </c>
      <c r="L677" s="24"/>
      <c r="M677" s="24"/>
      <c r="N677" s="24"/>
      <c r="O677" s="24">
        <v>500</v>
      </c>
      <c r="P677" s="24"/>
      <c r="Q677" s="24"/>
      <c r="R677" s="43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36"/>
      <c r="AG677" s="36"/>
      <c r="AH677" s="36"/>
      <c r="AI677" s="36"/>
    </row>
    <row r="678" s="1" customFormat="1" customHeight="1" spans="1:35">
      <c r="A678" s="17">
        <v>675</v>
      </c>
      <c r="B678" s="20">
        <v>46139</v>
      </c>
      <c r="C678" s="21" t="s">
        <v>187</v>
      </c>
      <c r="D678" s="22" t="s">
        <v>654</v>
      </c>
      <c r="E678" s="23" t="s">
        <v>655</v>
      </c>
      <c r="F678" s="24">
        <f t="shared" si="11"/>
        <v>18340</v>
      </c>
      <c r="G678" s="24" t="s">
        <v>40</v>
      </c>
      <c r="H678" s="25">
        <v>46113</v>
      </c>
      <c r="I678" s="25">
        <v>46142</v>
      </c>
      <c r="J678" s="24">
        <v>9170</v>
      </c>
      <c r="K678" s="24">
        <v>9170</v>
      </c>
      <c r="L678" s="24"/>
      <c r="M678" s="24"/>
      <c r="N678" s="24"/>
      <c r="O678" s="24"/>
      <c r="P678" s="24"/>
      <c r="Q678" s="24"/>
      <c r="R678" s="43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36"/>
      <c r="AG678" s="36"/>
      <c r="AH678" s="36"/>
      <c r="AI678" s="36"/>
    </row>
    <row r="679" s="2" customFormat="1" customHeight="1" spans="1:35">
      <c r="A679" s="17">
        <v>676</v>
      </c>
      <c r="B679" s="28">
        <v>46139</v>
      </c>
      <c r="C679" s="34" t="s">
        <v>656</v>
      </c>
      <c r="D679" s="30" t="s">
        <v>657</v>
      </c>
      <c r="E679" s="31" t="s">
        <v>658</v>
      </c>
      <c r="F679" s="32">
        <f t="shared" si="11"/>
        <v>36476.44</v>
      </c>
      <c r="G679" s="32" t="s">
        <v>40</v>
      </c>
      <c r="H679" s="33">
        <v>46082</v>
      </c>
      <c r="I679" s="33">
        <v>46112</v>
      </c>
      <c r="J679" s="32"/>
      <c r="K679" s="32"/>
      <c r="L679" s="32"/>
      <c r="M679" s="32"/>
      <c r="N679" s="32"/>
      <c r="O679" s="32"/>
      <c r="P679" s="32"/>
      <c r="Q679" s="32"/>
      <c r="R679" s="45">
        <v>1176.44</v>
      </c>
      <c r="S679" s="32"/>
      <c r="T679" s="32"/>
      <c r="U679" s="32"/>
      <c r="V679" s="32"/>
      <c r="W679" s="32"/>
      <c r="X679" s="32"/>
      <c r="Y679" s="32"/>
      <c r="Z679" s="32"/>
      <c r="AA679" s="32">
        <v>35300</v>
      </c>
      <c r="AB679" s="32"/>
      <c r="AC679" s="32"/>
      <c r="AD679" s="32"/>
      <c r="AE679" s="32"/>
      <c r="AF679" s="35" t="s">
        <v>659</v>
      </c>
      <c r="AG679" s="35"/>
      <c r="AH679" s="35"/>
      <c r="AI679" s="35"/>
    </row>
    <row r="680" s="1" customFormat="1" customHeight="1" spans="1:35">
      <c r="A680" s="17">
        <v>677</v>
      </c>
      <c r="B680" s="20">
        <v>46139</v>
      </c>
      <c r="C680" s="21" t="s">
        <v>660</v>
      </c>
      <c r="D680" s="22" t="s">
        <v>661</v>
      </c>
      <c r="E680" s="23" t="s">
        <v>512</v>
      </c>
      <c r="F680" s="24">
        <f t="shared" si="11"/>
        <v>78816</v>
      </c>
      <c r="G680" s="24" t="s">
        <v>40</v>
      </c>
      <c r="H680" s="36"/>
      <c r="I680" s="36"/>
      <c r="J680" s="24"/>
      <c r="K680" s="24"/>
      <c r="L680" s="24"/>
      <c r="M680" s="24"/>
      <c r="N680" s="24"/>
      <c r="O680" s="24"/>
      <c r="P680" s="24"/>
      <c r="Q680" s="24"/>
      <c r="R680" s="43"/>
      <c r="S680" s="24"/>
      <c r="T680" s="24"/>
      <c r="U680" s="24"/>
      <c r="V680" s="24"/>
      <c r="W680" s="24"/>
      <c r="X680" s="24"/>
      <c r="Y680" s="24"/>
      <c r="Z680" s="24"/>
      <c r="AA680" s="24">
        <v>78816</v>
      </c>
      <c r="AB680" s="24"/>
      <c r="AC680" s="24"/>
      <c r="AD680" s="24"/>
      <c r="AE680" s="24"/>
      <c r="AF680" s="36" t="s">
        <v>60</v>
      </c>
      <c r="AG680" s="36"/>
      <c r="AH680" s="36"/>
      <c r="AI680" s="36"/>
    </row>
    <row r="681" s="1" customFormat="1" customHeight="1" spans="1:35">
      <c r="A681" s="17">
        <v>678</v>
      </c>
      <c r="B681" s="20">
        <v>46139</v>
      </c>
      <c r="C681" s="21" t="s">
        <v>24</v>
      </c>
      <c r="D681" s="22" t="str" cm="1">
        <f t="array" ref="D681">INDEX([1]Sheet2!A:A,MATCH(E681,[1]Sheet2!B:B,0))</f>
        <v>充值</v>
      </c>
      <c r="E681" s="23" t="s">
        <v>72</v>
      </c>
      <c r="F681" s="24">
        <f t="shared" si="11"/>
        <v>2700</v>
      </c>
      <c r="G681" s="24" t="s">
        <v>49</v>
      </c>
      <c r="H681" s="25"/>
      <c r="I681" s="25"/>
      <c r="J681" s="24"/>
      <c r="K681" s="24"/>
      <c r="L681" s="24"/>
      <c r="M681" s="24"/>
      <c r="N681" s="24"/>
      <c r="O681" s="24"/>
      <c r="P681" s="24"/>
      <c r="Q681" s="24"/>
      <c r="R681" s="43"/>
      <c r="S681" s="24"/>
      <c r="T681" s="24"/>
      <c r="U681" s="24"/>
      <c r="V681" s="24"/>
      <c r="W681" s="24">
        <v>2700</v>
      </c>
      <c r="X681" s="24"/>
      <c r="Y681" s="24"/>
      <c r="Z681" s="24"/>
      <c r="AA681" s="24"/>
      <c r="AB681" s="24"/>
      <c r="AC681" s="24"/>
      <c r="AD681" s="24"/>
      <c r="AE681" s="24"/>
      <c r="AF681" s="36"/>
      <c r="AG681" s="36"/>
      <c r="AH681" s="36"/>
      <c r="AI681" s="36"/>
    </row>
    <row r="682" s="2" customFormat="1" customHeight="1" spans="1:35">
      <c r="A682" s="17">
        <v>679</v>
      </c>
      <c r="B682" s="28">
        <v>46139</v>
      </c>
      <c r="C682" s="34" t="s">
        <v>105</v>
      </c>
      <c r="D682" s="30" t="s">
        <v>211</v>
      </c>
      <c r="E682" s="31" t="s">
        <v>126</v>
      </c>
      <c r="F682" s="32">
        <f t="shared" si="11"/>
        <v>15000</v>
      </c>
      <c r="G682" s="32" t="s">
        <v>49</v>
      </c>
      <c r="H682" s="33">
        <v>46143</v>
      </c>
      <c r="I682" s="33">
        <v>46173</v>
      </c>
      <c r="J682" s="32">
        <v>7282.5</v>
      </c>
      <c r="K682" s="32">
        <v>7717.5</v>
      </c>
      <c r="L682" s="32"/>
      <c r="M682" s="32"/>
      <c r="N682" s="32"/>
      <c r="O682" s="32"/>
      <c r="P682" s="32"/>
      <c r="Q682" s="32"/>
      <c r="R682" s="45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5" t="s">
        <v>60</v>
      </c>
      <c r="AG682" s="35"/>
      <c r="AH682" s="35"/>
      <c r="AI682" s="35"/>
    </row>
    <row r="683" s="1" customFormat="1" customHeight="1" spans="1:35">
      <c r="A683" s="17">
        <v>680</v>
      </c>
      <c r="B683" s="20">
        <v>46139</v>
      </c>
      <c r="C683" s="21" t="s">
        <v>168</v>
      </c>
      <c r="D683" s="22" t="e" cm="1">
        <f t="array" ref="D683">INDEX([1]Sheet2!A:A,MATCH(E683,[1]Sheet2!B:B,0))</f>
        <v>#N/A</v>
      </c>
      <c r="E683" s="23" t="s">
        <v>168</v>
      </c>
      <c r="F683" s="24">
        <f t="shared" si="11"/>
        <v>1</v>
      </c>
      <c r="G683" s="24" t="s">
        <v>49</v>
      </c>
      <c r="H683" s="36"/>
      <c r="I683" s="36"/>
      <c r="J683" s="24"/>
      <c r="K683" s="24"/>
      <c r="L683" s="24"/>
      <c r="M683" s="24"/>
      <c r="N683" s="24"/>
      <c r="O683" s="24"/>
      <c r="P683" s="24"/>
      <c r="Q683" s="24"/>
      <c r="R683" s="43"/>
      <c r="S683" s="24"/>
      <c r="T683" s="24"/>
      <c r="U683" s="24"/>
      <c r="V683" s="24">
        <v>1</v>
      </c>
      <c r="W683" s="24"/>
      <c r="X683" s="24"/>
      <c r="Y683" s="24"/>
      <c r="Z683" s="24"/>
      <c r="AA683" s="24"/>
      <c r="AB683" s="24"/>
      <c r="AC683" s="24"/>
      <c r="AD683" s="24"/>
      <c r="AE683" s="24"/>
      <c r="AF683" s="36"/>
      <c r="AG683" s="36"/>
      <c r="AH683" s="36"/>
      <c r="AI683" s="36"/>
    </row>
    <row r="684" s="1" customFormat="1" customHeight="1" spans="1:35">
      <c r="A684" s="17">
        <v>681</v>
      </c>
      <c r="B684" s="20">
        <v>46139</v>
      </c>
      <c r="C684" s="21" t="s">
        <v>73</v>
      </c>
      <c r="D684" s="22" t="str" cm="1">
        <f t="array" ref="D684">INDEX([1]Sheet2!A:A,MATCH(E684,[1]Sheet2!B:B,0))</f>
        <v>衡阳志扬体育文化有限公司</v>
      </c>
      <c r="E684" s="23" t="s">
        <v>74</v>
      </c>
      <c r="F684" s="24">
        <f t="shared" si="11"/>
        <v>5403</v>
      </c>
      <c r="G684" s="24" t="s">
        <v>49</v>
      </c>
      <c r="H684" s="36"/>
      <c r="I684" s="36"/>
      <c r="J684" s="24"/>
      <c r="K684" s="24"/>
      <c r="L684" s="24"/>
      <c r="M684" s="24"/>
      <c r="N684" s="24"/>
      <c r="O684" s="24"/>
      <c r="P684" s="24"/>
      <c r="Q684" s="24"/>
      <c r="R684" s="43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>
        <v>5403</v>
      </c>
      <c r="AF684" s="36"/>
      <c r="AG684" s="36"/>
      <c r="AH684" s="36"/>
      <c r="AI684" s="36"/>
    </row>
    <row r="685" s="1" customFormat="1" customHeight="1" spans="1:35">
      <c r="A685" s="17">
        <v>682</v>
      </c>
      <c r="B685" s="20">
        <v>46139</v>
      </c>
      <c r="C685" s="21" t="s">
        <v>201</v>
      </c>
      <c r="D685" s="22" t="str" cm="1">
        <f t="array" ref="D685">INDEX([1]Sheet2!A:A,MATCH(E685,[1]Sheet2!B:B,0))</f>
        <v>阳小华</v>
      </c>
      <c r="E685" s="23" t="s">
        <v>202</v>
      </c>
      <c r="F685" s="24">
        <f t="shared" si="11"/>
        <v>200</v>
      </c>
      <c r="G685" s="24" t="s">
        <v>77</v>
      </c>
      <c r="H685" s="36"/>
      <c r="I685" s="36"/>
      <c r="J685" s="24"/>
      <c r="K685" s="24"/>
      <c r="L685" s="24"/>
      <c r="M685" s="24"/>
      <c r="N685" s="24"/>
      <c r="O685" s="24"/>
      <c r="P685" s="24"/>
      <c r="Q685" s="24"/>
      <c r="R685" s="43"/>
      <c r="S685" s="24">
        <v>200</v>
      </c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36"/>
      <c r="AG685" s="36"/>
      <c r="AH685" s="36"/>
      <c r="AI685" s="36"/>
    </row>
    <row r="686" s="1" customFormat="1" customHeight="1" spans="1:35">
      <c r="A686" s="17">
        <v>683</v>
      </c>
      <c r="B686" s="20">
        <v>46139</v>
      </c>
      <c r="C686" s="21" t="s">
        <v>84</v>
      </c>
      <c r="D686" s="22" t="str" cm="1">
        <f t="array" ref="D686">INDEX([1]Sheet2!A:A,MATCH(E686,[1]Sheet2!B:B,0))</f>
        <v>莫靖凡</v>
      </c>
      <c r="E686" s="23" t="s">
        <v>85</v>
      </c>
      <c r="F686" s="24">
        <f t="shared" si="11"/>
        <v>50</v>
      </c>
      <c r="G686" s="24" t="s">
        <v>77</v>
      </c>
      <c r="H686" s="36"/>
      <c r="I686" s="36"/>
      <c r="J686" s="24"/>
      <c r="K686" s="24"/>
      <c r="L686" s="24"/>
      <c r="M686" s="24"/>
      <c r="N686" s="24"/>
      <c r="O686" s="24"/>
      <c r="P686" s="24"/>
      <c r="Q686" s="24"/>
      <c r="R686" s="43"/>
      <c r="S686" s="24">
        <v>50</v>
      </c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36"/>
      <c r="AG686" s="36"/>
      <c r="AH686" s="36"/>
      <c r="AI686" s="36"/>
    </row>
    <row r="687" s="1" customFormat="1" customHeight="1" spans="1:35">
      <c r="A687" s="17">
        <v>684</v>
      </c>
      <c r="B687" s="20">
        <v>46139</v>
      </c>
      <c r="C687" s="21" t="s">
        <v>352</v>
      </c>
      <c r="D687" s="22" t="str" cm="1">
        <f t="array" ref="D687">INDEX([1]Sheet2!A:A,MATCH(E687,[1]Sheet2!B:B,0))</f>
        <v>衡阳市蒸湘区星球很忙城市欢乐中心（个体工商户）</v>
      </c>
      <c r="E687" s="23" t="s">
        <v>353</v>
      </c>
      <c r="F687" s="24">
        <f t="shared" si="11"/>
        <v>10000</v>
      </c>
      <c r="G687" s="24" t="s">
        <v>77</v>
      </c>
      <c r="H687" s="36"/>
      <c r="I687" s="36"/>
      <c r="J687" s="24"/>
      <c r="K687" s="24"/>
      <c r="L687" s="24"/>
      <c r="M687" s="24"/>
      <c r="N687" s="24"/>
      <c r="O687" s="24"/>
      <c r="P687" s="24"/>
      <c r="Q687" s="24"/>
      <c r="R687" s="43"/>
      <c r="S687" s="24">
        <v>10000</v>
      </c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36"/>
      <c r="AG687" s="36"/>
      <c r="AH687" s="36"/>
      <c r="AI687" s="36"/>
    </row>
    <row r="688" s="1" customFormat="1" customHeight="1" spans="1:35">
      <c r="A688" s="17">
        <v>685</v>
      </c>
      <c r="B688" s="20">
        <v>46139</v>
      </c>
      <c r="C688" s="21" t="s">
        <v>230</v>
      </c>
      <c r="D688" s="22" t="str" cm="1">
        <f t="array" ref="D688">INDEX([1]Sheet2!A:A,MATCH(E688,[1]Sheet2!B:B,0))</f>
        <v>许翠敏</v>
      </c>
      <c r="E688" s="23" t="s">
        <v>231</v>
      </c>
      <c r="F688" s="24">
        <f t="shared" si="11"/>
        <v>100</v>
      </c>
      <c r="G688" s="24" t="s">
        <v>77</v>
      </c>
      <c r="H688" s="36"/>
      <c r="I688" s="36"/>
      <c r="J688" s="24"/>
      <c r="K688" s="24"/>
      <c r="L688" s="24"/>
      <c r="M688" s="24"/>
      <c r="N688" s="24"/>
      <c r="O688" s="24"/>
      <c r="P688" s="24"/>
      <c r="Q688" s="24"/>
      <c r="R688" s="43"/>
      <c r="S688" s="24">
        <v>100</v>
      </c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36"/>
      <c r="AG688" s="36"/>
      <c r="AH688" s="36"/>
      <c r="AI688" s="36"/>
    </row>
    <row r="689" s="1" customFormat="1" customHeight="1" spans="1:35">
      <c r="A689" s="17">
        <v>686</v>
      </c>
      <c r="B689" s="20">
        <v>46139</v>
      </c>
      <c r="C689" s="21" t="s">
        <v>131</v>
      </c>
      <c r="D689" s="22" t="str" cm="1">
        <f t="array" ref="D689">INDEX([1]Sheet2!A:A,MATCH(E689,[1]Sheet2!B:B,0))</f>
        <v>吴艳芳</v>
      </c>
      <c r="E689" s="23" t="s">
        <v>662</v>
      </c>
      <c r="F689" s="24">
        <f t="shared" si="11"/>
        <v>2000</v>
      </c>
      <c r="G689" s="24" t="s">
        <v>77</v>
      </c>
      <c r="H689" s="36"/>
      <c r="I689" s="36"/>
      <c r="J689" s="24"/>
      <c r="K689" s="24"/>
      <c r="L689" s="24"/>
      <c r="M689" s="24"/>
      <c r="N689" s="24"/>
      <c r="O689" s="24"/>
      <c r="P689" s="24"/>
      <c r="Q689" s="24"/>
      <c r="R689" s="43"/>
      <c r="S689" s="24">
        <v>2000</v>
      </c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36"/>
      <c r="AG689" s="36"/>
      <c r="AH689" s="36"/>
      <c r="AI689" s="36"/>
    </row>
    <row r="690" s="1" customFormat="1" customHeight="1" spans="1:35">
      <c r="A690" s="17">
        <v>687</v>
      </c>
      <c r="B690" s="20">
        <v>46139</v>
      </c>
      <c r="C690" s="21" t="s">
        <v>115</v>
      </c>
      <c r="D690" s="22" t="str" cm="1">
        <f t="array" ref="D690">INDEX([1]Sheet2!A:A,MATCH(E690,[1]Sheet2!B:B,0))</f>
        <v>湖南亮点体育文化发展有限公司</v>
      </c>
      <c r="E690" s="23" t="s">
        <v>116</v>
      </c>
      <c r="F690" s="24">
        <f t="shared" si="11"/>
        <v>100</v>
      </c>
      <c r="G690" s="24" t="s">
        <v>77</v>
      </c>
      <c r="H690" s="36"/>
      <c r="I690" s="36"/>
      <c r="J690" s="24"/>
      <c r="K690" s="24"/>
      <c r="L690" s="24"/>
      <c r="M690" s="24"/>
      <c r="N690" s="24"/>
      <c r="O690" s="24"/>
      <c r="P690" s="24"/>
      <c r="Q690" s="24"/>
      <c r="R690" s="43"/>
      <c r="S690" s="24">
        <v>100</v>
      </c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36"/>
      <c r="AG690" s="36"/>
      <c r="AH690" s="36"/>
      <c r="AI690" s="36"/>
    </row>
    <row r="691" s="1" customFormat="1" customHeight="1" spans="1:35">
      <c r="A691" s="17">
        <v>688</v>
      </c>
      <c r="B691" s="20">
        <v>46139</v>
      </c>
      <c r="C691" s="21" t="s">
        <v>119</v>
      </c>
      <c r="D691" s="22" t="str" cm="1">
        <f t="array" ref="D691">INDEX([1]Sheet2!A:A,MATCH(E691,[1]Sheet2!B:B,0))</f>
        <v>湖南亮点体育文化发展有限公司</v>
      </c>
      <c r="E691" s="23" t="s">
        <v>120</v>
      </c>
      <c r="F691" s="24">
        <f t="shared" si="11"/>
        <v>100</v>
      </c>
      <c r="G691" s="24" t="s">
        <v>77</v>
      </c>
      <c r="H691" s="36"/>
      <c r="I691" s="36"/>
      <c r="J691" s="24"/>
      <c r="K691" s="24"/>
      <c r="L691" s="24"/>
      <c r="M691" s="24"/>
      <c r="N691" s="24"/>
      <c r="O691" s="24"/>
      <c r="P691" s="24"/>
      <c r="Q691" s="24"/>
      <c r="R691" s="43"/>
      <c r="S691" s="24">
        <v>100</v>
      </c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36"/>
      <c r="AG691" s="36"/>
      <c r="AH691" s="36"/>
      <c r="AI691" s="36"/>
    </row>
    <row r="692" s="1" customFormat="1" customHeight="1" spans="1:35">
      <c r="A692" s="17">
        <v>689</v>
      </c>
      <c r="B692" s="20">
        <v>46139</v>
      </c>
      <c r="C692" s="21" t="s">
        <v>75</v>
      </c>
      <c r="D692" s="22" t="str" cm="1">
        <f t="array" ref="D692">INDEX([1]Sheet2!A:A,MATCH(E692,[1]Sheet2!B:B,0))</f>
        <v>刘连</v>
      </c>
      <c r="E692" s="23" t="s">
        <v>76</v>
      </c>
      <c r="F692" s="24">
        <f t="shared" si="11"/>
        <v>100</v>
      </c>
      <c r="G692" s="24" t="s">
        <v>77</v>
      </c>
      <c r="H692" s="36"/>
      <c r="I692" s="36"/>
      <c r="J692" s="24"/>
      <c r="K692" s="24"/>
      <c r="L692" s="24"/>
      <c r="M692" s="24"/>
      <c r="N692" s="24"/>
      <c r="O692" s="24"/>
      <c r="P692" s="24"/>
      <c r="Q692" s="24"/>
      <c r="R692" s="43"/>
      <c r="S692" s="24">
        <v>100</v>
      </c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36"/>
      <c r="AG692" s="36"/>
      <c r="AH692" s="36"/>
      <c r="AI692" s="36"/>
    </row>
    <row r="693" s="1" customFormat="1" customHeight="1" spans="1:35">
      <c r="A693" s="17">
        <v>690</v>
      </c>
      <c r="B693" s="20">
        <v>46139</v>
      </c>
      <c r="C693" s="21" t="s">
        <v>24</v>
      </c>
      <c r="D693" s="22" t="str" cm="1">
        <f t="array" ref="D693">INDEX([1]Sheet2!A:A,MATCH(E693,[1]Sheet2!B:B,0))</f>
        <v>临时</v>
      </c>
      <c r="E693" s="23" t="s">
        <v>99</v>
      </c>
      <c r="F693" s="24">
        <f t="shared" si="11"/>
        <v>222</v>
      </c>
      <c r="G693" s="24" t="s">
        <v>100</v>
      </c>
      <c r="H693" s="36"/>
      <c r="I693" s="36"/>
      <c r="J693" s="24"/>
      <c r="K693" s="24"/>
      <c r="L693" s="24"/>
      <c r="M693" s="24"/>
      <c r="N693" s="24"/>
      <c r="O693" s="24"/>
      <c r="P693" s="24"/>
      <c r="Q693" s="24"/>
      <c r="R693" s="43"/>
      <c r="S693" s="24"/>
      <c r="T693" s="24"/>
      <c r="U693" s="24"/>
      <c r="V693" s="24"/>
      <c r="W693" s="24">
        <v>222</v>
      </c>
      <c r="X693" s="24"/>
      <c r="Y693" s="24"/>
      <c r="Z693" s="24"/>
      <c r="AA693" s="24"/>
      <c r="AB693" s="24"/>
      <c r="AC693" s="24"/>
      <c r="AD693" s="24"/>
      <c r="AE693" s="24"/>
      <c r="AF693" s="36"/>
      <c r="AG693" s="36"/>
      <c r="AH693" s="36"/>
      <c r="AI693" s="36"/>
    </row>
    <row r="694" s="1" customFormat="1" customHeight="1" spans="1:35">
      <c r="A694" s="17">
        <v>691</v>
      </c>
      <c r="B694" s="20">
        <v>46140</v>
      </c>
      <c r="C694" s="21" t="s">
        <v>663</v>
      </c>
      <c r="D694" s="22" t="s">
        <v>664</v>
      </c>
      <c r="E694" s="23" t="s">
        <v>665</v>
      </c>
      <c r="F694" s="24">
        <f t="shared" si="11"/>
        <v>45000</v>
      </c>
      <c r="G694" s="24" t="s">
        <v>40</v>
      </c>
      <c r="H694" s="25">
        <v>46054</v>
      </c>
      <c r="I694" s="25">
        <v>46142</v>
      </c>
      <c r="J694" s="24">
        <v>22500</v>
      </c>
      <c r="K694" s="24">
        <v>22500</v>
      </c>
      <c r="L694" s="24"/>
      <c r="M694" s="24"/>
      <c r="N694" s="24"/>
      <c r="O694" s="24"/>
      <c r="P694" s="24"/>
      <c r="Q694" s="24"/>
      <c r="R694" s="43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36"/>
      <c r="AG694" s="36"/>
      <c r="AH694" s="36"/>
      <c r="AI694" s="36"/>
    </row>
    <row r="695" s="1" customFormat="1" customHeight="1" spans="1:35">
      <c r="A695" s="17">
        <v>692</v>
      </c>
      <c r="B695" s="20">
        <v>46140</v>
      </c>
      <c r="C695" s="21" t="s">
        <v>663</v>
      </c>
      <c r="D695" s="22" t="s">
        <v>664</v>
      </c>
      <c r="E695" s="23" t="s">
        <v>665</v>
      </c>
      <c r="F695" s="24">
        <f t="shared" si="11"/>
        <v>614.08</v>
      </c>
      <c r="G695" s="24" t="s">
        <v>40</v>
      </c>
      <c r="H695" s="25">
        <v>46082</v>
      </c>
      <c r="I695" s="25">
        <v>46112</v>
      </c>
      <c r="J695" s="24"/>
      <c r="K695" s="24"/>
      <c r="L695" s="24"/>
      <c r="M695" s="24"/>
      <c r="N695" s="24"/>
      <c r="O695" s="24"/>
      <c r="P695" s="24"/>
      <c r="Q695" s="24">
        <v>614.08</v>
      </c>
      <c r="R695" s="43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36"/>
      <c r="AG695" s="36"/>
      <c r="AH695" s="36"/>
      <c r="AI695" s="36"/>
    </row>
    <row r="696" s="1" customFormat="1" customHeight="1" spans="1:35">
      <c r="A696" s="17">
        <v>693</v>
      </c>
      <c r="B696" s="20">
        <v>46140</v>
      </c>
      <c r="C696" s="21" t="s">
        <v>666</v>
      </c>
      <c r="D696" s="22" t="s">
        <v>664</v>
      </c>
      <c r="E696" s="23" t="s">
        <v>667</v>
      </c>
      <c r="F696" s="24">
        <f t="shared" si="11"/>
        <v>260.92</v>
      </c>
      <c r="G696" s="24" t="s">
        <v>40</v>
      </c>
      <c r="H696" s="25">
        <v>46082</v>
      </c>
      <c r="I696" s="25">
        <v>46112</v>
      </c>
      <c r="J696" s="24"/>
      <c r="K696" s="24"/>
      <c r="L696" s="24"/>
      <c r="M696" s="24"/>
      <c r="N696" s="24"/>
      <c r="O696" s="24"/>
      <c r="P696" s="24"/>
      <c r="Q696" s="24"/>
      <c r="R696" s="43">
        <v>260.92</v>
      </c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36"/>
      <c r="AG696" s="36"/>
      <c r="AH696" s="36"/>
      <c r="AI696" s="36"/>
    </row>
    <row r="697" s="1" customFormat="1" customHeight="1" spans="1:35">
      <c r="A697" s="17">
        <v>694</v>
      </c>
      <c r="B697" s="20">
        <v>46140</v>
      </c>
      <c r="C697" s="21" t="s">
        <v>232</v>
      </c>
      <c r="D697" s="22" t="s">
        <v>668</v>
      </c>
      <c r="E697" s="23" t="s">
        <v>233</v>
      </c>
      <c r="F697" s="24">
        <f t="shared" si="11"/>
        <v>15000</v>
      </c>
      <c r="G697" s="24" t="s">
        <v>40</v>
      </c>
      <c r="H697" s="25">
        <v>46174</v>
      </c>
      <c r="I697" s="25">
        <v>46203</v>
      </c>
      <c r="J697" s="24">
        <v>7500</v>
      </c>
      <c r="K697" s="24">
        <v>7500</v>
      </c>
      <c r="L697" s="24"/>
      <c r="M697" s="24"/>
      <c r="N697" s="24"/>
      <c r="O697" s="24"/>
      <c r="P697" s="24"/>
      <c r="Q697" s="24"/>
      <c r="R697" s="43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36"/>
      <c r="AG697" s="36"/>
      <c r="AH697" s="36"/>
      <c r="AI697" s="36"/>
    </row>
    <row r="698" s="1" customFormat="1" customHeight="1" spans="1:35">
      <c r="A698" s="17">
        <v>695</v>
      </c>
      <c r="B698" s="20">
        <v>46140</v>
      </c>
      <c r="C698" s="21" t="s">
        <v>462</v>
      </c>
      <c r="D698" s="22" t="str" cm="1">
        <f t="array" ref="D698">INDEX([1]Sheet2!A:A,MATCH(E698,[1]Sheet2!B:B,0))</f>
        <v>长沙屈臣氏个人用品商店有限公司</v>
      </c>
      <c r="E698" s="23" t="s">
        <v>464</v>
      </c>
      <c r="F698" s="24">
        <f t="shared" si="11"/>
        <v>5000</v>
      </c>
      <c r="G698" s="24" t="s">
        <v>40</v>
      </c>
      <c r="H698" s="36"/>
      <c r="I698" s="36"/>
      <c r="J698" s="24"/>
      <c r="K698" s="24"/>
      <c r="L698" s="24"/>
      <c r="M698" s="24"/>
      <c r="N698" s="24"/>
      <c r="O698" s="24"/>
      <c r="P698" s="24"/>
      <c r="Q698" s="24"/>
      <c r="R698" s="43"/>
      <c r="S698" s="24">
        <v>5000</v>
      </c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36"/>
      <c r="AG698" s="36"/>
      <c r="AH698" s="36"/>
      <c r="AI698" s="36"/>
    </row>
    <row r="699" s="1" customFormat="1" customHeight="1" spans="1:35">
      <c r="A699" s="17">
        <v>696</v>
      </c>
      <c r="B699" s="20">
        <v>46140</v>
      </c>
      <c r="C699" s="21" t="s">
        <v>669</v>
      </c>
      <c r="D699" s="22" t="s">
        <v>581</v>
      </c>
      <c r="E699" s="23" t="s">
        <v>582</v>
      </c>
      <c r="F699" s="24">
        <f t="shared" si="11"/>
        <v>3133.52</v>
      </c>
      <c r="G699" s="24" t="s">
        <v>40</v>
      </c>
      <c r="H699" s="25">
        <v>45962</v>
      </c>
      <c r="I699" s="25">
        <v>45991</v>
      </c>
      <c r="J699" s="24">
        <v>3133.52</v>
      </c>
      <c r="K699" s="24"/>
      <c r="L699" s="24"/>
      <c r="M699" s="24"/>
      <c r="N699" s="24"/>
      <c r="O699" s="24"/>
      <c r="P699" s="24"/>
      <c r="Q699" s="24"/>
      <c r="R699" s="43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36"/>
      <c r="AG699" s="36"/>
      <c r="AH699" s="36"/>
      <c r="AI699" s="36"/>
    </row>
    <row r="700" s="1" customFormat="1" customHeight="1" spans="1:35">
      <c r="A700" s="17">
        <v>697</v>
      </c>
      <c r="B700" s="20">
        <v>46140</v>
      </c>
      <c r="C700" s="21" t="s">
        <v>24</v>
      </c>
      <c r="D700" s="22" t="str" cm="1">
        <f t="array" ref="D700">INDEX([1]Sheet2!A:A,MATCH(E700,[1]Sheet2!B:B,0))</f>
        <v>充值</v>
      </c>
      <c r="E700" s="23" t="s">
        <v>72</v>
      </c>
      <c r="F700" s="24">
        <f t="shared" si="11"/>
        <v>2350</v>
      </c>
      <c r="G700" s="24" t="s">
        <v>49</v>
      </c>
      <c r="H700" s="36"/>
      <c r="I700" s="36"/>
      <c r="J700" s="24"/>
      <c r="K700" s="24"/>
      <c r="L700" s="24"/>
      <c r="M700" s="24"/>
      <c r="N700" s="24"/>
      <c r="O700" s="24"/>
      <c r="P700" s="24"/>
      <c r="Q700" s="24"/>
      <c r="R700" s="43"/>
      <c r="S700" s="24"/>
      <c r="T700" s="24"/>
      <c r="U700" s="24"/>
      <c r="V700" s="24"/>
      <c r="W700" s="24">
        <v>2350</v>
      </c>
      <c r="X700" s="24"/>
      <c r="Y700" s="24"/>
      <c r="Z700" s="24"/>
      <c r="AA700" s="24"/>
      <c r="AB700" s="24"/>
      <c r="AC700" s="24"/>
      <c r="AD700" s="24"/>
      <c r="AE700" s="24"/>
      <c r="AF700" s="36"/>
      <c r="AG700" s="36"/>
      <c r="AH700" s="36"/>
      <c r="AI700" s="36"/>
    </row>
    <row r="701" s="1" customFormat="1" customHeight="1" spans="1:35">
      <c r="A701" s="17">
        <v>698</v>
      </c>
      <c r="B701" s="20">
        <v>46140</v>
      </c>
      <c r="C701" s="21" t="s">
        <v>670</v>
      </c>
      <c r="D701" s="22" t="s">
        <v>671</v>
      </c>
      <c r="E701" s="23" t="s">
        <v>672</v>
      </c>
      <c r="F701" s="24">
        <f t="shared" si="11"/>
        <v>5000</v>
      </c>
      <c r="G701" s="24" t="s">
        <v>49</v>
      </c>
      <c r="H701" s="25">
        <v>46143</v>
      </c>
      <c r="I701" s="25">
        <v>46173</v>
      </c>
      <c r="J701" s="24"/>
      <c r="K701" s="24"/>
      <c r="L701" s="24"/>
      <c r="M701" s="24"/>
      <c r="N701" s="24"/>
      <c r="O701" s="24">
        <v>5000</v>
      </c>
      <c r="P701" s="24"/>
      <c r="Q701" s="24"/>
      <c r="R701" s="43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36"/>
      <c r="AG701" s="36"/>
      <c r="AH701" s="36"/>
      <c r="AI701" s="36"/>
    </row>
    <row r="702" s="1" customFormat="1" customHeight="1" spans="1:35">
      <c r="A702" s="17">
        <v>699</v>
      </c>
      <c r="B702" s="20">
        <v>46140</v>
      </c>
      <c r="C702" s="21" t="s">
        <v>673</v>
      </c>
      <c r="D702" s="22" t="e" cm="1">
        <f t="array" ref="D702">INDEX([1]Sheet2!A:A,MATCH(E702,[1]Sheet2!B:B,0))</f>
        <v>#N/A</v>
      </c>
      <c r="E702" s="23" t="s">
        <v>674</v>
      </c>
      <c r="F702" s="24">
        <f t="shared" si="11"/>
        <v>2000</v>
      </c>
      <c r="G702" s="24" t="s">
        <v>49</v>
      </c>
      <c r="H702" s="25">
        <v>46143</v>
      </c>
      <c r="I702" s="25">
        <v>46146</v>
      </c>
      <c r="J702" s="24"/>
      <c r="K702" s="24"/>
      <c r="L702" s="24"/>
      <c r="M702" s="24"/>
      <c r="N702" s="24"/>
      <c r="O702" s="24"/>
      <c r="P702" s="24">
        <v>2000</v>
      </c>
      <c r="Q702" s="24"/>
      <c r="R702" s="43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36"/>
      <c r="AG702" s="36"/>
      <c r="AH702" s="36"/>
      <c r="AI702" s="36"/>
    </row>
    <row r="703" s="1" customFormat="1" customHeight="1" spans="1:35">
      <c r="A703" s="17">
        <v>700</v>
      </c>
      <c r="B703" s="20">
        <v>46140</v>
      </c>
      <c r="C703" s="21" t="s">
        <v>563</v>
      </c>
      <c r="D703" s="22" t="s">
        <v>675</v>
      </c>
      <c r="E703" s="23" t="s">
        <v>676</v>
      </c>
      <c r="F703" s="24">
        <f t="shared" si="11"/>
        <v>14155</v>
      </c>
      <c r="G703" s="24" t="s">
        <v>49</v>
      </c>
      <c r="H703" s="25">
        <v>46143</v>
      </c>
      <c r="I703" s="25">
        <v>46173</v>
      </c>
      <c r="J703" s="24">
        <v>5960</v>
      </c>
      <c r="K703" s="24">
        <v>8195</v>
      </c>
      <c r="L703" s="24"/>
      <c r="M703" s="24"/>
      <c r="N703" s="24"/>
      <c r="O703" s="24"/>
      <c r="P703" s="24"/>
      <c r="Q703" s="24"/>
      <c r="R703" s="43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36"/>
      <c r="AG703" s="36"/>
      <c r="AH703" s="36"/>
      <c r="AI703" s="36"/>
    </row>
    <row r="704" s="1" customFormat="1" customHeight="1" spans="1:35">
      <c r="A704" s="17">
        <v>701</v>
      </c>
      <c r="B704" s="20">
        <v>46140</v>
      </c>
      <c r="C704" s="21" t="s">
        <v>143</v>
      </c>
      <c r="D704" s="22" t="s">
        <v>571</v>
      </c>
      <c r="E704" s="23" t="s">
        <v>572</v>
      </c>
      <c r="F704" s="24">
        <f t="shared" si="11"/>
        <v>8000</v>
      </c>
      <c r="G704" s="24" t="s">
        <v>49</v>
      </c>
      <c r="H704" s="25">
        <v>46054</v>
      </c>
      <c r="I704" s="25">
        <v>46081</v>
      </c>
      <c r="J704" s="24">
        <v>4872</v>
      </c>
      <c r="K704" s="24"/>
      <c r="L704" s="24"/>
      <c r="M704" s="24"/>
      <c r="N704" s="24"/>
      <c r="O704" s="24"/>
      <c r="P704" s="24"/>
      <c r="Q704" s="24"/>
      <c r="R704" s="43"/>
      <c r="S704" s="24"/>
      <c r="T704" s="24"/>
      <c r="U704" s="24"/>
      <c r="V704" s="24"/>
      <c r="W704" s="24"/>
      <c r="X704" s="24"/>
      <c r="Y704" s="24"/>
      <c r="Z704" s="24"/>
      <c r="AA704" s="24">
        <v>3128</v>
      </c>
      <c r="AB704" s="24"/>
      <c r="AC704" s="24"/>
      <c r="AD704" s="24"/>
      <c r="AE704" s="24"/>
      <c r="AF704" s="36"/>
      <c r="AG704" s="36"/>
      <c r="AH704" s="36"/>
      <c r="AI704" s="36"/>
    </row>
    <row r="705" s="1" customFormat="1" customHeight="1" spans="1:35">
      <c r="A705" s="17">
        <v>702</v>
      </c>
      <c r="B705" s="20">
        <v>46140</v>
      </c>
      <c r="C705" s="21" t="s">
        <v>73</v>
      </c>
      <c r="D705" s="22" t="str" cm="1">
        <f t="array" ref="D705">INDEX([1]Sheet2!A:A,MATCH(E705,[1]Sheet2!B:B,0))</f>
        <v>衡阳志扬体育文化有限公司</v>
      </c>
      <c r="E705" s="23" t="s">
        <v>74</v>
      </c>
      <c r="F705" s="24">
        <f t="shared" si="11"/>
        <v>4962</v>
      </c>
      <c r="G705" s="24" t="s">
        <v>49</v>
      </c>
      <c r="H705" s="36"/>
      <c r="I705" s="36"/>
      <c r="J705" s="24"/>
      <c r="K705" s="24"/>
      <c r="L705" s="24"/>
      <c r="M705" s="24"/>
      <c r="N705" s="24"/>
      <c r="O705" s="24"/>
      <c r="P705" s="24"/>
      <c r="Q705" s="24"/>
      <c r="R705" s="43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>
        <v>4962</v>
      </c>
      <c r="AF705" s="36"/>
      <c r="AG705" s="36"/>
      <c r="AH705" s="36"/>
      <c r="AI705" s="36"/>
    </row>
    <row r="706" s="1" customFormat="1" customHeight="1" spans="1:35">
      <c r="A706" s="17">
        <v>703</v>
      </c>
      <c r="B706" s="20">
        <v>46140</v>
      </c>
      <c r="C706" s="21" t="s">
        <v>113</v>
      </c>
      <c r="D706" s="22" t="s">
        <v>152</v>
      </c>
      <c r="E706" s="23" t="s">
        <v>153</v>
      </c>
      <c r="F706" s="24">
        <f t="shared" si="11"/>
        <v>1000</v>
      </c>
      <c r="G706" s="24" t="s">
        <v>49</v>
      </c>
      <c r="H706" s="36"/>
      <c r="I706" s="36"/>
      <c r="J706" s="24"/>
      <c r="K706" s="24"/>
      <c r="L706" s="24"/>
      <c r="M706" s="24"/>
      <c r="N706" s="24"/>
      <c r="O706" s="24"/>
      <c r="P706" s="24"/>
      <c r="Q706" s="24"/>
      <c r="R706" s="43"/>
      <c r="S706" s="24"/>
      <c r="T706" s="24"/>
      <c r="U706" s="24"/>
      <c r="V706" s="24"/>
      <c r="W706" s="24">
        <v>1000</v>
      </c>
      <c r="X706" s="24"/>
      <c r="Y706" s="24"/>
      <c r="Z706" s="24"/>
      <c r="AA706" s="24"/>
      <c r="AB706" s="24"/>
      <c r="AC706" s="24"/>
      <c r="AD706" s="24"/>
      <c r="AE706" s="24"/>
      <c r="AF706" s="36"/>
      <c r="AG706" s="36"/>
      <c r="AH706" s="36"/>
      <c r="AI706" s="36"/>
    </row>
    <row r="707" s="1" customFormat="1" customHeight="1" spans="1:35">
      <c r="A707" s="17">
        <v>704</v>
      </c>
      <c r="B707" s="20">
        <v>46140</v>
      </c>
      <c r="C707" s="21" t="s">
        <v>168</v>
      </c>
      <c r="D707" s="22" t="e" cm="1">
        <f t="array" ref="D707">INDEX([1]Sheet2!A:A,MATCH(E707,[1]Sheet2!B:B,0))</f>
        <v>#N/A</v>
      </c>
      <c r="E707" s="23" t="s">
        <v>168</v>
      </c>
      <c r="F707" s="24">
        <f t="shared" si="11"/>
        <v>10</v>
      </c>
      <c r="G707" s="24" t="s">
        <v>49</v>
      </c>
      <c r="H707" s="36"/>
      <c r="I707" s="36"/>
      <c r="J707" s="24"/>
      <c r="K707" s="24"/>
      <c r="L707" s="24"/>
      <c r="M707" s="24"/>
      <c r="N707" s="24"/>
      <c r="O707" s="24"/>
      <c r="P707" s="24"/>
      <c r="Q707" s="24"/>
      <c r="R707" s="43"/>
      <c r="S707" s="24"/>
      <c r="T707" s="24"/>
      <c r="U707" s="24"/>
      <c r="V707" s="24">
        <v>10</v>
      </c>
      <c r="W707" s="24"/>
      <c r="X707" s="24"/>
      <c r="Y707" s="24"/>
      <c r="Z707" s="24"/>
      <c r="AA707" s="24"/>
      <c r="AB707" s="24"/>
      <c r="AC707" s="24"/>
      <c r="AD707" s="24"/>
      <c r="AE707" s="24"/>
      <c r="AF707" s="36"/>
      <c r="AG707" s="36"/>
      <c r="AH707" s="36"/>
      <c r="AI707" s="36"/>
    </row>
    <row r="708" s="2" customFormat="1" customHeight="1" spans="1:35">
      <c r="A708" s="27">
        <v>705</v>
      </c>
      <c r="B708" s="28">
        <v>46140</v>
      </c>
      <c r="C708" s="34" t="s">
        <v>28</v>
      </c>
      <c r="D708" s="30" t="s">
        <v>402</v>
      </c>
      <c r="E708" s="31" t="s">
        <v>403</v>
      </c>
      <c r="F708" s="32">
        <f t="shared" ref="F708:F771" si="12">SUM(J708:AE708)</f>
        <v>35000</v>
      </c>
      <c r="G708" s="32" t="s">
        <v>49</v>
      </c>
      <c r="H708" s="35"/>
      <c r="I708" s="35"/>
      <c r="J708" s="32"/>
      <c r="K708" s="32"/>
      <c r="L708" s="32"/>
      <c r="M708" s="32"/>
      <c r="N708" s="32"/>
      <c r="O708" s="32"/>
      <c r="P708" s="32"/>
      <c r="Q708" s="32"/>
      <c r="R708" s="45"/>
      <c r="S708" s="32"/>
      <c r="T708" s="32"/>
      <c r="U708" s="32"/>
      <c r="V708" s="32"/>
      <c r="W708" s="32"/>
      <c r="X708" s="32"/>
      <c r="Y708" s="32"/>
      <c r="Z708" s="32"/>
      <c r="AA708" s="32">
        <v>35000</v>
      </c>
      <c r="AB708" s="32"/>
      <c r="AC708" s="32"/>
      <c r="AD708" s="32"/>
      <c r="AE708" s="32"/>
      <c r="AF708" s="35" t="s">
        <v>60</v>
      </c>
      <c r="AG708" s="35"/>
      <c r="AH708" s="35"/>
      <c r="AI708" s="35"/>
    </row>
    <row r="709" s="1" customFormat="1" customHeight="1" spans="1:35">
      <c r="A709" s="17">
        <v>706</v>
      </c>
      <c r="B709" s="20">
        <v>46140</v>
      </c>
      <c r="C709" s="21" t="s">
        <v>113</v>
      </c>
      <c r="D709" s="22" t="str" cm="1">
        <f t="array" ref="D709">INDEX([1]Sheet2!A:A,MATCH(E709,[1]Sheet2!B:B,0))</f>
        <v>湖南亮点体育文化发展有限公司</v>
      </c>
      <c r="E709" s="23" t="s">
        <v>114</v>
      </c>
      <c r="F709" s="24">
        <f t="shared" si="12"/>
        <v>100</v>
      </c>
      <c r="G709" s="24" t="s">
        <v>77</v>
      </c>
      <c r="H709" s="36"/>
      <c r="I709" s="36"/>
      <c r="J709" s="24"/>
      <c r="K709" s="24"/>
      <c r="L709" s="24"/>
      <c r="M709" s="24"/>
      <c r="N709" s="24"/>
      <c r="O709" s="24"/>
      <c r="P709" s="24"/>
      <c r="Q709" s="24"/>
      <c r="R709" s="43"/>
      <c r="S709" s="24">
        <v>100</v>
      </c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36"/>
      <c r="AG709" s="36"/>
      <c r="AH709" s="36"/>
      <c r="AI709" s="36"/>
    </row>
    <row r="710" s="1" customFormat="1" customHeight="1" spans="1:35">
      <c r="A710" s="17">
        <v>707</v>
      </c>
      <c r="B710" s="20">
        <v>46140</v>
      </c>
      <c r="C710" s="21" t="s">
        <v>115</v>
      </c>
      <c r="D710" s="22" t="str" cm="1">
        <f t="array" ref="D710">INDEX([1]Sheet2!A:A,MATCH(E710,[1]Sheet2!B:B,0))</f>
        <v>湖南亮点体育文化发展有限公司</v>
      </c>
      <c r="E710" s="23" t="s">
        <v>116</v>
      </c>
      <c r="F710" s="24">
        <f t="shared" si="12"/>
        <v>200</v>
      </c>
      <c r="G710" s="24" t="s">
        <v>77</v>
      </c>
      <c r="H710" s="36"/>
      <c r="I710" s="36"/>
      <c r="J710" s="24"/>
      <c r="K710" s="24"/>
      <c r="L710" s="24"/>
      <c r="M710" s="24"/>
      <c r="N710" s="24"/>
      <c r="O710" s="24"/>
      <c r="P710" s="24"/>
      <c r="Q710" s="24"/>
      <c r="R710" s="43"/>
      <c r="S710" s="24">
        <v>200</v>
      </c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36"/>
      <c r="AG710" s="36"/>
      <c r="AH710" s="36"/>
      <c r="AI710" s="36"/>
    </row>
    <row r="711" s="1" customFormat="1" customHeight="1" spans="1:35">
      <c r="A711" s="17">
        <v>708</v>
      </c>
      <c r="B711" s="20">
        <v>46140</v>
      </c>
      <c r="C711" s="21" t="s">
        <v>117</v>
      </c>
      <c r="D711" s="22" t="str" cm="1">
        <f t="array" ref="D711">INDEX([1]Sheet2!A:A,MATCH(E711,[1]Sheet2!B:B,0))</f>
        <v>湖南亮点体育文化发展有限公司</v>
      </c>
      <c r="E711" s="23" t="s">
        <v>118</v>
      </c>
      <c r="F711" s="24">
        <f t="shared" si="12"/>
        <v>100</v>
      </c>
      <c r="G711" s="24" t="s">
        <v>77</v>
      </c>
      <c r="H711" s="36"/>
      <c r="I711" s="36"/>
      <c r="J711" s="24"/>
      <c r="K711" s="24"/>
      <c r="L711" s="24"/>
      <c r="M711" s="24"/>
      <c r="N711" s="24"/>
      <c r="O711" s="24"/>
      <c r="P711" s="24"/>
      <c r="Q711" s="24"/>
      <c r="R711" s="43"/>
      <c r="S711" s="24">
        <v>100</v>
      </c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36"/>
      <c r="AG711" s="36"/>
      <c r="AH711" s="36"/>
      <c r="AI711" s="36"/>
    </row>
    <row r="712" s="1" customFormat="1" customHeight="1" spans="1:35">
      <c r="A712" s="17">
        <v>709</v>
      </c>
      <c r="B712" s="20">
        <v>46140</v>
      </c>
      <c r="C712" s="21" t="s">
        <v>119</v>
      </c>
      <c r="D712" s="22" t="str" cm="1">
        <f t="array" ref="D712">INDEX([1]Sheet2!A:A,MATCH(E712,[1]Sheet2!B:B,0))</f>
        <v>湖南亮点体育文化发展有限公司</v>
      </c>
      <c r="E712" s="23" t="s">
        <v>120</v>
      </c>
      <c r="F712" s="24">
        <f t="shared" si="12"/>
        <v>300</v>
      </c>
      <c r="G712" s="24" t="s">
        <v>77</v>
      </c>
      <c r="H712" s="36"/>
      <c r="I712" s="36"/>
      <c r="J712" s="24"/>
      <c r="K712" s="24"/>
      <c r="L712" s="24"/>
      <c r="M712" s="24"/>
      <c r="N712" s="24"/>
      <c r="O712" s="24"/>
      <c r="P712" s="24"/>
      <c r="Q712" s="24"/>
      <c r="R712" s="43"/>
      <c r="S712" s="24">
        <v>300</v>
      </c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36"/>
      <c r="AG712" s="36"/>
      <c r="AH712" s="36"/>
      <c r="AI712" s="36"/>
    </row>
    <row r="713" s="1" customFormat="1" customHeight="1" spans="1:35">
      <c r="A713" s="17">
        <v>710</v>
      </c>
      <c r="B713" s="20">
        <v>46140</v>
      </c>
      <c r="C713" s="21" t="s">
        <v>121</v>
      </c>
      <c r="D713" s="22" t="str" cm="1">
        <f t="array" ref="D713">INDEX([1]Sheet2!A:A,MATCH(E713,[1]Sheet2!B:B,0))</f>
        <v>湖南亮点体育文化发展有限公司</v>
      </c>
      <c r="E713" s="23" t="s">
        <v>122</v>
      </c>
      <c r="F713" s="24">
        <f t="shared" si="12"/>
        <v>100</v>
      </c>
      <c r="G713" s="24" t="s">
        <v>77</v>
      </c>
      <c r="H713" s="36"/>
      <c r="I713" s="36"/>
      <c r="J713" s="24"/>
      <c r="K713" s="24"/>
      <c r="L713" s="24"/>
      <c r="M713" s="24"/>
      <c r="N713" s="24"/>
      <c r="O713" s="24"/>
      <c r="P713" s="24"/>
      <c r="Q713" s="24"/>
      <c r="R713" s="43"/>
      <c r="S713" s="24">
        <v>100</v>
      </c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36"/>
      <c r="AG713" s="36"/>
      <c r="AH713" s="36"/>
      <c r="AI713" s="36"/>
    </row>
    <row r="714" s="1" customFormat="1" customHeight="1" spans="1:35">
      <c r="A714" s="17">
        <v>711</v>
      </c>
      <c r="B714" s="20">
        <v>46140</v>
      </c>
      <c r="C714" s="21" t="s">
        <v>78</v>
      </c>
      <c r="D714" s="22" t="str" cm="1">
        <f t="array" ref="D714">INDEX([1]Sheet2!A:A,MATCH(E714,[1]Sheet2!B:B,0))</f>
        <v>湖南亮点体育文化发展有限公司</v>
      </c>
      <c r="E714" s="23" t="s">
        <v>123</v>
      </c>
      <c r="F714" s="24">
        <f t="shared" si="12"/>
        <v>100</v>
      </c>
      <c r="G714" s="24" t="s">
        <v>77</v>
      </c>
      <c r="H714" s="36"/>
      <c r="I714" s="36"/>
      <c r="J714" s="24"/>
      <c r="K714" s="24"/>
      <c r="L714" s="24"/>
      <c r="M714" s="24"/>
      <c r="N714" s="24"/>
      <c r="O714" s="24"/>
      <c r="P714" s="24"/>
      <c r="Q714" s="24"/>
      <c r="R714" s="43"/>
      <c r="S714" s="24">
        <v>100</v>
      </c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36"/>
      <c r="AG714" s="36"/>
      <c r="AH714" s="36"/>
      <c r="AI714" s="36"/>
    </row>
    <row r="715" s="1" customFormat="1" customHeight="1" spans="1:35">
      <c r="A715" s="17">
        <v>712</v>
      </c>
      <c r="B715" s="20">
        <v>46140</v>
      </c>
      <c r="C715" s="21" t="s">
        <v>197</v>
      </c>
      <c r="D715" s="22" t="str" cm="1">
        <f t="array" ref="D715">INDEX([1]Sheet2!A:A,MATCH(E715,[1]Sheet2!B:B,0))</f>
        <v>湖南亮点体育文化发展有限公司</v>
      </c>
      <c r="E715" s="23" t="s">
        <v>198</v>
      </c>
      <c r="F715" s="24">
        <f t="shared" si="12"/>
        <v>300</v>
      </c>
      <c r="G715" s="24" t="s">
        <v>77</v>
      </c>
      <c r="H715" s="36"/>
      <c r="I715" s="36"/>
      <c r="J715" s="24"/>
      <c r="K715" s="24"/>
      <c r="L715" s="24"/>
      <c r="M715" s="24"/>
      <c r="N715" s="24"/>
      <c r="O715" s="24"/>
      <c r="P715" s="24"/>
      <c r="Q715" s="24"/>
      <c r="R715" s="43"/>
      <c r="S715" s="24">
        <v>300</v>
      </c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36"/>
      <c r="AG715" s="36"/>
      <c r="AH715" s="36"/>
      <c r="AI715" s="36"/>
    </row>
    <row r="716" s="1" customFormat="1" customHeight="1" spans="1:35">
      <c r="A716" s="17">
        <v>713</v>
      </c>
      <c r="B716" s="20">
        <v>46140</v>
      </c>
      <c r="C716" s="21" t="s">
        <v>154</v>
      </c>
      <c r="D716" s="22" t="str" cm="1">
        <f t="array" ref="D716">INDEX([1]Sheet2!A:A,MATCH(E716,[1]Sheet2!B:B,0))</f>
        <v>黄煌</v>
      </c>
      <c r="E716" s="23" t="s">
        <v>155</v>
      </c>
      <c r="F716" s="24">
        <f t="shared" si="12"/>
        <v>200</v>
      </c>
      <c r="G716" s="24" t="s">
        <v>77</v>
      </c>
      <c r="H716" s="36"/>
      <c r="I716" s="36"/>
      <c r="J716" s="24"/>
      <c r="K716" s="24"/>
      <c r="L716" s="24"/>
      <c r="M716" s="24"/>
      <c r="N716" s="24"/>
      <c r="O716" s="24"/>
      <c r="P716" s="24"/>
      <c r="Q716" s="24"/>
      <c r="R716" s="43"/>
      <c r="S716" s="24">
        <v>200</v>
      </c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36"/>
      <c r="AG716" s="36"/>
      <c r="AH716" s="36"/>
      <c r="AI716" s="36"/>
    </row>
    <row r="717" s="1" customFormat="1" customHeight="1" spans="1:35">
      <c r="A717" s="17">
        <v>714</v>
      </c>
      <c r="B717" s="20">
        <v>46140</v>
      </c>
      <c r="C717" s="21" t="s">
        <v>46</v>
      </c>
      <c r="D717" s="22" t="str" cm="1">
        <f t="array" ref="D717">INDEX([1]Sheet2!A:A,MATCH(E717,[1]Sheet2!B:B,0))</f>
        <v>罗研</v>
      </c>
      <c r="E717" s="23" t="s">
        <v>677</v>
      </c>
      <c r="F717" s="24">
        <f t="shared" si="12"/>
        <v>200</v>
      </c>
      <c r="G717" s="24" t="s">
        <v>77</v>
      </c>
      <c r="H717" s="36"/>
      <c r="I717" s="36"/>
      <c r="J717" s="24"/>
      <c r="K717" s="24"/>
      <c r="L717" s="24"/>
      <c r="M717" s="24"/>
      <c r="N717" s="24"/>
      <c r="O717" s="24"/>
      <c r="P717" s="24"/>
      <c r="Q717" s="24"/>
      <c r="R717" s="43"/>
      <c r="S717" s="24">
        <v>200</v>
      </c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36"/>
      <c r="AG717" s="36"/>
      <c r="AH717" s="36"/>
      <c r="AI717" s="36"/>
    </row>
    <row r="718" s="1" customFormat="1" customHeight="1" spans="1:35">
      <c r="A718" s="17">
        <v>715</v>
      </c>
      <c r="B718" s="20">
        <v>46140</v>
      </c>
      <c r="C718" s="21" t="s">
        <v>226</v>
      </c>
      <c r="D718" s="22" t="str" cm="1">
        <f t="array" ref="D718">INDEX([1]Sheet2!A:A,MATCH(E718,[1]Sheet2!B:B,0))</f>
        <v>武汉聚腾鑫飞体育科技有限公司</v>
      </c>
      <c r="E718" s="23" t="s">
        <v>227</v>
      </c>
      <c r="F718" s="24">
        <f t="shared" si="12"/>
        <v>1000</v>
      </c>
      <c r="G718" s="24" t="s">
        <v>77</v>
      </c>
      <c r="H718" s="36"/>
      <c r="I718" s="36"/>
      <c r="J718" s="24"/>
      <c r="K718" s="24"/>
      <c r="L718" s="24"/>
      <c r="M718" s="24"/>
      <c r="N718" s="24"/>
      <c r="O718" s="24"/>
      <c r="P718" s="24"/>
      <c r="Q718" s="24"/>
      <c r="R718" s="43"/>
      <c r="S718" s="24">
        <v>1000</v>
      </c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36"/>
      <c r="AG718" s="36"/>
      <c r="AH718" s="36"/>
      <c r="AI718" s="36"/>
    </row>
    <row r="719" s="1" customFormat="1" customHeight="1" spans="1:35">
      <c r="A719" s="17">
        <v>716</v>
      </c>
      <c r="B719" s="20">
        <v>46140</v>
      </c>
      <c r="C719" s="21" t="s">
        <v>678</v>
      </c>
      <c r="D719" s="22" t="str" cm="1">
        <f t="array" ref="D719">INDEX([1]Sheet2!A:A,MATCH(E719,[1]Sheet2!B:B,0))</f>
        <v>王湘钰</v>
      </c>
      <c r="E719" s="23" t="s">
        <v>679</v>
      </c>
      <c r="F719" s="24">
        <f t="shared" si="12"/>
        <v>3000</v>
      </c>
      <c r="G719" s="24" t="s">
        <v>77</v>
      </c>
      <c r="H719" s="36"/>
      <c r="I719" s="36"/>
      <c r="J719" s="24"/>
      <c r="K719" s="24"/>
      <c r="L719" s="24"/>
      <c r="M719" s="24"/>
      <c r="N719" s="24"/>
      <c r="O719" s="24"/>
      <c r="P719" s="24"/>
      <c r="Q719" s="24"/>
      <c r="R719" s="43"/>
      <c r="S719" s="24">
        <v>3000</v>
      </c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36"/>
      <c r="AG719" s="36"/>
      <c r="AH719" s="36"/>
      <c r="AI719" s="36"/>
    </row>
    <row r="720" s="1" customFormat="1" customHeight="1" spans="1:35">
      <c r="A720" s="17">
        <v>717</v>
      </c>
      <c r="B720" s="20">
        <v>46140</v>
      </c>
      <c r="C720" s="21" t="s">
        <v>583</v>
      </c>
      <c r="D720" s="22" t="str" cm="1">
        <f t="array" ref="D720">INDEX([1]Sheet2!A:A,MATCH(E720,[1]Sheet2!B:B,0))</f>
        <v>邓文震</v>
      </c>
      <c r="E720" s="23" t="s">
        <v>680</v>
      </c>
      <c r="F720" s="24">
        <f t="shared" si="12"/>
        <v>1200</v>
      </c>
      <c r="G720" s="24" t="s">
        <v>77</v>
      </c>
      <c r="H720" s="36"/>
      <c r="I720" s="36"/>
      <c r="J720" s="24"/>
      <c r="K720" s="24"/>
      <c r="L720" s="24"/>
      <c r="M720" s="24"/>
      <c r="N720" s="24"/>
      <c r="O720" s="24"/>
      <c r="P720" s="24"/>
      <c r="Q720" s="24"/>
      <c r="R720" s="43"/>
      <c r="S720" s="24">
        <v>1200</v>
      </c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36"/>
      <c r="AG720" s="36"/>
      <c r="AH720" s="36"/>
      <c r="AI720" s="36"/>
    </row>
    <row r="721" s="1" customFormat="1" customHeight="1" spans="1:35">
      <c r="A721" s="17">
        <v>718</v>
      </c>
      <c r="B721" s="20">
        <v>46140</v>
      </c>
      <c r="C721" s="21" t="s">
        <v>124</v>
      </c>
      <c r="D721" s="22" t="str" cm="1">
        <f t="array" ref="D721">INDEX([1]Sheet2!A:A,MATCH(E721,[1]Sheet2!B:B,0))</f>
        <v>王冬林</v>
      </c>
      <c r="E721" s="23" t="s">
        <v>125</v>
      </c>
      <c r="F721" s="24">
        <f t="shared" si="12"/>
        <v>1000</v>
      </c>
      <c r="G721" s="24" t="s">
        <v>77</v>
      </c>
      <c r="H721" s="36"/>
      <c r="I721" s="36"/>
      <c r="J721" s="24"/>
      <c r="K721" s="24"/>
      <c r="L721" s="24"/>
      <c r="M721" s="24"/>
      <c r="N721" s="24"/>
      <c r="O721" s="24"/>
      <c r="P721" s="24"/>
      <c r="Q721" s="24"/>
      <c r="R721" s="43"/>
      <c r="S721" s="24">
        <v>1000</v>
      </c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36"/>
      <c r="AG721" s="36"/>
      <c r="AH721" s="36"/>
      <c r="AI721" s="36"/>
    </row>
    <row r="722" s="1" customFormat="1" customHeight="1" spans="1:35">
      <c r="A722" s="17">
        <v>719</v>
      </c>
      <c r="B722" s="20">
        <v>46140</v>
      </c>
      <c r="C722" s="21" t="s">
        <v>137</v>
      </c>
      <c r="D722" s="22" t="s">
        <v>297</v>
      </c>
      <c r="E722" s="23" t="s">
        <v>681</v>
      </c>
      <c r="F722" s="24">
        <f t="shared" si="12"/>
        <v>800</v>
      </c>
      <c r="G722" s="24" t="s">
        <v>77</v>
      </c>
      <c r="H722" s="36"/>
      <c r="I722" s="36"/>
      <c r="J722" s="24"/>
      <c r="K722" s="24"/>
      <c r="L722" s="24"/>
      <c r="M722" s="24"/>
      <c r="N722" s="24"/>
      <c r="O722" s="24"/>
      <c r="P722" s="24"/>
      <c r="Q722" s="24"/>
      <c r="R722" s="43"/>
      <c r="S722" s="24">
        <v>800</v>
      </c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36"/>
      <c r="AG722" s="36"/>
      <c r="AH722" s="36"/>
      <c r="AI722" s="36"/>
    </row>
    <row r="723" s="1" customFormat="1" customHeight="1" spans="1:35">
      <c r="A723" s="17">
        <v>720</v>
      </c>
      <c r="B723" s="20">
        <v>46140</v>
      </c>
      <c r="C723" s="21" t="s">
        <v>24</v>
      </c>
      <c r="D723" s="22" t="str" cm="1">
        <f t="array" ref="D723">INDEX([1]Sheet2!A:A,MATCH(E723,[1]Sheet2!B:B,0))</f>
        <v>临时</v>
      </c>
      <c r="E723" s="23" t="s">
        <v>99</v>
      </c>
      <c r="F723" s="24">
        <f t="shared" si="12"/>
        <v>252</v>
      </c>
      <c r="G723" s="24" t="s">
        <v>100</v>
      </c>
      <c r="H723" s="36"/>
      <c r="I723" s="36"/>
      <c r="J723" s="24"/>
      <c r="K723" s="24"/>
      <c r="L723" s="24"/>
      <c r="M723" s="24"/>
      <c r="N723" s="24"/>
      <c r="O723" s="24"/>
      <c r="P723" s="24"/>
      <c r="Q723" s="24"/>
      <c r="R723" s="43"/>
      <c r="S723" s="24"/>
      <c r="T723" s="24"/>
      <c r="U723" s="24"/>
      <c r="V723" s="24"/>
      <c r="W723" s="24">
        <v>252</v>
      </c>
      <c r="X723" s="24"/>
      <c r="Y723" s="24"/>
      <c r="Z723" s="24"/>
      <c r="AA723" s="24"/>
      <c r="AB723" s="24"/>
      <c r="AC723" s="24"/>
      <c r="AD723" s="24"/>
      <c r="AE723" s="24"/>
      <c r="AF723" s="36"/>
      <c r="AG723" s="36"/>
      <c r="AH723" s="36"/>
      <c r="AI723" s="36"/>
    </row>
    <row r="724" s="1" customFormat="1" customHeight="1" spans="1:35">
      <c r="A724" s="17">
        <v>721</v>
      </c>
      <c r="B724" s="20">
        <v>46141</v>
      </c>
      <c r="C724" s="21" t="s">
        <v>682</v>
      </c>
      <c r="D724" s="22" t="s">
        <v>683</v>
      </c>
      <c r="E724" s="23" t="s">
        <v>274</v>
      </c>
      <c r="F724" s="24">
        <f t="shared" si="12"/>
        <v>10000</v>
      </c>
      <c r="G724" s="24" t="s">
        <v>40</v>
      </c>
      <c r="H724" s="25">
        <v>46128</v>
      </c>
      <c r="I724" s="25">
        <v>46218</v>
      </c>
      <c r="J724" s="24"/>
      <c r="K724" s="24">
        <f>10000+29765</f>
        <v>39765</v>
      </c>
      <c r="L724" s="24"/>
      <c r="M724" s="24"/>
      <c r="N724" s="24"/>
      <c r="O724" s="24"/>
      <c r="P724" s="24"/>
      <c r="Q724" s="24"/>
      <c r="R724" s="43"/>
      <c r="S724" s="24"/>
      <c r="T724" s="24"/>
      <c r="U724" s="24"/>
      <c r="V724" s="24"/>
      <c r="W724" s="24"/>
      <c r="X724" s="24"/>
      <c r="Y724" s="24"/>
      <c r="Z724" s="24"/>
      <c r="AA724" s="24">
        <v>-29765</v>
      </c>
      <c r="AB724" s="24"/>
      <c r="AC724" s="24"/>
      <c r="AD724" s="24"/>
      <c r="AE724" s="24"/>
      <c r="AF724" s="36"/>
      <c r="AG724" s="36"/>
      <c r="AH724" s="36"/>
      <c r="AI724" s="36"/>
    </row>
    <row r="725" s="2" customFormat="1" customHeight="1" spans="1:35">
      <c r="A725" s="17">
        <v>722</v>
      </c>
      <c r="B725" s="28">
        <v>46141</v>
      </c>
      <c r="C725" s="34" t="s">
        <v>458</v>
      </c>
      <c r="D725" s="30" t="s">
        <v>684</v>
      </c>
      <c r="E725" s="31" t="s">
        <v>685</v>
      </c>
      <c r="F725" s="32">
        <f t="shared" si="12"/>
        <v>32318.13</v>
      </c>
      <c r="G725" s="32" t="s">
        <v>40</v>
      </c>
      <c r="H725" s="33">
        <v>46148</v>
      </c>
      <c r="I725" s="33">
        <v>46239</v>
      </c>
      <c r="J725" s="32"/>
      <c r="K725" s="32"/>
      <c r="L725" s="32"/>
      <c r="M725" s="32"/>
      <c r="N725" s="32"/>
      <c r="O725" s="32"/>
      <c r="P725" s="32"/>
      <c r="Q725" s="32"/>
      <c r="R725" s="45"/>
      <c r="S725" s="32"/>
      <c r="T725" s="32"/>
      <c r="U725" s="32"/>
      <c r="V725" s="32"/>
      <c r="W725" s="32"/>
      <c r="X725" s="32"/>
      <c r="Y725" s="32"/>
      <c r="Z725" s="32"/>
      <c r="AA725" s="32">
        <v>32318.13</v>
      </c>
      <c r="AB725" s="32"/>
      <c r="AC725" s="32"/>
      <c r="AD725" s="32"/>
      <c r="AE725" s="32"/>
      <c r="AF725" s="35" t="s">
        <v>60</v>
      </c>
      <c r="AG725" s="35"/>
      <c r="AH725" s="35"/>
      <c r="AI725" s="35"/>
    </row>
    <row r="726" s="1" customFormat="1" customHeight="1" spans="1:35">
      <c r="A726" s="17">
        <v>723</v>
      </c>
      <c r="B726" s="20">
        <v>46141</v>
      </c>
      <c r="C726" s="21" t="s">
        <v>331</v>
      </c>
      <c r="D726" s="22" t="s">
        <v>686</v>
      </c>
      <c r="E726" s="23" t="s">
        <v>332</v>
      </c>
      <c r="F726" s="24">
        <f t="shared" si="12"/>
        <v>10820.25</v>
      </c>
      <c r="G726" s="24" t="s">
        <v>40</v>
      </c>
      <c r="H726" s="25">
        <v>46082</v>
      </c>
      <c r="I726" s="25">
        <v>46173</v>
      </c>
      <c r="J726" s="24"/>
      <c r="K726" s="24">
        <v>10820.25</v>
      </c>
      <c r="L726" s="24"/>
      <c r="M726" s="24"/>
      <c r="N726" s="24"/>
      <c r="O726" s="24"/>
      <c r="P726" s="24"/>
      <c r="Q726" s="24"/>
      <c r="R726" s="43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36"/>
      <c r="AG726" s="36"/>
      <c r="AH726" s="36"/>
      <c r="AI726" s="36"/>
    </row>
    <row r="727" s="1" customFormat="1" customHeight="1" spans="1:35">
      <c r="A727" s="17">
        <v>724</v>
      </c>
      <c r="B727" s="20">
        <v>46141</v>
      </c>
      <c r="C727" s="21" t="s">
        <v>331</v>
      </c>
      <c r="D727" s="22" t="s">
        <v>686</v>
      </c>
      <c r="E727" s="23" t="s">
        <v>332</v>
      </c>
      <c r="F727" s="24">
        <f t="shared" si="12"/>
        <v>64890.1</v>
      </c>
      <c r="G727" s="24" t="s">
        <v>40</v>
      </c>
      <c r="H727" s="25">
        <v>46082</v>
      </c>
      <c r="I727" s="25">
        <v>46142</v>
      </c>
      <c r="J727" s="24">
        <v>60593.4</v>
      </c>
      <c r="K727" s="24"/>
      <c r="L727" s="24"/>
      <c r="M727" s="24"/>
      <c r="N727" s="24"/>
      <c r="O727" s="24"/>
      <c r="P727" s="24"/>
      <c r="Q727" s="24"/>
      <c r="R727" s="43"/>
      <c r="S727" s="24"/>
      <c r="T727" s="24"/>
      <c r="U727" s="24"/>
      <c r="V727" s="24"/>
      <c r="W727" s="24"/>
      <c r="X727" s="24"/>
      <c r="Y727" s="24"/>
      <c r="Z727" s="24"/>
      <c r="AA727" s="24">
        <v>4296.7</v>
      </c>
      <c r="AB727" s="24"/>
      <c r="AC727" s="24"/>
      <c r="AD727" s="24"/>
      <c r="AE727" s="24"/>
      <c r="AF727" s="36"/>
      <c r="AG727" s="36"/>
      <c r="AH727" s="36"/>
      <c r="AI727" s="36"/>
    </row>
    <row r="728" s="1" customFormat="1" customHeight="1" spans="1:35">
      <c r="A728" s="17">
        <v>725</v>
      </c>
      <c r="B728" s="20">
        <v>46141</v>
      </c>
      <c r="C728" s="21" t="s">
        <v>439</v>
      </c>
      <c r="D728" s="22" t="str" cm="1">
        <f t="array" ref="D728">INDEX([1]Sheet2!A:A,MATCH(E728,[1]Sheet2!B:B,0))</f>
        <v>衡阳市蒸湘区雁之地舞元素艺术培训学校有限公司</v>
      </c>
      <c r="E728" s="23" t="s">
        <v>441</v>
      </c>
      <c r="F728" s="24">
        <f t="shared" si="12"/>
        <v>1000</v>
      </c>
      <c r="G728" s="24" t="s">
        <v>40</v>
      </c>
      <c r="H728" s="36"/>
      <c r="I728" s="36"/>
      <c r="J728" s="24"/>
      <c r="K728" s="24"/>
      <c r="L728" s="24"/>
      <c r="M728" s="24"/>
      <c r="N728" s="24"/>
      <c r="O728" s="24"/>
      <c r="P728" s="24"/>
      <c r="Q728" s="24"/>
      <c r="R728" s="43"/>
      <c r="S728" s="24"/>
      <c r="T728" s="24"/>
      <c r="U728" s="24"/>
      <c r="V728" s="24"/>
      <c r="W728" s="24"/>
      <c r="X728" s="24"/>
      <c r="Y728" s="24"/>
      <c r="Z728" s="24"/>
      <c r="AA728" s="24"/>
      <c r="AB728" s="24">
        <v>1000</v>
      </c>
      <c r="AC728" s="24"/>
      <c r="AD728" s="24"/>
      <c r="AE728" s="24"/>
      <c r="AF728" s="36"/>
      <c r="AG728" s="36"/>
      <c r="AH728" s="36"/>
      <c r="AI728" s="36"/>
    </row>
    <row r="729" s="1" customFormat="1" customHeight="1" spans="1:35">
      <c r="A729" s="17">
        <v>726</v>
      </c>
      <c r="B729" s="20">
        <v>46141</v>
      </c>
      <c r="C729" s="21" t="s">
        <v>164</v>
      </c>
      <c r="D729" s="22" t="s">
        <v>600</v>
      </c>
      <c r="E729" s="23" t="s">
        <v>601</v>
      </c>
      <c r="F729" s="24">
        <f t="shared" si="12"/>
        <v>51950</v>
      </c>
      <c r="G729" s="24" t="s">
        <v>49</v>
      </c>
      <c r="H729" s="25">
        <v>46143</v>
      </c>
      <c r="I729" s="25">
        <v>46234</v>
      </c>
      <c r="J729" s="24">
        <v>26400</v>
      </c>
      <c r="K729" s="24"/>
      <c r="L729" s="24"/>
      <c r="M729" s="24"/>
      <c r="N729" s="24"/>
      <c r="O729" s="24"/>
      <c r="P729" s="24"/>
      <c r="Q729" s="24"/>
      <c r="R729" s="43"/>
      <c r="S729" s="24"/>
      <c r="T729" s="24"/>
      <c r="U729" s="24"/>
      <c r="V729" s="24"/>
      <c r="W729" s="24"/>
      <c r="X729" s="24"/>
      <c r="Y729" s="24"/>
      <c r="Z729" s="24"/>
      <c r="AA729" s="24">
        <v>25550</v>
      </c>
      <c r="AB729" s="24"/>
      <c r="AC729" s="24"/>
      <c r="AD729" s="24"/>
      <c r="AE729" s="24"/>
      <c r="AF729" s="36"/>
      <c r="AG729" s="36"/>
      <c r="AH729" s="36"/>
      <c r="AI729" s="36"/>
    </row>
    <row r="730" s="1" customFormat="1" customHeight="1" spans="1:35">
      <c r="A730" s="17">
        <v>727</v>
      </c>
      <c r="B730" s="20">
        <v>46141</v>
      </c>
      <c r="C730" s="21" t="s">
        <v>107</v>
      </c>
      <c r="D730" s="22" t="s">
        <v>687</v>
      </c>
      <c r="E730" s="23" t="s">
        <v>688</v>
      </c>
      <c r="F730" s="24">
        <f t="shared" si="12"/>
        <v>5163</v>
      </c>
      <c r="G730" s="24" t="s">
        <v>49</v>
      </c>
      <c r="H730" s="25">
        <v>46113</v>
      </c>
      <c r="I730" s="25">
        <v>46142</v>
      </c>
      <c r="J730" s="24">
        <v>2893.8</v>
      </c>
      <c r="K730" s="24">
        <v>2269.2</v>
      </c>
      <c r="L730" s="24"/>
      <c r="M730" s="24"/>
      <c r="N730" s="24"/>
      <c r="O730" s="24"/>
      <c r="P730" s="24"/>
      <c r="Q730" s="24"/>
      <c r="R730" s="43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36"/>
      <c r="AG730" s="36"/>
      <c r="AH730" s="36"/>
      <c r="AI730" s="36"/>
    </row>
    <row r="731" s="1" customFormat="1" customHeight="1" spans="1:35">
      <c r="A731" s="17">
        <v>728</v>
      </c>
      <c r="B731" s="20">
        <v>46141</v>
      </c>
      <c r="C731" s="21" t="s">
        <v>73</v>
      </c>
      <c r="D731" s="22" t="str" cm="1">
        <f t="array" ref="D731">INDEX([1]Sheet2!A:A,MATCH(E731,[1]Sheet2!B:B,0))</f>
        <v>衡阳志扬体育文化有限公司</v>
      </c>
      <c r="E731" s="23" t="s">
        <v>74</v>
      </c>
      <c r="F731" s="24">
        <f t="shared" si="12"/>
        <v>3741</v>
      </c>
      <c r="G731" s="24" t="s">
        <v>49</v>
      </c>
      <c r="H731" s="36"/>
      <c r="I731" s="36"/>
      <c r="J731" s="24"/>
      <c r="K731" s="24"/>
      <c r="L731" s="24"/>
      <c r="M731" s="24"/>
      <c r="N731" s="24"/>
      <c r="O731" s="24"/>
      <c r="P731" s="24"/>
      <c r="Q731" s="24"/>
      <c r="R731" s="43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>
        <v>3741</v>
      </c>
      <c r="AF731" s="36"/>
      <c r="AG731" s="36"/>
      <c r="AH731" s="36"/>
      <c r="AI731" s="36"/>
    </row>
    <row r="732" s="1" customFormat="1" customHeight="1" spans="1:35">
      <c r="A732" s="17">
        <v>729</v>
      </c>
      <c r="B732" s="20">
        <v>46141</v>
      </c>
      <c r="C732" s="21" t="s">
        <v>24</v>
      </c>
      <c r="D732" s="22" t="str" cm="1">
        <f t="array" ref="D732">INDEX([1]Sheet2!A:A,MATCH(E732,[1]Sheet2!B:B,0))</f>
        <v>充值</v>
      </c>
      <c r="E732" s="23" t="s">
        <v>72</v>
      </c>
      <c r="F732" s="24">
        <f t="shared" si="12"/>
        <v>600</v>
      </c>
      <c r="G732" s="24" t="s">
        <v>49</v>
      </c>
      <c r="H732" s="36"/>
      <c r="I732" s="36"/>
      <c r="J732" s="24"/>
      <c r="K732" s="24"/>
      <c r="L732" s="24"/>
      <c r="M732" s="24"/>
      <c r="N732" s="24"/>
      <c r="O732" s="24"/>
      <c r="P732" s="24"/>
      <c r="Q732" s="24"/>
      <c r="R732" s="43"/>
      <c r="S732" s="24"/>
      <c r="T732" s="24"/>
      <c r="U732" s="24"/>
      <c r="V732" s="24"/>
      <c r="W732" s="24">
        <v>600</v>
      </c>
      <c r="X732" s="24"/>
      <c r="Y732" s="24"/>
      <c r="Z732" s="24"/>
      <c r="AA732" s="24"/>
      <c r="AB732" s="24"/>
      <c r="AC732" s="24"/>
      <c r="AD732" s="24"/>
      <c r="AE732" s="24"/>
      <c r="AF732" s="36"/>
      <c r="AG732" s="36"/>
      <c r="AH732" s="36"/>
      <c r="AI732" s="36"/>
    </row>
    <row r="733" s="1" customFormat="1" customHeight="1" spans="1:35">
      <c r="A733" s="17">
        <v>730</v>
      </c>
      <c r="B733" s="20">
        <v>46141</v>
      </c>
      <c r="C733" s="21" t="s">
        <v>199</v>
      </c>
      <c r="D733" s="22" t="str" cm="1">
        <f t="array" ref="D733">INDEX([1]Sheet2!A:A,MATCH(E733,[1]Sheet2!B:B,0))</f>
        <v>唐向群</v>
      </c>
      <c r="E733" s="23" t="s">
        <v>689</v>
      </c>
      <c r="F733" s="24">
        <f t="shared" si="12"/>
        <v>100</v>
      </c>
      <c r="G733" s="24" t="s">
        <v>49</v>
      </c>
      <c r="H733" s="25">
        <v>46082</v>
      </c>
      <c r="I733" s="25">
        <v>46112</v>
      </c>
      <c r="J733" s="24"/>
      <c r="K733" s="24"/>
      <c r="L733" s="24"/>
      <c r="M733" s="24"/>
      <c r="N733" s="24"/>
      <c r="O733" s="24"/>
      <c r="P733" s="24"/>
      <c r="Q733" s="24">
        <v>100</v>
      </c>
      <c r="R733" s="43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36"/>
      <c r="AG733" s="36"/>
      <c r="AH733" s="36"/>
      <c r="AI733" s="36"/>
    </row>
    <row r="734" s="1" customFormat="1" customHeight="1" spans="1:35">
      <c r="A734" s="17">
        <v>731</v>
      </c>
      <c r="B734" s="20">
        <v>46141</v>
      </c>
      <c r="C734" s="21" t="s">
        <v>105</v>
      </c>
      <c r="D734" s="22" t="str" cm="1">
        <f t="array" ref="D734">INDEX([1]Sheet2!A:A,MATCH(E734,[1]Sheet2!B:B,0))</f>
        <v>莫德明</v>
      </c>
      <c r="E734" s="23" t="s">
        <v>126</v>
      </c>
      <c r="F734" s="24">
        <f t="shared" si="12"/>
        <v>2000</v>
      </c>
      <c r="G734" s="24" t="s">
        <v>77</v>
      </c>
      <c r="H734" s="36"/>
      <c r="I734" s="36"/>
      <c r="J734" s="24"/>
      <c r="K734" s="24"/>
      <c r="L734" s="24"/>
      <c r="M734" s="24"/>
      <c r="N734" s="24"/>
      <c r="O734" s="24"/>
      <c r="P734" s="24"/>
      <c r="Q734" s="24"/>
      <c r="R734" s="43"/>
      <c r="S734" s="24">
        <v>2000</v>
      </c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36"/>
      <c r="AG734" s="36"/>
      <c r="AH734" s="36"/>
      <c r="AI734" s="36"/>
    </row>
    <row r="735" s="1" customFormat="1" customHeight="1" spans="1:35">
      <c r="A735" s="17">
        <v>732</v>
      </c>
      <c r="B735" s="20">
        <v>46141</v>
      </c>
      <c r="C735" s="21" t="s">
        <v>143</v>
      </c>
      <c r="D735" s="22" t="str" cm="1">
        <f t="array" ref="D735">INDEX([1]Sheet2!A:A,MATCH(E735,[1]Sheet2!B:B,0))</f>
        <v>刘连</v>
      </c>
      <c r="E735" s="23" t="s">
        <v>144</v>
      </c>
      <c r="F735" s="24">
        <f t="shared" si="12"/>
        <v>100</v>
      </c>
      <c r="G735" s="24" t="s">
        <v>77</v>
      </c>
      <c r="H735" s="36"/>
      <c r="I735" s="36"/>
      <c r="J735" s="24"/>
      <c r="K735" s="24"/>
      <c r="L735" s="24"/>
      <c r="M735" s="24"/>
      <c r="N735" s="24"/>
      <c r="O735" s="24"/>
      <c r="P735" s="24"/>
      <c r="Q735" s="24"/>
      <c r="R735" s="43"/>
      <c r="S735" s="24">
        <v>100</v>
      </c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36"/>
      <c r="AG735" s="36"/>
      <c r="AH735" s="36"/>
      <c r="AI735" s="36"/>
    </row>
    <row r="736" s="1" customFormat="1" customHeight="1" spans="1:35">
      <c r="A736" s="17">
        <v>733</v>
      </c>
      <c r="B736" s="20">
        <v>46141</v>
      </c>
      <c r="C736" s="21" t="s">
        <v>522</v>
      </c>
      <c r="D736" s="22" t="str" cm="1">
        <f t="array" ref="D736">INDEX([1]Sheet2!A:A,MATCH(E736,[1]Sheet2!B:B,0))</f>
        <v>衡阳市惠捷通讯器材有限公司（衡阳市尚达昌电子商务有限公司）</v>
      </c>
      <c r="E736" s="23" t="s">
        <v>690</v>
      </c>
      <c r="F736" s="24">
        <f t="shared" si="12"/>
        <v>2000</v>
      </c>
      <c r="G736" s="24" t="s">
        <v>77</v>
      </c>
      <c r="H736" s="36"/>
      <c r="I736" s="36"/>
      <c r="J736" s="24"/>
      <c r="K736" s="24"/>
      <c r="L736" s="24"/>
      <c r="M736" s="24"/>
      <c r="N736" s="24"/>
      <c r="O736" s="24"/>
      <c r="P736" s="24"/>
      <c r="Q736" s="24"/>
      <c r="R736" s="43"/>
      <c r="S736" s="24">
        <v>2000</v>
      </c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36"/>
      <c r="AG736" s="36"/>
      <c r="AH736" s="36"/>
      <c r="AI736" s="36"/>
    </row>
    <row r="737" s="1" customFormat="1" customHeight="1" spans="1:35">
      <c r="A737" s="17">
        <v>734</v>
      </c>
      <c r="B737" s="20">
        <v>46141</v>
      </c>
      <c r="C737" s="21" t="s">
        <v>141</v>
      </c>
      <c r="D737" s="22" t="str" cm="1">
        <f t="array" ref="D737">INDEX([1]Sheet2!A:A,MATCH(E737,[1]Sheet2!B:B,0))</f>
        <v>孙叶芹</v>
      </c>
      <c r="E737" s="23" t="s">
        <v>142</v>
      </c>
      <c r="F737" s="24">
        <f t="shared" si="12"/>
        <v>200</v>
      </c>
      <c r="G737" s="24" t="s">
        <v>77</v>
      </c>
      <c r="H737" s="36"/>
      <c r="I737" s="36"/>
      <c r="J737" s="24"/>
      <c r="K737" s="24"/>
      <c r="L737" s="24"/>
      <c r="M737" s="24"/>
      <c r="N737" s="24"/>
      <c r="O737" s="24"/>
      <c r="P737" s="24"/>
      <c r="Q737" s="24"/>
      <c r="R737" s="43"/>
      <c r="S737" s="24">
        <v>200</v>
      </c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36"/>
      <c r="AG737" s="36"/>
      <c r="AH737" s="36"/>
      <c r="AI737" s="36"/>
    </row>
    <row r="738" s="1" customFormat="1" customHeight="1" spans="1:35">
      <c r="A738" s="17">
        <v>735</v>
      </c>
      <c r="B738" s="20">
        <v>46141</v>
      </c>
      <c r="C738" s="21" t="s">
        <v>82</v>
      </c>
      <c r="D738" s="22" t="str" cm="1">
        <f t="array" ref="D738">INDEX([1]Sheet2!A:A,MATCH(E738,[1]Sheet2!B:B,0))</f>
        <v>汪天皓</v>
      </c>
      <c r="E738" s="23" t="s">
        <v>83</v>
      </c>
      <c r="F738" s="24">
        <f t="shared" si="12"/>
        <v>200</v>
      </c>
      <c r="G738" s="24" t="s">
        <v>77</v>
      </c>
      <c r="H738" s="36"/>
      <c r="I738" s="36"/>
      <c r="J738" s="24"/>
      <c r="K738" s="24"/>
      <c r="L738" s="24"/>
      <c r="M738" s="24"/>
      <c r="N738" s="24"/>
      <c r="O738" s="24"/>
      <c r="P738" s="24"/>
      <c r="Q738" s="24"/>
      <c r="R738" s="43"/>
      <c r="S738" s="24">
        <v>200</v>
      </c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36"/>
      <c r="AG738" s="36"/>
      <c r="AH738" s="36"/>
      <c r="AI738" s="36"/>
    </row>
    <row r="739" s="1" customFormat="1" customHeight="1" spans="1:35">
      <c r="A739" s="17">
        <v>736</v>
      </c>
      <c r="B739" s="20">
        <v>46141</v>
      </c>
      <c r="C739" s="21" t="s">
        <v>84</v>
      </c>
      <c r="D739" s="22" t="str" cm="1">
        <f t="array" ref="D739">INDEX([1]Sheet2!A:A,MATCH(E739,[1]Sheet2!B:B,0))</f>
        <v>莫靖凡</v>
      </c>
      <c r="E739" s="23" t="s">
        <v>85</v>
      </c>
      <c r="F739" s="24">
        <f t="shared" si="12"/>
        <v>50</v>
      </c>
      <c r="G739" s="24" t="s">
        <v>77</v>
      </c>
      <c r="H739" s="36"/>
      <c r="I739" s="36"/>
      <c r="J739" s="24"/>
      <c r="K739" s="24"/>
      <c r="L739" s="24"/>
      <c r="M739" s="24"/>
      <c r="N739" s="24"/>
      <c r="O739" s="24"/>
      <c r="P739" s="24"/>
      <c r="Q739" s="24"/>
      <c r="R739" s="43"/>
      <c r="S739" s="24">
        <v>50</v>
      </c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36"/>
      <c r="AG739" s="36"/>
      <c r="AH739" s="36"/>
      <c r="AI739" s="36"/>
    </row>
    <row r="740" s="1" customFormat="1" customHeight="1" spans="1:35">
      <c r="A740" s="17">
        <v>737</v>
      </c>
      <c r="B740" s="20">
        <v>46141</v>
      </c>
      <c r="C740" s="21" t="s">
        <v>384</v>
      </c>
      <c r="D740" s="22" t="s">
        <v>691</v>
      </c>
      <c r="E740" s="23" t="s">
        <v>692</v>
      </c>
      <c r="F740" s="24">
        <f t="shared" si="12"/>
        <v>20</v>
      </c>
      <c r="G740" s="24" t="s">
        <v>77</v>
      </c>
      <c r="H740" s="36"/>
      <c r="I740" s="36"/>
      <c r="J740" s="24"/>
      <c r="K740" s="24"/>
      <c r="L740" s="24"/>
      <c r="M740" s="24"/>
      <c r="N740" s="24"/>
      <c r="O740" s="24"/>
      <c r="P740" s="24"/>
      <c r="Q740" s="24"/>
      <c r="R740" s="43"/>
      <c r="S740" s="24">
        <v>20</v>
      </c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36"/>
      <c r="AG740" s="36"/>
      <c r="AH740" s="36"/>
      <c r="AI740" s="36"/>
    </row>
    <row r="741" s="1" customFormat="1" customHeight="1" spans="1:35">
      <c r="A741" s="17">
        <v>738</v>
      </c>
      <c r="B741" s="20">
        <v>46141</v>
      </c>
      <c r="C741" s="21" t="s">
        <v>458</v>
      </c>
      <c r="D741" s="22" t="str" cm="1">
        <f t="array" ref="D741">INDEX([1]Sheet2!A:A,MATCH(E741,[1]Sheet2!B:B,0))</f>
        <v>汤国权</v>
      </c>
      <c r="E741" s="23" t="s">
        <v>459</v>
      </c>
      <c r="F741" s="24">
        <f t="shared" si="12"/>
        <v>1000</v>
      </c>
      <c r="G741" s="24" t="s">
        <v>77</v>
      </c>
      <c r="H741" s="36"/>
      <c r="I741" s="36"/>
      <c r="J741" s="24"/>
      <c r="K741" s="24"/>
      <c r="L741" s="24"/>
      <c r="M741" s="24"/>
      <c r="N741" s="24"/>
      <c r="O741" s="24"/>
      <c r="P741" s="24"/>
      <c r="Q741" s="24"/>
      <c r="R741" s="43"/>
      <c r="S741" s="24">
        <v>1000</v>
      </c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36"/>
      <c r="AG741" s="36"/>
      <c r="AH741" s="36"/>
      <c r="AI741" s="36"/>
    </row>
    <row r="742" s="1" customFormat="1" customHeight="1" spans="1:35">
      <c r="A742" s="17">
        <v>739</v>
      </c>
      <c r="B742" s="20">
        <v>46141</v>
      </c>
      <c r="C742" s="21" t="s">
        <v>317</v>
      </c>
      <c r="D742" s="22" t="str" cm="1">
        <f t="array" ref="D742">INDEX([1]Sheet2!A:A,MATCH(E742,[1]Sheet2!B:B,0))</f>
        <v>熊美容</v>
      </c>
      <c r="E742" s="23" t="s">
        <v>693</v>
      </c>
      <c r="F742" s="24">
        <f t="shared" si="12"/>
        <v>1000</v>
      </c>
      <c r="G742" s="24" t="s">
        <v>77</v>
      </c>
      <c r="H742" s="36"/>
      <c r="I742" s="36"/>
      <c r="J742" s="24"/>
      <c r="K742" s="24"/>
      <c r="L742" s="24"/>
      <c r="M742" s="24"/>
      <c r="N742" s="24"/>
      <c r="O742" s="24"/>
      <c r="P742" s="24"/>
      <c r="Q742" s="24"/>
      <c r="R742" s="43"/>
      <c r="S742" s="24">
        <v>1000</v>
      </c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36"/>
      <c r="AG742" s="36"/>
      <c r="AH742" s="36"/>
      <c r="AI742" s="36"/>
    </row>
    <row r="743" s="1" customFormat="1" customHeight="1" spans="1:35">
      <c r="A743" s="17">
        <v>740</v>
      </c>
      <c r="B743" s="20">
        <v>46141</v>
      </c>
      <c r="C743" s="21" t="s">
        <v>185</v>
      </c>
      <c r="D743" s="22" t="str" cm="1">
        <f t="array" ref="D743">INDEX([1]Sheet2!A:A,MATCH(E743,[1]Sheet2!B:B,0))</f>
        <v>谭娜</v>
      </c>
      <c r="E743" s="23" t="s">
        <v>186</v>
      </c>
      <c r="F743" s="24">
        <f t="shared" si="12"/>
        <v>2000</v>
      </c>
      <c r="G743" s="24" t="s">
        <v>77</v>
      </c>
      <c r="H743" s="36"/>
      <c r="I743" s="36"/>
      <c r="J743" s="24"/>
      <c r="K743" s="24"/>
      <c r="L743" s="24"/>
      <c r="M743" s="24"/>
      <c r="N743" s="24"/>
      <c r="O743" s="24"/>
      <c r="P743" s="24"/>
      <c r="Q743" s="24"/>
      <c r="R743" s="43"/>
      <c r="S743" s="24">
        <v>2000</v>
      </c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36"/>
      <c r="AG743" s="36"/>
      <c r="AH743" s="36"/>
      <c r="AI743" s="36"/>
    </row>
    <row r="744" s="1" customFormat="1" customHeight="1" spans="1:35">
      <c r="A744" s="17">
        <v>741</v>
      </c>
      <c r="B744" s="20">
        <v>46141</v>
      </c>
      <c r="C744" s="21" t="s">
        <v>164</v>
      </c>
      <c r="D744" s="22" t="str" cm="1">
        <f t="array" ref="D744">INDEX([1]Sheet2!A:A,MATCH(E744,[1]Sheet2!B:B,0))</f>
        <v>李江飞</v>
      </c>
      <c r="E744" s="23" t="s">
        <v>165</v>
      </c>
      <c r="F744" s="24">
        <f t="shared" si="12"/>
        <v>200</v>
      </c>
      <c r="G744" s="24" t="s">
        <v>77</v>
      </c>
      <c r="H744" s="36"/>
      <c r="I744" s="36"/>
      <c r="J744" s="24"/>
      <c r="K744" s="24"/>
      <c r="L744" s="24"/>
      <c r="M744" s="24"/>
      <c r="N744" s="24"/>
      <c r="O744" s="24"/>
      <c r="P744" s="24"/>
      <c r="Q744" s="24"/>
      <c r="R744" s="43"/>
      <c r="S744" s="24">
        <v>200</v>
      </c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36"/>
      <c r="AG744" s="36"/>
      <c r="AH744" s="36"/>
      <c r="AI744" s="36"/>
    </row>
    <row r="745" s="1" customFormat="1" customHeight="1" spans="1:35">
      <c r="A745" s="17">
        <v>742</v>
      </c>
      <c r="B745" s="20">
        <v>46141</v>
      </c>
      <c r="C745" s="21" t="s">
        <v>164</v>
      </c>
      <c r="D745" s="22" t="str" cm="1">
        <f t="array" ref="D745">INDEX([1]Sheet2!A:A,MATCH(E745,[1]Sheet2!B:B,0))</f>
        <v>李江飞</v>
      </c>
      <c r="E745" s="23" t="s">
        <v>165</v>
      </c>
      <c r="F745" s="24">
        <f t="shared" si="12"/>
        <v>100</v>
      </c>
      <c r="G745" s="24" t="s">
        <v>77</v>
      </c>
      <c r="H745" s="36"/>
      <c r="I745" s="36"/>
      <c r="J745" s="24"/>
      <c r="K745" s="24"/>
      <c r="L745" s="24"/>
      <c r="M745" s="24"/>
      <c r="N745" s="24"/>
      <c r="O745" s="24"/>
      <c r="P745" s="24"/>
      <c r="Q745" s="24"/>
      <c r="R745" s="43"/>
      <c r="S745" s="24">
        <v>100</v>
      </c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36"/>
      <c r="AG745" s="36"/>
      <c r="AH745" s="36"/>
      <c r="AI745" s="36"/>
    </row>
    <row r="746" s="1" customFormat="1" customHeight="1" spans="1:35">
      <c r="A746" s="17">
        <v>743</v>
      </c>
      <c r="B746" s="20">
        <v>46141</v>
      </c>
      <c r="C746" s="21" t="s">
        <v>24</v>
      </c>
      <c r="D746" s="22" t="str" cm="1">
        <f t="array" ref="D746">INDEX([1]Sheet2!A:A,MATCH(E746,[1]Sheet2!B:B,0))</f>
        <v>临时</v>
      </c>
      <c r="E746" s="23" t="s">
        <v>99</v>
      </c>
      <c r="F746" s="24">
        <f t="shared" si="12"/>
        <v>225</v>
      </c>
      <c r="G746" s="24" t="s">
        <v>100</v>
      </c>
      <c r="H746" s="36"/>
      <c r="I746" s="36"/>
      <c r="J746" s="24"/>
      <c r="K746" s="24"/>
      <c r="L746" s="24"/>
      <c r="M746" s="24"/>
      <c r="N746" s="24"/>
      <c r="O746" s="24"/>
      <c r="P746" s="24"/>
      <c r="Q746" s="24"/>
      <c r="R746" s="43"/>
      <c r="S746" s="24"/>
      <c r="T746" s="24"/>
      <c r="U746" s="24"/>
      <c r="V746" s="24"/>
      <c r="W746" s="24">
        <v>225</v>
      </c>
      <c r="X746" s="24"/>
      <c r="Y746" s="24"/>
      <c r="Z746" s="24"/>
      <c r="AA746" s="24"/>
      <c r="AB746" s="24"/>
      <c r="AC746" s="24"/>
      <c r="AD746" s="24"/>
      <c r="AE746" s="24"/>
      <c r="AF746" s="36"/>
      <c r="AG746" s="36"/>
      <c r="AH746" s="36"/>
      <c r="AI746" s="36"/>
    </row>
    <row r="747" s="1" customFormat="1" customHeight="1" spans="1:35">
      <c r="A747" s="17">
        <v>744</v>
      </c>
      <c r="B747" s="20">
        <v>46142</v>
      </c>
      <c r="C747" s="21" t="s">
        <v>103</v>
      </c>
      <c r="D747" s="22" t="str" cm="1">
        <f t="array" ref="D747">INDEX([1]Sheet2!A:A,MATCH(E747,[1]Sheet2!B:B,0))</f>
        <v>衡阳市蒸湘区润福榕服饰有限公司</v>
      </c>
      <c r="E747" s="23" t="s">
        <v>104</v>
      </c>
      <c r="F747" s="24">
        <f t="shared" si="12"/>
        <v>6000</v>
      </c>
      <c r="G747" s="24" t="s">
        <v>40</v>
      </c>
      <c r="H747" s="36"/>
      <c r="I747" s="36"/>
      <c r="J747" s="24"/>
      <c r="K747" s="24"/>
      <c r="L747" s="24"/>
      <c r="M747" s="24"/>
      <c r="N747" s="24"/>
      <c r="O747" s="24"/>
      <c r="P747" s="24"/>
      <c r="Q747" s="24"/>
      <c r="R747" s="43"/>
      <c r="S747" s="24">
        <v>6000</v>
      </c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36"/>
      <c r="AG747" s="36"/>
      <c r="AH747" s="36"/>
      <c r="AI747" s="36"/>
    </row>
    <row r="748" s="2" customFormat="1" customHeight="1" spans="1:35">
      <c r="A748" s="27">
        <v>745</v>
      </c>
      <c r="B748" s="28">
        <v>46142</v>
      </c>
      <c r="C748" s="34" t="s">
        <v>491</v>
      </c>
      <c r="D748" s="30" t="s">
        <v>694</v>
      </c>
      <c r="E748" s="31" t="s">
        <v>695</v>
      </c>
      <c r="F748" s="32">
        <f t="shared" si="12"/>
        <v>18505</v>
      </c>
      <c r="G748" s="32" t="s">
        <v>40</v>
      </c>
      <c r="H748" s="35"/>
      <c r="I748" s="35"/>
      <c r="J748" s="32"/>
      <c r="K748" s="32"/>
      <c r="L748" s="32"/>
      <c r="M748" s="32"/>
      <c r="N748" s="32"/>
      <c r="O748" s="32"/>
      <c r="P748" s="32"/>
      <c r="Q748" s="32"/>
      <c r="R748" s="45"/>
      <c r="S748" s="32"/>
      <c r="T748" s="32"/>
      <c r="U748" s="32"/>
      <c r="V748" s="32"/>
      <c r="W748" s="32"/>
      <c r="X748" s="32"/>
      <c r="Y748" s="32"/>
      <c r="Z748" s="32"/>
      <c r="AA748" s="32">
        <v>18505</v>
      </c>
      <c r="AB748" s="32"/>
      <c r="AC748" s="32"/>
      <c r="AD748" s="32"/>
      <c r="AE748" s="32" t="s">
        <v>60</v>
      </c>
      <c r="AF748" s="35"/>
      <c r="AG748" s="35"/>
      <c r="AH748" s="35"/>
      <c r="AI748" s="35"/>
    </row>
    <row r="749" s="1" customFormat="1" customHeight="1" spans="1:35">
      <c r="A749" s="17">
        <v>746</v>
      </c>
      <c r="B749" s="20">
        <v>46142</v>
      </c>
      <c r="C749" s="21" t="s">
        <v>696</v>
      </c>
      <c r="D749" s="22" t="s">
        <v>697</v>
      </c>
      <c r="E749" s="23" t="s">
        <v>698</v>
      </c>
      <c r="F749" s="24">
        <f t="shared" si="12"/>
        <v>15400</v>
      </c>
      <c r="G749" s="24" t="s">
        <v>40</v>
      </c>
      <c r="H749" s="25">
        <v>46143</v>
      </c>
      <c r="I749" s="25">
        <v>46173</v>
      </c>
      <c r="J749" s="24"/>
      <c r="K749" s="24"/>
      <c r="L749" s="24"/>
      <c r="M749" s="24"/>
      <c r="N749" s="24"/>
      <c r="O749" s="24"/>
      <c r="P749" s="24"/>
      <c r="Q749" s="24"/>
      <c r="R749" s="43"/>
      <c r="S749" s="24"/>
      <c r="T749" s="24"/>
      <c r="U749" s="24"/>
      <c r="V749" s="24"/>
      <c r="W749" s="24"/>
      <c r="X749" s="24"/>
      <c r="Y749" s="24"/>
      <c r="Z749" s="24"/>
      <c r="AA749" s="24">
        <v>15400</v>
      </c>
      <c r="AB749" s="24"/>
      <c r="AC749" s="24"/>
      <c r="AD749" s="24"/>
      <c r="AE749" s="24"/>
      <c r="AF749" s="36"/>
      <c r="AG749" s="36"/>
      <c r="AH749" s="36"/>
      <c r="AI749" s="36"/>
    </row>
    <row r="750" s="1" customFormat="1" customHeight="1" spans="1:35">
      <c r="A750" s="17">
        <v>747</v>
      </c>
      <c r="B750" s="20">
        <v>46142</v>
      </c>
      <c r="C750" s="21" t="s">
        <v>699</v>
      </c>
      <c r="D750" s="22" t="s">
        <v>700</v>
      </c>
      <c r="E750" s="23" t="s">
        <v>701</v>
      </c>
      <c r="F750" s="24">
        <f t="shared" si="12"/>
        <v>7315</v>
      </c>
      <c r="G750" s="24" t="s">
        <v>40</v>
      </c>
      <c r="H750" s="25">
        <v>46140</v>
      </c>
      <c r="I750" s="25">
        <v>46169</v>
      </c>
      <c r="J750" s="24">
        <v>3465</v>
      </c>
      <c r="K750" s="24">
        <v>3850</v>
      </c>
      <c r="L750" s="24"/>
      <c r="M750" s="24"/>
      <c r="N750" s="24"/>
      <c r="O750" s="24"/>
      <c r="P750" s="24"/>
      <c r="Q750" s="24"/>
      <c r="R750" s="43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36"/>
      <c r="AG750" s="36"/>
      <c r="AH750" s="36"/>
      <c r="AI750" s="36"/>
    </row>
    <row r="751" s="1" customFormat="1" customHeight="1" spans="1:35">
      <c r="A751" s="17">
        <v>748</v>
      </c>
      <c r="B751" s="20">
        <v>46142</v>
      </c>
      <c r="C751" s="21" t="s">
        <v>702</v>
      </c>
      <c r="D751" s="22" t="s">
        <v>152</v>
      </c>
      <c r="E751" s="23" t="s">
        <v>703</v>
      </c>
      <c r="F751" s="24">
        <f t="shared" si="12"/>
        <v>6000</v>
      </c>
      <c r="G751" s="24" t="s">
        <v>40</v>
      </c>
      <c r="H751" s="25">
        <v>46096</v>
      </c>
      <c r="I751" s="25">
        <v>46460</v>
      </c>
      <c r="J751" s="24"/>
      <c r="K751" s="24"/>
      <c r="L751" s="24">
        <v>6000</v>
      </c>
      <c r="M751" s="24"/>
      <c r="N751" s="24"/>
      <c r="O751" s="24"/>
      <c r="P751" s="24"/>
      <c r="Q751" s="24"/>
      <c r="R751" s="43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36"/>
      <c r="AG751" s="36"/>
      <c r="AH751" s="36"/>
      <c r="AI751" s="36"/>
    </row>
    <row r="752" s="1" customFormat="1" customHeight="1" spans="1:35">
      <c r="A752" s="17">
        <v>749</v>
      </c>
      <c r="B752" s="20">
        <v>46142</v>
      </c>
      <c r="C752" s="21"/>
      <c r="D752" s="22" t="s">
        <v>704</v>
      </c>
      <c r="E752" s="23" t="s">
        <v>705</v>
      </c>
      <c r="F752" s="24">
        <f t="shared" si="12"/>
        <v>3500</v>
      </c>
      <c r="G752" s="24" t="s">
        <v>40</v>
      </c>
      <c r="H752" s="36"/>
      <c r="I752" s="36"/>
      <c r="J752" s="24"/>
      <c r="K752" s="24"/>
      <c r="L752" s="24"/>
      <c r="M752" s="24"/>
      <c r="N752" s="24"/>
      <c r="O752" s="24"/>
      <c r="P752" s="24">
        <v>3500</v>
      </c>
      <c r="Q752" s="24"/>
      <c r="R752" s="43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36"/>
      <c r="AG752" s="36"/>
      <c r="AH752" s="36"/>
      <c r="AI752" s="36"/>
    </row>
    <row r="753" s="2" customFormat="1" customHeight="1" spans="1:35">
      <c r="A753" s="27">
        <v>750</v>
      </c>
      <c r="B753" s="28">
        <v>46142</v>
      </c>
      <c r="C753" s="34" t="s">
        <v>522</v>
      </c>
      <c r="D753" s="30" t="s">
        <v>523</v>
      </c>
      <c r="E753" s="31" t="s">
        <v>524</v>
      </c>
      <c r="F753" s="32">
        <f t="shared" si="12"/>
        <v>50000</v>
      </c>
      <c r="G753" s="32" t="s">
        <v>40</v>
      </c>
      <c r="H753" s="35"/>
      <c r="I753" s="35"/>
      <c r="J753" s="32"/>
      <c r="K753" s="32"/>
      <c r="L753" s="32"/>
      <c r="M753" s="32"/>
      <c r="N753" s="32"/>
      <c r="O753" s="32"/>
      <c r="P753" s="32"/>
      <c r="Q753" s="32"/>
      <c r="R753" s="45"/>
      <c r="S753" s="32"/>
      <c r="T753" s="32"/>
      <c r="U753" s="32"/>
      <c r="V753" s="32"/>
      <c r="W753" s="32"/>
      <c r="X753" s="32"/>
      <c r="Y753" s="32"/>
      <c r="Z753" s="32"/>
      <c r="AA753" s="32">
        <v>50000</v>
      </c>
      <c r="AB753" s="32"/>
      <c r="AC753" s="32"/>
      <c r="AD753" s="32"/>
      <c r="AE753" s="32"/>
      <c r="AF753" s="35" t="s">
        <v>60</v>
      </c>
      <c r="AG753" s="35"/>
      <c r="AH753" s="35"/>
      <c r="AI753" s="35"/>
    </row>
    <row r="754" s="1" customFormat="1" customHeight="1" spans="1:35">
      <c r="A754" s="17">
        <v>751</v>
      </c>
      <c r="B754" s="20">
        <v>46142</v>
      </c>
      <c r="C754" s="21" t="s">
        <v>109</v>
      </c>
      <c r="D754" s="22" t="str" cm="1">
        <f t="array" ref="D754">INDEX([1]Sheet2!A:A,MATCH(E754,[1]Sheet2!B:B,0))</f>
        <v>杨美丽</v>
      </c>
      <c r="E754" s="23" t="s">
        <v>110</v>
      </c>
      <c r="F754" s="24">
        <f t="shared" si="12"/>
        <v>1000</v>
      </c>
      <c r="G754" s="24" t="s">
        <v>49</v>
      </c>
      <c r="H754" s="36"/>
      <c r="I754" s="36"/>
      <c r="J754" s="24"/>
      <c r="K754" s="24"/>
      <c r="L754" s="24"/>
      <c r="M754" s="24"/>
      <c r="N754" s="24"/>
      <c r="O754" s="24"/>
      <c r="P754" s="24"/>
      <c r="Q754" s="24"/>
      <c r="R754" s="43"/>
      <c r="S754" s="24">
        <v>1000</v>
      </c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36"/>
      <c r="AG754" s="36"/>
      <c r="AH754" s="36"/>
      <c r="AI754" s="36"/>
    </row>
    <row r="755" s="1" customFormat="1" customHeight="1" spans="1:35">
      <c r="A755" s="17">
        <v>752</v>
      </c>
      <c r="B755" s="20">
        <v>46142</v>
      </c>
      <c r="C755" s="21" t="s">
        <v>559</v>
      </c>
      <c r="D755" s="22" t="str" cm="1">
        <f t="array" ref="D755">INDEX([1]Sheet2!A:A,MATCH(E755,[1]Sheet2!B:B,0))</f>
        <v>李雪亮</v>
      </c>
      <c r="E755" s="23" t="s">
        <v>560</v>
      </c>
      <c r="F755" s="24">
        <f t="shared" si="12"/>
        <v>500</v>
      </c>
      <c r="G755" s="24" t="s">
        <v>49</v>
      </c>
      <c r="H755" s="36"/>
      <c r="I755" s="36"/>
      <c r="J755" s="24"/>
      <c r="K755" s="24"/>
      <c r="L755" s="24"/>
      <c r="M755" s="24"/>
      <c r="N755" s="24"/>
      <c r="O755" s="24"/>
      <c r="P755" s="24"/>
      <c r="Q755" s="24"/>
      <c r="R755" s="43"/>
      <c r="S755" s="24">
        <v>500</v>
      </c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36"/>
      <c r="AG755" s="36"/>
      <c r="AH755" s="36"/>
      <c r="AI755" s="36"/>
    </row>
    <row r="756" s="1" customFormat="1" customHeight="1" spans="1:35">
      <c r="A756" s="17">
        <v>753</v>
      </c>
      <c r="B756" s="20">
        <v>46142</v>
      </c>
      <c r="C756" s="21" t="s">
        <v>194</v>
      </c>
      <c r="D756" s="22" t="s">
        <v>38</v>
      </c>
      <c r="E756" s="23" t="s">
        <v>195</v>
      </c>
      <c r="F756" s="24">
        <f t="shared" si="12"/>
        <v>1500</v>
      </c>
      <c r="G756" s="24" t="s">
        <v>49</v>
      </c>
      <c r="H756" s="36"/>
      <c r="I756" s="36"/>
      <c r="J756" s="24"/>
      <c r="K756" s="24"/>
      <c r="L756" s="24"/>
      <c r="M756" s="24"/>
      <c r="N756" s="24"/>
      <c r="O756" s="24"/>
      <c r="P756" s="24"/>
      <c r="Q756" s="24"/>
      <c r="R756" s="43"/>
      <c r="S756" s="24">
        <v>1500</v>
      </c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36"/>
      <c r="AG756" s="36"/>
      <c r="AH756" s="36"/>
      <c r="AI756" s="36"/>
    </row>
    <row r="757" s="1" customFormat="1" customHeight="1" spans="1:35">
      <c r="A757" s="17">
        <v>754</v>
      </c>
      <c r="B757" s="20">
        <v>46142</v>
      </c>
      <c r="C757" s="21" t="s">
        <v>196</v>
      </c>
      <c r="D757" s="22" t="s">
        <v>38</v>
      </c>
      <c r="E757" s="23" t="s">
        <v>195</v>
      </c>
      <c r="F757" s="24">
        <f t="shared" si="12"/>
        <v>2500</v>
      </c>
      <c r="G757" s="24" t="s">
        <v>49</v>
      </c>
      <c r="H757" s="36"/>
      <c r="I757" s="36"/>
      <c r="J757" s="24"/>
      <c r="K757" s="24"/>
      <c r="L757" s="24"/>
      <c r="M757" s="24"/>
      <c r="N757" s="24"/>
      <c r="O757" s="24"/>
      <c r="P757" s="24"/>
      <c r="Q757" s="24"/>
      <c r="R757" s="43"/>
      <c r="S757" s="24">
        <v>2500</v>
      </c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36"/>
      <c r="AG757" s="36"/>
      <c r="AH757" s="36"/>
      <c r="AI757" s="36"/>
    </row>
    <row r="758" s="1" customFormat="1" customHeight="1" spans="1:35">
      <c r="A758" s="17">
        <v>755</v>
      </c>
      <c r="B758" s="20">
        <v>46142</v>
      </c>
      <c r="C758" s="21"/>
      <c r="D758" s="22" t="s">
        <v>706</v>
      </c>
      <c r="E758" s="23" t="s">
        <v>706</v>
      </c>
      <c r="F758" s="24">
        <f t="shared" si="12"/>
        <v>1200</v>
      </c>
      <c r="G758" s="24" t="s">
        <v>49</v>
      </c>
      <c r="H758" s="25">
        <v>46144</v>
      </c>
      <c r="I758" s="25">
        <v>46146</v>
      </c>
      <c r="J758" s="24"/>
      <c r="K758" s="24"/>
      <c r="L758" s="24"/>
      <c r="M758" s="24"/>
      <c r="N758" s="24"/>
      <c r="O758" s="24"/>
      <c r="P758" s="24">
        <v>1200</v>
      </c>
      <c r="Q758" s="24"/>
      <c r="R758" s="43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36"/>
      <c r="AG758" s="36"/>
      <c r="AH758" s="36"/>
      <c r="AI758" s="36"/>
    </row>
    <row r="759" s="1" customFormat="1" customHeight="1" spans="1:35">
      <c r="A759" s="17">
        <v>756</v>
      </c>
      <c r="B759" s="20">
        <v>46142</v>
      </c>
      <c r="C759" s="21" t="s">
        <v>61</v>
      </c>
      <c r="D759" s="22" t="s">
        <v>62</v>
      </c>
      <c r="E759" s="23" t="s">
        <v>63</v>
      </c>
      <c r="F759" s="24">
        <f t="shared" si="12"/>
        <v>1500</v>
      </c>
      <c r="G759" s="24" t="s">
        <v>49</v>
      </c>
      <c r="H759" s="36"/>
      <c r="I759" s="36"/>
      <c r="J759" s="24"/>
      <c r="K759" s="24"/>
      <c r="L759" s="24"/>
      <c r="M759" s="24"/>
      <c r="N759" s="24"/>
      <c r="O759" s="24"/>
      <c r="P759" s="24"/>
      <c r="Q759" s="24"/>
      <c r="R759" s="43">
        <v>1500</v>
      </c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36"/>
      <c r="AG759" s="36"/>
      <c r="AH759" s="36"/>
      <c r="AI759" s="36"/>
    </row>
    <row r="760" s="1" customFormat="1" customHeight="1" spans="1:35">
      <c r="A760" s="17">
        <v>757</v>
      </c>
      <c r="B760" s="20">
        <v>46142</v>
      </c>
      <c r="C760" s="21" t="s">
        <v>65</v>
      </c>
      <c r="D760" s="22" t="s">
        <v>62</v>
      </c>
      <c r="E760" s="23" t="s">
        <v>66</v>
      </c>
      <c r="F760" s="24">
        <f t="shared" si="12"/>
        <v>1500</v>
      </c>
      <c r="G760" s="24" t="s">
        <v>49</v>
      </c>
      <c r="H760" s="36"/>
      <c r="I760" s="36"/>
      <c r="J760" s="24"/>
      <c r="K760" s="24"/>
      <c r="L760" s="24"/>
      <c r="M760" s="24"/>
      <c r="N760" s="24"/>
      <c r="O760" s="24"/>
      <c r="P760" s="24"/>
      <c r="Q760" s="24">
        <v>1500</v>
      </c>
      <c r="R760" s="43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36"/>
      <c r="AG760" s="36"/>
      <c r="AH760" s="36"/>
      <c r="AI760" s="36"/>
    </row>
    <row r="761" s="1" customFormat="1" customHeight="1" spans="1:35">
      <c r="A761" s="17">
        <v>758</v>
      </c>
      <c r="B761" s="20">
        <v>46142</v>
      </c>
      <c r="C761" s="21" t="s">
        <v>707</v>
      </c>
      <c r="D761" s="22" t="str" cm="1">
        <f t="array" ref="D761">INDEX([1]Sheet2!A:A,MATCH(E761,[1]Sheet2!B:B,0))</f>
        <v>王美男</v>
      </c>
      <c r="E761" s="23" t="s">
        <v>708</v>
      </c>
      <c r="F761" s="24">
        <f t="shared" si="12"/>
        <v>1500</v>
      </c>
      <c r="G761" s="24" t="s">
        <v>49</v>
      </c>
      <c r="H761" s="25">
        <v>46082</v>
      </c>
      <c r="I761" s="25">
        <v>46112</v>
      </c>
      <c r="J761" s="24"/>
      <c r="K761" s="24"/>
      <c r="L761" s="24"/>
      <c r="M761" s="24"/>
      <c r="N761" s="24"/>
      <c r="O761" s="24"/>
      <c r="P761" s="24"/>
      <c r="Q761" s="24"/>
      <c r="R761" s="43">
        <v>1500</v>
      </c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36"/>
      <c r="AG761" s="36"/>
      <c r="AH761" s="36"/>
      <c r="AI761" s="36"/>
    </row>
    <row r="762" s="1" customFormat="1" customHeight="1" spans="1:35">
      <c r="A762" s="17">
        <v>759</v>
      </c>
      <c r="B762" s="20">
        <v>46142</v>
      </c>
      <c r="C762" s="21" t="s">
        <v>230</v>
      </c>
      <c r="D762" s="22" t="s">
        <v>709</v>
      </c>
      <c r="E762" s="23" t="s">
        <v>710</v>
      </c>
      <c r="F762" s="24">
        <f t="shared" si="12"/>
        <v>7050</v>
      </c>
      <c r="G762" s="24" t="s">
        <v>49</v>
      </c>
      <c r="H762" s="25">
        <v>46143</v>
      </c>
      <c r="I762" s="25">
        <v>46234</v>
      </c>
      <c r="J762" s="24">
        <v>4080</v>
      </c>
      <c r="K762" s="24">
        <v>2970</v>
      </c>
      <c r="L762" s="24"/>
      <c r="M762" s="24"/>
      <c r="N762" s="24"/>
      <c r="O762" s="24"/>
      <c r="P762" s="24"/>
      <c r="Q762" s="24"/>
      <c r="R762" s="43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36"/>
      <c r="AG762" s="36"/>
      <c r="AH762" s="36"/>
      <c r="AI762" s="36"/>
    </row>
    <row r="763" s="1" customFormat="1" customHeight="1" spans="1:35">
      <c r="A763" s="17">
        <v>760</v>
      </c>
      <c r="B763" s="20">
        <v>46142</v>
      </c>
      <c r="C763" s="21" t="s">
        <v>177</v>
      </c>
      <c r="D763" s="22" t="s">
        <v>711</v>
      </c>
      <c r="E763" s="23" t="s">
        <v>712</v>
      </c>
      <c r="F763" s="24">
        <f t="shared" si="12"/>
        <v>20000</v>
      </c>
      <c r="G763" s="24" t="s">
        <v>49</v>
      </c>
      <c r="H763" s="25">
        <v>46143</v>
      </c>
      <c r="I763" s="25">
        <v>46173</v>
      </c>
      <c r="J763" s="24">
        <v>7000</v>
      </c>
      <c r="K763" s="24">
        <v>3500</v>
      </c>
      <c r="L763" s="24"/>
      <c r="M763" s="24"/>
      <c r="N763" s="24"/>
      <c r="O763" s="24"/>
      <c r="P763" s="24"/>
      <c r="Q763" s="24"/>
      <c r="R763" s="43"/>
      <c r="S763" s="24"/>
      <c r="T763" s="24"/>
      <c r="U763" s="24"/>
      <c r="V763" s="24"/>
      <c r="W763" s="24"/>
      <c r="X763" s="24"/>
      <c r="Y763" s="24"/>
      <c r="Z763" s="24"/>
      <c r="AA763" s="24">
        <v>9500</v>
      </c>
      <c r="AB763" s="24"/>
      <c r="AC763" s="24"/>
      <c r="AD763" s="24"/>
      <c r="AE763" s="24"/>
      <c r="AF763" s="36"/>
      <c r="AG763" s="36"/>
      <c r="AH763" s="36"/>
      <c r="AI763" s="36"/>
    </row>
    <row r="764" s="1" customFormat="1" customHeight="1" spans="1:35">
      <c r="A764" s="17">
        <v>761</v>
      </c>
      <c r="B764" s="20">
        <v>46142</v>
      </c>
      <c r="C764" s="21" t="s">
        <v>713</v>
      </c>
      <c r="D764" s="22" t="s">
        <v>714</v>
      </c>
      <c r="E764" s="23" t="s">
        <v>715</v>
      </c>
      <c r="F764" s="24">
        <f t="shared" si="12"/>
        <v>10000</v>
      </c>
      <c r="G764" s="24" t="s">
        <v>49</v>
      </c>
      <c r="H764" s="25">
        <v>46054</v>
      </c>
      <c r="I764" s="25">
        <v>46081</v>
      </c>
      <c r="J764" s="24">
        <v>6457.5</v>
      </c>
      <c r="K764" s="24">
        <v>4100</v>
      </c>
      <c r="L764" s="24"/>
      <c r="M764" s="24"/>
      <c r="N764" s="24"/>
      <c r="O764" s="24"/>
      <c r="P764" s="24"/>
      <c r="Q764" s="24"/>
      <c r="R764" s="43"/>
      <c r="S764" s="24"/>
      <c r="T764" s="24"/>
      <c r="U764" s="24"/>
      <c r="V764" s="24"/>
      <c r="W764" s="24"/>
      <c r="X764" s="24"/>
      <c r="Y764" s="24"/>
      <c r="Z764" s="24"/>
      <c r="AA764" s="24">
        <v>-557.5</v>
      </c>
      <c r="AB764" s="24"/>
      <c r="AC764" s="24"/>
      <c r="AD764" s="24"/>
      <c r="AE764" s="24"/>
      <c r="AF764" s="36"/>
      <c r="AG764" s="36"/>
      <c r="AH764" s="36"/>
      <c r="AI764" s="36"/>
    </row>
    <row r="765" s="1" customFormat="1" customHeight="1" spans="1:35">
      <c r="A765" s="17">
        <v>762</v>
      </c>
      <c r="B765" s="20">
        <v>46142</v>
      </c>
      <c r="C765" s="21" t="s">
        <v>156</v>
      </c>
      <c r="D765" s="22" t="str" cm="1">
        <f t="array" ref="D765">INDEX([1]Sheet2!A:A,MATCH(E765,[1]Sheet2!B:B,0))</f>
        <v>刘露</v>
      </c>
      <c r="E765" s="23" t="s">
        <v>555</v>
      </c>
      <c r="F765" s="24">
        <f t="shared" si="12"/>
        <v>10000</v>
      </c>
      <c r="G765" s="24" t="s">
        <v>49</v>
      </c>
      <c r="H765" s="25">
        <v>46104</v>
      </c>
      <c r="I765" s="25">
        <v>46195</v>
      </c>
      <c r="J765" s="24">
        <v>8556</v>
      </c>
      <c r="K765" s="24">
        <v>7440</v>
      </c>
      <c r="L765" s="24"/>
      <c r="M765" s="24"/>
      <c r="N765" s="24"/>
      <c r="O765" s="24"/>
      <c r="P765" s="24"/>
      <c r="Q765" s="24"/>
      <c r="R765" s="43"/>
      <c r="S765" s="24"/>
      <c r="T765" s="24"/>
      <c r="U765" s="24"/>
      <c r="V765" s="24"/>
      <c r="W765" s="24"/>
      <c r="X765" s="24"/>
      <c r="Y765" s="24"/>
      <c r="Z765" s="24"/>
      <c r="AA765" s="24">
        <v>-5996</v>
      </c>
      <c r="AB765" s="24"/>
      <c r="AC765" s="24"/>
      <c r="AD765" s="24"/>
      <c r="AE765" s="24"/>
      <c r="AF765" s="36"/>
      <c r="AG765" s="36"/>
      <c r="AH765" s="36"/>
      <c r="AI765" s="36"/>
    </row>
    <row r="766" s="1" customFormat="1" customHeight="1" spans="1:35">
      <c r="A766" s="17">
        <v>763</v>
      </c>
      <c r="B766" s="20">
        <v>46142</v>
      </c>
      <c r="C766" s="21" t="s">
        <v>460</v>
      </c>
      <c r="D766" s="22" t="s">
        <v>551</v>
      </c>
      <c r="E766" s="23" t="s">
        <v>552</v>
      </c>
      <c r="F766" s="24">
        <f t="shared" si="12"/>
        <v>9999</v>
      </c>
      <c r="G766" s="24" t="s">
        <v>49</v>
      </c>
      <c r="H766" s="36"/>
      <c r="I766" s="36"/>
      <c r="J766" s="24"/>
      <c r="K766" s="24"/>
      <c r="L766" s="24"/>
      <c r="M766" s="24"/>
      <c r="N766" s="24"/>
      <c r="O766" s="24"/>
      <c r="P766" s="24"/>
      <c r="Q766" s="24"/>
      <c r="R766" s="43"/>
      <c r="S766" s="24"/>
      <c r="T766" s="24"/>
      <c r="U766" s="24"/>
      <c r="V766" s="24"/>
      <c r="W766" s="24"/>
      <c r="X766" s="24"/>
      <c r="Y766" s="24"/>
      <c r="Z766" s="24"/>
      <c r="AA766" s="24">
        <v>9999</v>
      </c>
      <c r="AB766" s="24"/>
      <c r="AC766" s="24"/>
      <c r="AD766" s="24"/>
      <c r="AE766" s="24"/>
      <c r="AF766" s="36"/>
      <c r="AG766" s="36"/>
      <c r="AH766" s="36"/>
      <c r="AI766" s="36"/>
    </row>
    <row r="767" s="1" customFormat="1" customHeight="1" spans="1:35">
      <c r="A767" s="17">
        <v>764</v>
      </c>
      <c r="B767" s="20">
        <v>46142</v>
      </c>
      <c r="C767" s="21" t="s">
        <v>24</v>
      </c>
      <c r="D767" s="22" t="str" cm="1">
        <f t="array" ref="D767">INDEX([1]Sheet2!A:A,MATCH(E767,[1]Sheet2!B:B,0))</f>
        <v>充值</v>
      </c>
      <c r="E767" s="23" t="s">
        <v>72</v>
      </c>
      <c r="F767" s="24">
        <f t="shared" si="12"/>
        <v>1750</v>
      </c>
      <c r="G767" s="24" t="s">
        <v>49</v>
      </c>
      <c r="H767" s="36"/>
      <c r="I767" s="36"/>
      <c r="J767" s="24"/>
      <c r="K767" s="24"/>
      <c r="L767" s="24"/>
      <c r="M767" s="24"/>
      <c r="N767" s="24"/>
      <c r="O767" s="24"/>
      <c r="P767" s="24"/>
      <c r="Q767" s="24"/>
      <c r="R767" s="43"/>
      <c r="S767" s="24"/>
      <c r="T767" s="24"/>
      <c r="U767" s="24"/>
      <c r="V767" s="24"/>
      <c r="W767" s="24">
        <v>1750</v>
      </c>
      <c r="X767" s="24"/>
      <c r="Y767" s="24"/>
      <c r="Z767" s="24"/>
      <c r="AA767" s="24"/>
      <c r="AB767" s="24"/>
      <c r="AC767" s="24"/>
      <c r="AD767" s="24"/>
      <c r="AE767" s="24"/>
      <c r="AF767" s="36"/>
      <c r="AG767" s="36"/>
      <c r="AH767" s="36"/>
      <c r="AI767" s="36"/>
    </row>
    <row r="768" s="1" customFormat="1" customHeight="1" spans="1:35">
      <c r="A768" s="17">
        <v>765</v>
      </c>
      <c r="B768" s="20">
        <v>46142</v>
      </c>
      <c r="C768" s="21" t="s">
        <v>336</v>
      </c>
      <c r="D768" s="22" t="str" cm="1">
        <f t="array" ref="D768">INDEX([1]Sheet2!A:A,MATCH(E768,[1]Sheet2!B:B,0))</f>
        <v>刘桃</v>
      </c>
      <c r="E768" s="23" t="s">
        <v>337</v>
      </c>
      <c r="F768" s="24">
        <f t="shared" si="12"/>
        <v>5400</v>
      </c>
      <c r="G768" s="24" t="s">
        <v>49</v>
      </c>
      <c r="H768" s="25">
        <v>46082</v>
      </c>
      <c r="I768" s="25">
        <v>46173</v>
      </c>
      <c r="J768" s="24"/>
      <c r="K768" s="24"/>
      <c r="L768" s="24"/>
      <c r="M768" s="24"/>
      <c r="N768" s="24"/>
      <c r="O768" s="24"/>
      <c r="P768" s="24"/>
      <c r="Q768" s="24"/>
      <c r="R768" s="43"/>
      <c r="S768" s="24"/>
      <c r="T768" s="24"/>
      <c r="U768" s="24"/>
      <c r="V768" s="24"/>
      <c r="W768" s="24"/>
      <c r="X768" s="24"/>
      <c r="Y768" s="24"/>
      <c r="Z768" s="24"/>
      <c r="AA768" s="24">
        <v>5400</v>
      </c>
      <c r="AB768" s="24"/>
      <c r="AC768" s="24"/>
      <c r="AD768" s="24"/>
      <c r="AE768" s="24"/>
      <c r="AF768" s="36"/>
      <c r="AG768" s="36"/>
      <c r="AH768" s="36"/>
      <c r="AI768" s="36"/>
    </row>
    <row r="769" s="1" customFormat="1" customHeight="1" spans="1:35">
      <c r="A769" s="17">
        <v>766</v>
      </c>
      <c r="B769" s="20">
        <v>46142</v>
      </c>
      <c r="C769" s="21" t="s">
        <v>234</v>
      </c>
      <c r="D769" s="22" t="str" cm="1">
        <f t="array" ref="D769">INDEX([1]Sheet2!A:A,MATCH(E769,[1]Sheet2!B:B,0))</f>
        <v>唐文文</v>
      </c>
      <c r="E769" s="23" t="s">
        <v>562</v>
      </c>
      <c r="F769" s="24">
        <f t="shared" si="12"/>
        <v>10000</v>
      </c>
      <c r="G769" s="24" t="s">
        <v>40</v>
      </c>
      <c r="H769" s="25">
        <v>46143</v>
      </c>
      <c r="I769" s="25">
        <v>46173</v>
      </c>
      <c r="J769" s="24">
        <v>5530</v>
      </c>
      <c r="K769" s="24">
        <v>4470</v>
      </c>
      <c r="L769" s="24"/>
      <c r="M769" s="24"/>
      <c r="N769" s="24"/>
      <c r="O769" s="24"/>
      <c r="P769" s="24"/>
      <c r="Q769" s="24"/>
      <c r="R769" s="43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36"/>
      <c r="AG769" s="36"/>
      <c r="AH769" s="36"/>
      <c r="AI769" s="36"/>
    </row>
    <row r="770" s="1" customFormat="1" customHeight="1" spans="1:35">
      <c r="A770" s="17">
        <v>767</v>
      </c>
      <c r="B770" s="20">
        <v>46142</v>
      </c>
      <c r="C770" s="21" t="s">
        <v>73</v>
      </c>
      <c r="D770" s="22" t="str" cm="1">
        <f t="array" ref="D770">INDEX([1]Sheet2!A:A,MATCH(E770,[1]Sheet2!B:B,0))</f>
        <v>衡阳志扬体育文化有限公司</v>
      </c>
      <c r="E770" s="23" t="s">
        <v>74</v>
      </c>
      <c r="F770" s="24">
        <f t="shared" si="12"/>
        <v>7279</v>
      </c>
      <c r="G770" s="24" t="s">
        <v>49</v>
      </c>
      <c r="H770" s="36"/>
      <c r="I770" s="36"/>
      <c r="J770" s="24"/>
      <c r="K770" s="24"/>
      <c r="L770" s="24"/>
      <c r="M770" s="24"/>
      <c r="N770" s="24"/>
      <c r="O770" s="24"/>
      <c r="P770" s="24"/>
      <c r="Q770" s="24"/>
      <c r="R770" s="43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>
        <v>7279</v>
      </c>
      <c r="AF770" s="36"/>
      <c r="AG770" s="36"/>
      <c r="AH770" s="36"/>
      <c r="AI770" s="36"/>
    </row>
    <row r="771" s="1" customFormat="1" customHeight="1" spans="1:35">
      <c r="A771" s="17">
        <v>768</v>
      </c>
      <c r="B771" s="20">
        <v>46142</v>
      </c>
      <c r="C771" s="21" t="s">
        <v>113</v>
      </c>
      <c r="D771" s="22" t="str" cm="1">
        <f t="array" ref="D771">INDEX([1]Sheet2!A:A,MATCH(E771,[1]Sheet2!B:B,0))</f>
        <v>湖南亮点体育文化发展有限公司</v>
      </c>
      <c r="E771" s="23" t="s">
        <v>114</v>
      </c>
      <c r="F771" s="24">
        <f t="shared" si="12"/>
        <v>100</v>
      </c>
      <c r="G771" s="24" t="s">
        <v>77</v>
      </c>
      <c r="H771" s="36"/>
      <c r="I771" s="36"/>
      <c r="J771" s="24"/>
      <c r="K771" s="24"/>
      <c r="L771" s="24"/>
      <c r="M771" s="24"/>
      <c r="N771" s="24"/>
      <c r="O771" s="24"/>
      <c r="P771" s="24"/>
      <c r="Q771" s="24"/>
      <c r="R771" s="43"/>
      <c r="S771" s="24">
        <v>100</v>
      </c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36"/>
      <c r="AG771" s="36"/>
      <c r="AH771" s="36"/>
      <c r="AI771" s="36"/>
    </row>
    <row r="772" s="1" customFormat="1" customHeight="1" spans="1:35">
      <c r="A772" s="17">
        <v>769</v>
      </c>
      <c r="B772" s="20">
        <v>46142</v>
      </c>
      <c r="C772" s="21" t="s">
        <v>115</v>
      </c>
      <c r="D772" s="22" t="str" cm="1">
        <f t="array" ref="D772">INDEX([1]Sheet2!A:A,MATCH(E772,[1]Sheet2!B:B,0))</f>
        <v>湖南亮点体育文化发展有限公司</v>
      </c>
      <c r="E772" s="23" t="s">
        <v>116</v>
      </c>
      <c r="F772" s="24">
        <f t="shared" ref="F772:F795" si="13">SUM(J772:AE772)</f>
        <v>200</v>
      </c>
      <c r="G772" s="24" t="s">
        <v>77</v>
      </c>
      <c r="H772" s="36"/>
      <c r="I772" s="36"/>
      <c r="J772" s="24"/>
      <c r="K772" s="24"/>
      <c r="L772" s="24"/>
      <c r="M772" s="24"/>
      <c r="N772" s="24"/>
      <c r="O772" s="24"/>
      <c r="P772" s="24"/>
      <c r="Q772" s="24"/>
      <c r="R772" s="43"/>
      <c r="S772" s="24">
        <v>200</v>
      </c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36"/>
      <c r="AG772" s="36"/>
      <c r="AH772" s="36"/>
      <c r="AI772" s="36"/>
    </row>
    <row r="773" s="1" customFormat="1" customHeight="1" spans="1:35">
      <c r="A773" s="17">
        <v>770</v>
      </c>
      <c r="B773" s="20">
        <v>46142</v>
      </c>
      <c r="C773" s="21" t="s">
        <v>117</v>
      </c>
      <c r="D773" s="22" t="str" cm="1">
        <f t="array" ref="D773">INDEX([1]Sheet2!A:A,MATCH(E773,[1]Sheet2!B:B,0))</f>
        <v>湖南亮点体育文化发展有限公司</v>
      </c>
      <c r="E773" s="23" t="s">
        <v>118</v>
      </c>
      <c r="F773" s="24">
        <f t="shared" si="13"/>
        <v>200</v>
      </c>
      <c r="G773" s="24" t="s">
        <v>77</v>
      </c>
      <c r="H773" s="36"/>
      <c r="I773" s="36"/>
      <c r="J773" s="24"/>
      <c r="K773" s="24"/>
      <c r="L773" s="24"/>
      <c r="M773" s="24"/>
      <c r="N773" s="24"/>
      <c r="O773" s="24"/>
      <c r="P773" s="24"/>
      <c r="Q773" s="24"/>
      <c r="R773" s="43"/>
      <c r="S773" s="24">
        <v>200</v>
      </c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36"/>
      <c r="AG773" s="36"/>
      <c r="AH773" s="36"/>
      <c r="AI773" s="36"/>
    </row>
    <row r="774" s="1" customFormat="1" customHeight="1" spans="1:35">
      <c r="A774" s="17">
        <v>771</v>
      </c>
      <c r="B774" s="20">
        <v>46142</v>
      </c>
      <c r="C774" s="21" t="s">
        <v>119</v>
      </c>
      <c r="D774" s="22" t="str" cm="1">
        <f t="array" ref="D774">INDEX([1]Sheet2!A:A,MATCH(E774,[1]Sheet2!B:B,0))</f>
        <v>湖南亮点体育文化发展有限公司</v>
      </c>
      <c r="E774" s="23" t="s">
        <v>120</v>
      </c>
      <c r="F774" s="24">
        <f t="shared" si="13"/>
        <v>200</v>
      </c>
      <c r="G774" s="24" t="s">
        <v>77</v>
      </c>
      <c r="H774" s="36"/>
      <c r="I774" s="36"/>
      <c r="J774" s="24"/>
      <c r="K774" s="24"/>
      <c r="L774" s="24"/>
      <c r="M774" s="24"/>
      <c r="N774" s="24"/>
      <c r="O774" s="24"/>
      <c r="P774" s="24"/>
      <c r="Q774" s="24"/>
      <c r="R774" s="43"/>
      <c r="S774" s="24">
        <v>200</v>
      </c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36"/>
      <c r="AG774" s="36"/>
      <c r="AH774" s="36"/>
      <c r="AI774" s="36"/>
    </row>
    <row r="775" s="1" customFormat="1" customHeight="1" spans="1:35">
      <c r="A775" s="17">
        <v>772</v>
      </c>
      <c r="B775" s="20">
        <v>46142</v>
      </c>
      <c r="C775" s="21" t="s">
        <v>121</v>
      </c>
      <c r="D775" s="22" t="str" cm="1">
        <f t="array" ref="D775">INDEX([1]Sheet2!A:A,MATCH(E775,[1]Sheet2!B:B,0))</f>
        <v>湖南亮点体育文化发展有限公司</v>
      </c>
      <c r="E775" s="23" t="s">
        <v>122</v>
      </c>
      <c r="F775" s="24">
        <f t="shared" si="13"/>
        <v>100</v>
      </c>
      <c r="G775" s="24" t="s">
        <v>77</v>
      </c>
      <c r="H775" s="36"/>
      <c r="I775" s="36"/>
      <c r="J775" s="24"/>
      <c r="K775" s="24"/>
      <c r="L775" s="24"/>
      <c r="M775" s="24"/>
      <c r="N775" s="24"/>
      <c r="O775" s="24"/>
      <c r="P775" s="24"/>
      <c r="Q775" s="24"/>
      <c r="R775" s="43"/>
      <c r="S775" s="24">
        <v>100</v>
      </c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36"/>
      <c r="AG775" s="36"/>
      <c r="AH775" s="36"/>
      <c r="AI775" s="36"/>
    </row>
    <row r="776" s="1" customFormat="1" customHeight="1" spans="1:35">
      <c r="A776" s="17">
        <v>773</v>
      </c>
      <c r="B776" s="20">
        <v>46142</v>
      </c>
      <c r="C776" s="21" t="s">
        <v>78</v>
      </c>
      <c r="D776" s="22" t="str" cm="1">
        <f t="array" ref="D776">INDEX([1]Sheet2!A:A,MATCH(E776,[1]Sheet2!B:B,0))</f>
        <v>湖南亮点体育文化发展有限公司</v>
      </c>
      <c r="E776" s="23" t="s">
        <v>123</v>
      </c>
      <c r="F776" s="24">
        <f t="shared" si="13"/>
        <v>100</v>
      </c>
      <c r="G776" s="24" t="s">
        <v>77</v>
      </c>
      <c r="H776" s="36"/>
      <c r="I776" s="36"/>
      <c r="J776" s="24"/>
      <c r="K776" s="24"/>
      <c r="L776" s="24"/>
      <c r="M776" s="24"/>
      <c r="N776" s="24"/>
      <c r="O776" s="24"/>
      <c r="P776" s="24"/>
      <c r="Q776" s="24"/>
      <c r="R776" s="43"/>
      <c r="S776" s="24">
        <v>100</v>
      </c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36"/>
      <c r="AG776" s="36"/>
      <c r="AH776" s="36"/>
      <c r="AI776" s="36"/>
    </row>
    <row r="777" s="1" customFormat="1" customHeight="1" spans="1:35">
      <c r="A777" s="17">
        <v>774</v>
      </c>
      <c r="B777" s="20">
        <v>46142</v>
      </c>
      <c r="C777" s="21" t="s">
        <v>197</v>
      </c>
      <c r="D777" s="22" t="str" cm="1">
        <f t="array" ref="D777">INDEX([1]Sheet2!A:A,MATCH(E777,[1]Sheet2!B:B,0))</f>
        <v>湖南亮点体育文化发展有限公司</v>
      </c>
      <c r="E777" s="23" t="s">
        <v>198</v>
      </c>
      <c r="F777" s="24">
        <f t="shared" si="13"/>
        <v>200</v>
      </c>
      <c r="G777" s="24" t="s">
        <v>77</v>
      </c>
      <c r="H777" s="36"/>
      <c r="I777" s="36"/>
      <c r="J777" s="24"/>
      <c r="K777" s="24"/>
      <c r="L777" s="24"/>
      <c r="M777" s="24"/>
      <c r="N777" s="24"/>
      <c r="O777" s="24"/>
      <c r="P777" s="24"/>
      <c r="Q777" s="24"/>
      <c r="R777" s="43"/>
      <c r="S777" s="24">
        <v>200</v>
      </c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36"/>
      <c r="AG777" s="36"/>
      <c r="AH777" s="36"/>
      <c r="AI777" s="36"/>
    </row>
    <row r="778" s="1" customFormat="1" customHeight="1" spans="1:35">
      <c r="A778" s="17">
        <v>775</v>
      </c>
      <c r="B778" s="20">
        <v>46142</v>
      </c>
      <c r="C778" s="21" t="s">
        <v>84</v>
      </c>
      <c r="D778" s="22" t="str" cm="1">
        <f t="array" ref="D778">INDEX([1]Sheet2!A:A,MATCH(E778,[1]Sheet2!B:B,0))</f>
        <v>莫靖凡</v>
      </c>
      <c r="E778" s="23" t="s">
        <v>85</v>
      </c>
      <c r="F778" s="24">
        <f t="shared" si="13"/>
        <v>50</v>
      </c>
      <c r="G778" s="24" t="s">
        <v>77</v>
      </c>
      <c r="H778" s="36"/>
      <c r="I778" s="36"/>
      <c r="J778" s="24"/>
      <c r="K778" s="24"/>
      <c r="L778" s="24"/>
      <c r="M778" s="24"/>
      <c r="N778" s="24"/>
      <c r="O778" s="24"/>
      <c r="P778" s="24"/>
      <c r="Q778" s="24"/>
      <c r="R778" s="43"/>
      <c r="S778" s="24">
        <v>50</v>
      </c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36"/>
      <c r="AG778" s="36"/>
      <c r="AH778" s="36"/>
      <c r="AI778" s="36"/>
    </row>
    <row r="779" s="1" customFormat="1" customHeight="1" spans="1:35">
      <c r="A779" s="17">
        <v>776</v>
      </c>
      <c r="B779" s="20">
        <v>46142</v>
      </c>
      <c r="C779" s="21" t="s">
        <v>93</v>
      </c>
      <c r="D779" s="22" t="str" cm="1">
        <f t="array" ref="D779">INDEX([1]Sheet2!A:A,MATCH(E779,[1]Sheet2!B:B,0))</f>
        <v>陆谢</v>
      </c>
      <c r="E779" s="23" t="s">
        <v>94</v>
      </c>
      <c r="F779" s="24">
        <f t="shared" si="13"/>
        <v>4800</v>
      </c>
      <c r="G779" s="24" t="s">
        <v>77</v>
      </c>
      <c r="H779" s="36"/>
      <c r="I779" s="36"/>
      <c r="J779" s="24"/>
      <c r="K779" s="24"/>
      <c r="L779" s="24"/>
      <c r="M779" s="24"/>
      <c r="N779" s="24"/>
      <c r="O779" s="24"/>
      <c r="P779" s="24"/>
      <c r="Q779" s="24"/>
      <c r="R779" s="43"/>
      <c r="S779" s="24">
        <v>4800</v>
      </c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36"/>
      <c r="AG779" s="36"/>
      <c r="AH779" s="36"/>
      <c r="AI779" s="36"/>
    </row>
    <row r="780" s="1" customFormat="1" customHeight="1" spans="1:35">
      <c r="A780" s="17">
        <v>777</v>
      </c>
      <c r="B780" s="20">
        <v>46142</v>
      </c>
      <c r="C780" s="21" t="s">
        <v>65</v>
      </c>
      <c r="D780" s="22" t="str" cm="1">
        <f t="array" ref="D780">INDEX([1]Sheet2!A:A,MATCH(E780,[1]Sheet2!B:B,0))</f>
        <v>陆谢</v>
      </c>
      <c r="E780" s="23" t="s">
        <v>92</v>
      </c>
      <c r="F780" s="24">
        <f t="shared" si="13"/>
        <v>5200</v>
      </c>
      <c r="G780" s="24" t="s">
        <v>77</v>
      </c>
      <c r="H780" s="36"/>
      <c r="I780" s="36"/>
      <c r="J780" s="24"/>
      <c r="K780" s="24"/>
      <c r="L780" s="24"/>
      <c r="M780" s="24"/>
      <c r="N780" s="24"/>
      <c r="O780" s="24"/>
      <c r="P780" s="24"/>
      <c r="Q780" s="24"/>
      <c r="R780" s="43"/>
      <c r="S780" s="24">
        <v>5200</v>
      </c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36"/>
      <c r="AG780" s="36"/>
      <c r="AH780" s="36"/>
      <c r="AI780" s="36"/>
    </row>
    <row r="781" s="1" customFormat="1" customHeight="1" spans="1:35">
      <c r="A781" s="17">
        <v>778</v>
      </c>
      <c r="B781" s="20">
        <v>46142</v>
      </c>
      <c r="C781" s="21" t="s">
        <v>135</v>
      </c>
      <c r="D781" s="22" t="str" cm="1">
        <f t="array" ref="D781">INDEX([1]Sheet2!A:A,MATCH(E781,[1]Sheet2!B:B,0))</f>
        <v>周军伟</v>
      </c>
      <c r="E781" s="23" t="s">
        <v>136</v>
      </c>
      <c r="F781" s="24">
        <f t="shared" si="13"/>
        <v>20</v>
      </c>
      <c r="G781" s="24" t="s">
        <v>77</v>
      </c>
      <c r="H781" s="36"/>
      <c r="I781" s="36"/>
      <c r="J781" s="24"/>
      <c r="K781" s="24"/>
      <c r="L781" s="24"/>
      <c r="M781" s="24"/>
      <c r="N781" s="24"/>
      <c r="O781" s="24"/>
      <c r="P781" s="24"/>
      <c r="Q781" s="24"/>
      <c r="R781" s="43"/>
      <c r="S781" s="24">
        <v>20</v>
      </c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36"/>
      <c r="AG781" s="36"/>
      <c r="AH781" s="36"/>
      <c r="AI781" s="36"/>
    </row>
    <row r="782" s="1" customFormat="1" customHeight="1" spans="1:35">
      <c r="A782" s="17">
        <v>779</v>
      </c>
      <c r="B782" s="20">
        <v>46142</v>
      </c>
      <c r="C782" s="21" t="s">
        <v>95</v>
      </c>
      <c r="D782" s="22" t="str" cm="1">
        <f t="array" ref="D782">INDEX([1]Sheet2!A:A,MATCH(E782,[1]Sheet2!B:B,0))</f>
        <v>周建华</v>
      </c>
      <c r="E782" s="23" t="s">
        <v>96</v>
      </c>
      <c r="F782" s="24">
        <f t="shared" si="13"/>
        <v>200</v>
      </c>
      <c r="G782" s="24" t="s">
        <v>77</v>
      </c>
      <c r="H782" s="36"/>
      <c r="I782" s="36"/>
      <c r="J782" s="24"/>
      <c r="K782" s="24"/>
      <c r="L782" s="24"/>
      <c r="M782" s="24"/>
      <c r="N782" s="24"/>
      <c r="O782" s="24"/>
      <c r="P782" s="24"/>
      <c r="Q782" s="24"/>
      <c r="R782" s="43"/>
      <c r="S782" s="24">
        <v>200</v>
      </c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36"/>
      <c r="AG782" s="36"/>
      <c r="AH782" s="36"/>
      <c r="AI782" s="36"/>
    </row>
    <row r="783" s="1" customFormat="1" customHeight="1" spans="1:35">
      <c r="A783" s="17">
        <v>780</v>
      </c>
      <c r="B783" s="20">
        <v>46142</v>
      </c>
      <c r="C783" s="21" t="s">
        <v>160</v>
      </c>
      <c r="D783" s="22" t="str" cm="1">
        <f t="array" ref="D783">INDEX([1]Sheet2!A:A,MATCH(E783,[1]Sheet2!B:B,0))</f>
        <v>丁海军</v>
      </c>
      <c r="E783" s="23" t="s">
        <v>161</v>
      </c>
      <c r="F783" s="24">
        <f t="shared" si="13"/>
        <v>500</v>
      </c>
      <c r="G783" s="24" t="s">
        <v>77</v>
      </c>
      <c r="H783" s="36"/>
      <c r="I783" s="36"/>
      <c r="J783" s="24"/>
      <c r="K783" s="24"/>
      <c r="L783" s="24"/>
      <c r="M783" s="24"/>
      <c r="N783" s="24"/>
      <c r="O783" s="24"/>
      <c r="P783" s="24"/>
      <c r="Q783" s="24"/>
      <c r="R783" s="43"/>
      <c r="S783" s="24">
        <v>500</v>
      </c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36"/>
      <c r="AG783" s="36"/>
      <c r="AH783" s="36"/>
      <c r="AI783" s="36"/>
    </row>
    <row r="784" s="1" customFormat="1" customHeight="1" spans="1:35">
      <c r="A784" s="17">
        <v>781</v>
      </c>
      <c r="B784" s="20">
        <v>46142</v>
      </c>
      <c r="C784" s="21" t="s">
        <v>162</v>
      </c>
      <c r="D784" s="22" t="str" cm="1">
        <f t="array" ref="D784">INDEX([1]Sheet2!A:A,MATCH(E784,[1]Sheet2!B:B,0))</f>
        <v>丁海军</v>
      </c>
      <c r="E784" s="23" t="s">
        <v>163</v>
      </c>
      <c r="F784" s="24">
        <f t="shared" si="13"/>
        <v>200</v>
      </c>
      <c r="G784" s="24" t="s">
        <v>77</v>
      </c>
      <c r="H784" s="36"/>
      <c r="I784" s="36"/>
      <c r="J784" s="24"/>
      <c r="K784" s="24"/>
      <c r="L784" s="24"/>
      <c r="M784" s="24"/>
      <c r="N784" s="24"/>
      <c r="O784" s="24"/>
      <c r="P784" s="24"/>
      <c r="Q784" s="24"/>
      <c r="R784" s="43"/>
      <c r="S784" s="24">
        <v>200</v>
      </c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36"/>
      <c r="AG784" s="36"/>
      <c r="AH784" s="36"/>
      <c r="AI784" s="36"/>
    </row>
    <row r="785" s="1" customFormat="1" customHeight="1" spans="1:35">
      <c r="A785" s="17">
        <v>782</v>
      </c>
      <c r="B785" s="20">
        <v>46142</v>
      </c>
      <c r="C785" s="21" t="s">
        <v>312</v>
      </c>
      <c r="D785" s="22" t="str" cm="1">
        <f t="array" ref="D785">INDEX([1]Sheet2!A:A,MATCH(E785,[1]Sheet2!B:B,0))</f>
        <v>罗谋</v>
      </c>
      <c r="E785" s="23" t="s">
        <v>313</v>
      </c>
      <c r="F785" s="24">
        <f t="shared" si="13"/>
        <v>200</v>
      </c>
      <c r="G785" s="24" t="s">
        <v>77</v>
      </c>
      <c r="H785" s="36"/>
      <c r="I785" s="36"/>
      <c r="J785" s="24"/>
      <c r="K785" s="24"/>
      <c r="L785" s="24"/>
      <c r="M785" s="24"/>
      <c r="N785" s="24"/>
      <c r="O785" s="24"/>
      <c r="P785" s="24"/>
      <c r="Q785" s="24"/>
      <c r="R785" s="43"/>
      <c r="S785" s="24">
        <v>200</v>
      </c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36"/>
      <c r="AG785" s="36"/>
      <c r="AH785" s="36"/>
      <c r="AI785" s="36"/>
    </row>
    <row r="786" s="1" customFormat="1" customHeight="1" spans="1:35">
      <c r="A786" s="17">
        <v>783</v>
      </c>
      <c r="B786" s="20">
        <v>46142</v>
      </c>
      <c r="C786" s="21" t="s">
        <v>445</v>
      </c>
      <c r="D786" s="22" t="str" cm="1">
        <f t="array" ref="D786">INDEX([1]Sheet2!A:A,MATCH(E786,[1]Sheet2!B:B,0))</f>
        <v>王慧霞</v>
      </c>
      <c r="E786" s="23" t="s">
        <v>716</v>
      </c>
      <c r="F786" s="24">
        <f t="shared" si="13"/>
        <v>500</v>
      </c>
      <c r="G786" s="24" t="s">
        <v>77</v>
      </c>
      <c r="H786" s="36"/>
      <c r="I786" s="36"/>
      <c r="J786" s="24"/>
      <c r="K786" s="24"/>
      <c r="L786" s="24"/>
      <c r="M786" s="24"/>
      <c r="N786" s="24"/>
      <c r="O786" s="24"/>
      <c r="P786" s="24"/>
      <c r="Q786" s="24"/>
      <c r="R786" s="43"/>
      <c r="S786" s="24">
        <v>500</v>
      </c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36"/>
      <c r="AG786" s="36"/>
      <c r="AH786" s="36"/>
      <c r="AI786" s="36"/>
    </row>
    <row r="787" s="1" customFormat="1" customHeight="1" spans="1:35">
      <c r="A787" s="17">
        <v>784</v>
      </c>
      <c r="B787" s="20">
        <v>46142</v>
      </c>
      <c r="C787" s="21" t="s">
        <v>699</v>
      </c>
      <c r="D787" s="22" t="str" cm="1">
        <f t="array" ref="D787">INDEX([1]Sheet2!A:A,MATCH(E787,[1]Sheet2!B:B,0))</f>
        <v>黄用</v>
      </c>
      <c r="E787" s="23" t="s">
        <v>717</v>
      </c>
      <c r="F787" s="24">
        <f t="shared" si="13"/>
        <v>1000</v>
      </c>
      <c r="G787" s="24" t="s">
        <v>77</v>
      </c>
      <c r="H787" s="36"/>
      <c r="I787" s="36"/>
      <c r="J787" s="24"/>
      <c r="K787" s="24"/>
      <c r="L787" s="24"/>
      <c r="M787" s="24"/>
      <c r="N787" s="24"/>
      <c r="O787" s="24"/>
      <c r="P787" s="24"/>
      <c r="Q787" s="24"/>
      <c r="R787" s="43"/>
      <c r="S787" s="24">
        <v>1000</v>
      </c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36"/>
      <c r="AG787" s="36"/>
      <c r="AH787" s="36"/>
      <c r="AI787" s="36"/>
    </row>
    <row r="788" s="1" customFormat="1" customHeight="1" spans="1:35">
      <c r="A788" s="17">
        <v>785</v>
      </c>
      <c r="B788" s="20">
        <v>46142</v>
      </c>
      <c r="C788" s="21" t="s">
        <v>718</v>
      </c>
      <c r="D788" s="22" t="str" cm="1">
        <f t="array" ref="D788">INDEX([1]Sheet2!A:A,MATCH(E788,[1]Sheet2!B:B,0))</f>
        <v>伍珍贵</v>
      </c>
      <c r="E788" s="23" t="s">
        <v>719</v>
      </c>
      <c r="F788" s="24">
        <f t="shared" si="13"/>
        <v>1000</v>
      </c>
      <c r="G788" s="24" t="s">
        <v>77</v>
      </c>
      <c r="H788" s="36"/>
      <c r="I788" s="36"/>
      <c r="J788" s="24"/>
      <c r="K788" s="24"/>
      <c r="L788" s="24"/>
      <c r="M788" s="24"/>
      <c r="N788" s="24"/>
      <c r="O788" s="24"/>
      <c r="P788" s="24"/>
      <c r="Q788" s="24"/>
      <c r="R788" s="43"/>
      <c r="S788" s="24">
        <v>1000</v>
      </c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36"/>
      <c r="AG788" s="36"/>
      <c r="AH788" s="36"/>
      <c r="AI788" s="36"/>
    </row>
    <row r="789" s="1" customFormat="1" customHeight="1" spans="1:35">
      <c r="A789" s="17">
        <v>786</v>
      </c>
      <c r="B789" s="20">
        <v>46142</v>
      </c>
      <c r="C789" s="21" t="s">
        <v>192</v>
      </c>
      <c r="D789" s="22" t="str" cm="1">
        <f t="array" ref="D789">INDEX([1]Sheet2!A:A,MATCH(E789,[1]Sheet2!B:B,0))</f>
        <v>谢曼丽</v>
      </c>
      <c r="E789" s="23" t="s">
        <v>193</v>
      </c>
      <c r="F789" s="24">
        <f t="shared" si="13"/>
        <v>3000</v>
      </c>
      <c r="G789" s="24" t="s">
        <v>77</v>
      </c>
      <c r="H789" s="36"/>
      <c r="I789" s="36"/>
      <c r="J789" s="24"/>
      <c r="K789" s="24"/>
      <c r="L789" s="24"/>
      <c r="M789" s="24"/>
      <c r="N789" s="24"/>
      <c r="O789" s="24"/>
      <c r="P789" s="24"/>
      <c r="Q789" s="24"/>
      <c r="R789" s="43"/>
      <c r="S789" s="24">
        <v>3000</v>
      </c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36"/>
      <c r="AG789" s="36"/>
      <c r="AH789" s="36"/>
      <c r="AI789" s="36"/>
    </row>
    <row r="790" s="1" customFormat="1" customHeight="1" spans="1:35">
      <c r="A790" s="17">
        <v>787</v>
      </c>
      <c r="B790" s="20">
        <v>46142</v>
      </c>
      <c r="C790" s="21" t="s">
        <v>720</v>
      </c>
      <c r="D790" s="22" t="s">
        <v>683</v>
      </c>
      <c r="E790" s="23" t="s">
        <v>721</v>
      </c>
      <c r="F790" s="24">
        <f t="shared" si="13"/>
        <v>1000</v>
      </c>
      <c r="G790" s="24" t="s">
        <v>77</v>
      </c>
      <c r="H790" s="36"/>
      <c r="I790" s="36"/>
      <c r="J790" s="24"/>
      <c r="K790" s="24"/>
      <c r="L790" s="24"/>
      <c r="M790" s="24"/>
      <c r="N790" s="24"/>
      <c r="O790" s="24"/>
      <c r="P790" s="24"/>
      <c r="Q790" s="24"/>
      <c r="R790" s="43"/>
      <c r="S790" s="24">
        <v>1000</v>
      </c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36"/>
      <c r="AG790" s="36"/>
      <c r="AH790" s="36"/>
      <c r="AI790" s="36"/>
    </row>
    <row r="791" s="1" customFormat="1" customHeight="1" spans="1:35">
      <c r="A791" s="17">
        <v>788</v>
      </c>
      <c r="B791" s="20">
        <v>46142</v>
      </c>
      <c r="C791" s="21" t="s">
        <v>88</v>
      </c>
      <c r="D791" s="22" t="str" cm="1">
        <f t="array" ref="D791">INDEX([1]Sheet2!A:A,MATCH(E791,[1]Sheet2!B:B,0))</f>
        <v>马黎平</v>
      </c>
      <c r="E791" s="23" t="s">
        <v>89</v>
      </c>
      <c r="F791" s="24">
        <f t="shared" si="13"/>
        <v>2000</v>
      </c>
      <c r="G791" s="24" t="s">
        <v>77</v>
      </c>
      <c r="H791" s="36"/>
      <c r="I791" s="36"/>
      <c r="J791" s="24"/>
      <c r="K791" s="24"/>
      <c r="L791" s="24"/>
      <c r="M791" s="24"/>
      <c r="N791" s="24"/>
      <c r="O791" s="24"/>
      <c r="P791" s="24"/>
      <c r="Q791" s="24"/>
      <c r="R791" s="43"/>
      <c r="S791" s="24">
        <v>2000</v>
      </c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36"/>
      <c r="AG791" s="36"/>
      <c r="AH791" s="36"/>
      <c r="AI791" s="36"/>
    </row>
    <row r="792" s="1" customFormat="1" customHeight="1" spans="1:35">
      <c r="A792" s="17">
        <v>789</v>
      </c>
      <c r="B792" s="20">
        <v>46142</v>
      </c>
      <c r="C792" s="21" t="s">
        <v>24</v>
      </c>
      <c r="D792" s="22" t="str" cm="1">
        <f t="array" ref="D792">INDEX([1]Sheet2!A:A,MATCH(E792,[1]Sheet2!B:B,0))</f>
        <v>临时</v>
      </c>
      <c r="E792" s="23" t="s">
        <v>99</v>
      </c>
      <c r="F792" s="24">
        <f t="shared" si="13"/>
        <v>237</v>
      </c>
      <c r="G792" s="24" t="s">
        <v>100</v>
      </c>
      <c r="H792" s="36"/>
      <c r="I792" s="36"/>
      <c r="J792" s="24"/>
      <c r="K792" s="24"/>
      <c r="L792" s="24"/>
      <c r="M792" s="24"/>
      <c r="N792" s="24"/>
      <c r="O792" s="24"/>
      <c r="P792" s="24"/>
      <c r="Q792" s="24"/>
      <c r="R792" s="43"/>
      <c r="S792" s="24"/>
      <c r="T792" s="24"/>
      <c r="U792" s="24"/>
      <c r="V792" s="24"/>
      <c r="W792" s="24">
        <v>237</v>
      </c>
      <c r="X792" s="24"/>
      <c r="Y792" s="24"/>
      <c r="Z792" s="24"/>
      <c r="AA792" s="24"/>
      <c r="AB792" s="24"/>
      <c r="AC792" s="24"/>
      <c r="AD792" s="24"/>
      <c r="AE792" s="24"/>
      <c r="AF792" s="36"/>
      <c r="AG792" s="36"/>
      <c r="AH792" s="36"/>
      <c r="AI792" s="36"/>
    </row>
    <row r="793" s="1" customFormat="1" customHeight="1" spans="1:35">
      <c r="A793" s="17">
        <v>790</v>
      </c>
      <c r="B793" s="20">
        <v>46142</v>
      </c>
      <c r="C793" s="21" t="s">
        <v>722</v>
      </c>
      <c r="D793" s="36" t="e">
        <v>#N/A</v>
      </c>
      <c r="E793" s="23" t="s">
        <v>723</v>
      </c>
      <c r="F793" s="24">
        <f t="shared" si="13"/>
        <v>44838</v>
      </c>
      <c r="G793" s="24" t="s">
        <v>724</v>
      </c>
      <c r="H793" s="25">
        <v>46113</v>
      </c>
      <c r="I793" s="25">
        <v>46142</v>
      </c>
      <c r="J793" s="24"/>
      <c r="K793" s="24"/>
      <c r="L793" s="24"/>
      <c r="M793" s="24"/>
      <c r="N793" s="24"/>
      <c r="O793" s="24"/>
      <c r="P793" s="24"/>
      <c r="Q793" s="24"/>
      <c r="R793" s="43"/>
      <c r="S793" s="24"/>
      <c r="T793" s="24"/>
      <c r="U793" s="24"/>
      <c r="V793" s="24"/>
      <c r="W793" s="24">
        <v>44838</v>
      </c>
      <c r="X793" s="24"/>
      <c r="Y793" s="24"/>
      <c r="Z793" s="24"/>
      <c r="AA793" s="24"/>
      <c r="AB793" s="24"/>
      <c r="AC793" s="24"/>
      <c r="AD793" s="24"/>
      <c r="AE793" s="24"/>
      <c r="AF793" s="36"/>
      <c r="AG793" s="36"/>
      <c r="AH793" s="36"/>
      <c r="AI793" s="36"/>
    </row>
    <row r="794" s="1" customFormat="1" customHeight="1" spans="1:35">
      <c r="A794" s="17">
        <v>791</v>
      </c>
      <c r="B794" s="20">
        <v>46142</v>
      </c>
      <c r="C794" s="21"/>
      <c r="D794" s="36" t="s">
        <v>725</v>
      </c>
      <c r="E794" s="23" t="s">
        <v>726</v>
      </c>
      <c r="F794" s="24">
        <f t="shared" si="13"/>
        <v>2000</v>
      </c>
      <c r="G794" s="36" t="s">
        <v>727</v>
      </c>
      <c r="H794" s="36"/>
      <c r="I794" s="36"/>
      <c r="J794" s="24"/>
      <c r="K794" s="24"/>
      <c r="L794" s="24"/>
      <c r="M794" s="24"/>
      <c r="N794" s="24"/>
      <c r="O794" s="24"/>
      <c r="P794" s="24">
        <v>2000</v>
      </c>
      <c r="Q794" s="24"/>
      <c r="R794" s="43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36"/>
      <c r="AG794" s="36"/>
      <c r="AH794" s="36"/>
      <c r="AI794" s="36"/>
    </row>
    <row r="795" s="1" customFormat="1" customHeight="1" spans="1:35">
      <c r="A795" s="17"/>
      <c r="B795" s="69"/>
      <c r="C795" s="21"/>
      <c r="D795" s="36"/>
      <c r="E795" s="23"/>
      <c r="F795" s="24">
        <f t="shared" si="13"/>
        <v>0</v>
      </c>
      <c r="G795" s="24"/>
      <c r="H795" s="36"/>
      <c r="I795" s="36"/>
      <c r="J795" s="24"/>
      <c r="K795" s="24"/>
      <c r="L795" s="24"/>
      <c r="M795" s="24"/>
      <c r="N795" s="24"/>
      <c r="O795" s="24"/>
      <c r="P795" s="24"/>
      <c r="Q795" s="24"/>
      <c r="R795" s="43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36"/>
      <c r="AG795" s="36"/>
      <c r="AH795" s="36"/>
      <c r="AI795" s="36"/>
    </row>
  </sheetData>
  <autoFilter ref="A3:AI795">
    <extLst/>
  </autoFilter>
  <mergeCells count="1">
    <mergeCell ref="A2:E2"/>
  </mergeCells>
  <dataValidations count="3">
    <dataValidation allowBlank="1" showInputMessage="1" showErrorMessage="1" sqref="H9:R9 T9:AF9 H153:R153 T153:AF153 H154:AF154 H155:U155 W155:AF155 H159:V159 X159:AF159 H160:Q160 S160:AF160 H161:U161 W161:AF161 H171:O171 Q171:AF171 H172:I172 K172:AF172 H173:AB173 AF173 H180:Q180 S180:AF180 H181:AF181 H184:K184 M184:AF184 H187:Y187 AA187:AF187 H533:P533 R533:AF533 G794:AF794 H795:AF795 T353:AF438 H4:AF8 H10:AF30 H31:R145 H146:AF152 H156:AF158 H174:AF175 H178:AF179 H162:AF170 H176:Z177 H182:I183 H185:Q186 H188:AF352 H353:R438 H439:AF532 H534:AF793 K182:AF183 S185:AF186 T31:AF145 AC176:AF177"/>
    <dataValidation type="list" allowBlank="1" showInputMessage="1" showErrorMessage="1" sqref="G795 G4:G793">
      <formula1>"银行转账2038,POS收款,企业微信706,企业微信380,平安银行"</formula1>
    </dataValidation>
    <dataValidation type="list" allowBlank="1" showInputMessage="1" showErrorMessage="1" sqref="AG4:AG795">
      <formula1>"发票,收据"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2026-09-11T00:55:44Z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914D6A298EB244DD906A2270B0A17096_12</vt:lpwstr>
  </property>
  <property fmtid="{D5CDD505-2E9C-101B-9397-08002B2CF9AE}" pid="4" name="KSOReadingLayout">
    <vt:bool>true</vt:bool>
  </property>
</Properties>
</file>