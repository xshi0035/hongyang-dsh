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结算汇总列表 (4.1-30)" sheetId="2" r:id="rId1"/>
    <sheet name="结算汇总列表 (3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<sst xmlns="http://schemas.openxmlformats.org/spreadsheetml/2006/main" count="482" uniqueCount="81">
  <si>
    <t>2026.4.1-2026.4.30停车费应收金额</t>
  </si>
  <si>
    <t>结算日期</t>
  </si>
  <si>
    <t>业务类型</t>
  </si>
  <si>
    <t>商户号</t>
  </si>
  <si>
    <t>商户名称</t>
  </si>
  <si>
    <t>交易商户号</t>
  </si>
  <si>
    <t>交易商户/项目名称</t>
  </si>
  <si>
    <t>交易日期</t>
  </si>
  <si>
    <t>结算笔数</t>
  </si>
  <si>
    <t>清算金额(元)</t>
  </si>
  <si>
    <t>结算金额(元)</t>
  </si>
  <si>
    <t>手续费金额(元)</t>
  </si>
  <si>
    <t>分账金额(元)</t>
  </si>
  <si>
    <t>全网券金额（元）</t>
  </si>
  <si>
    <t>结算状态</t>
  </si>
  <si>
    <t>备注</t>
  </si>
  <si>
    <t>可提现金额（元）</t>
  </si>
  <si>
    <t>提现方式</t>
  </si>
  <si>
    <t>提现订单号</t>
  </si>
  <si>
    <t>结算类型</t>
  </si>
  <si>
    <t>2026-05-06</t>
  </si>
  <si>
    <t>停车</t>
  </si>
  <si>
    <t>8124552</t>
  </si>
  <si>
    <t>衡阳诚远商业管理有限公司</t>
  </si>
  <si>
    <t>衡阳弘阳广场停车系统</t>
  </si>
  <si>
    <t>2026-04-29至2026-04-30</t>
  </si>
  <si>
    <t>结算成功</t>
  </si>
  <si>
    <t>自动提现</t>
  </si>
  <si>
    <t>1501579864803639296</t>
  </si>
  <si>
    <t>正常结算</t>
  </si>
  <si>
    <t>2026-04-30</t>
  </si>
  <si>
    <t>2026-04-28</t>
  </si>
  <si>
    <t>1499399632013230080</t>
  </si>
  <si>
    <t>2026-04-29</t>
  </si>
  <si>
    <t>2026-04-27</t>
  </si>
  <si>
    <t>1499037837398376448</t>
  </si>
  <si>
    <t>2026-04-26</t>
  </si>
  <si>
    <t>1498674765932527616</t>
  </si>
  <si>
    <t>2026-04-23至2026-04-25</t>
  </si>
  <si>
    <t>1498314784368492544</t>
  </si>
  <si>
    <t>2026-04-24</t>
  </si>
  <si>
    <t>2026-04-22</t>
  </si>
  <si>
    <t>1497228168333885440</t>
  </si>
  <si>
    <t>2026-04-23</t>
  </si>
  <si>
    <t>2026-04-21</t>
  </si>
  <si>
    <t>1496863079412006912</t>
  </si>
  <si>
    <t>2026-04-20</t>
  </si>
  <si>
    <t>1496501185215987712</t>
  </si>
  <si>
    <t>2026-04-19</t>
  </si>
  <si>
    <t>1496138013942480896</t>
  </si>
  <si>
    <t>2026-04-16至2026-04-18</t>
  </si>
  <si>
    <t>1495776425498640384</t>
  </si>
  <si>
    <t>2026-04-17</t>
  </si>
  <si>
    <t>2026-04-15</t>
  </si>
  <si>
    <t>1494687563531681792</t>
  </si>
  <si>
    <t>2026-04-16</t>
  </si>
  <si>
    <t>2026-04-14</t>
  </si>
  <si>
    <t>1494338807158276096</t>
  </si>
  <si>
    <t>2026-04-13</t>
  </si>
  <si>
    <t>1493977088804257792</t>
  </si>
  <si>
    <t>2026-04-12</t>
  </si>
  <si>
    <t>1493613428391018496</t>
  </si>
  <si>
    <t>2026-04-09至2026-04-11</t>
  </si>
  <si>
    <t>1493252503708368896</t>
  </si>
  <si>
    <t>2026-04-10</t>
  </si>
  <si>
    <t>2026-04-08</t>
  </si>
  <si>
    <t>1492164778326491136</t>
  </si>
  <si>
    <t>2026-04-09</t>
  </si>
  <si>
    <t>2026-04-07</t>
  </si>
  <si>
    <t>1491801933197869056</t>
  </si>
  <si>
    <t>2026-04-06</t>
  </si>
  <si>
    <t>1491439431477886976</t>
  </si>
  <si>
    <t>2026-04-02至2026-04-05</t>
  </si>
  <si>
    <t>1491078732704645120</t>
  </si>
  <si>
    <t>2026-04-03</t>
  </si>
  <si>
    <t>2026-04-01</t>
  </si>
  <si>
    <t>1489627928667881472</t>
  </si>
  <si>
    <t>汇总</t>
  </si>
  <si>
    <t>2026.3.30-2026.4.28停车费结算提现金额</t>
  </si>
  <si>
    <t>2026-03-30至2026-03-31</t>
  </si>
  <si>
    <t>1488906219505582080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</si>
</sst>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4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2" fillId="2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23"/>
  <sheetViews>
    <sheetView workbookViewId="0">
      <selection activeCell="G28" sqref="G27:G28"/>
    </sheetView>
  </sheetViews>
  <sheetFormatPr defaultColWidth="9" defaultRowHeight="13.5"/>
  <cols>
    <col min="1" max="1" width="11.5" customWidth="1"/>
    <col min="2" max="2" width="6.625" customWidth="1"/>
    <col min="4" max="4" width="25.375" customWidth="1"/>
    <col min="6" max="6" width="21.25" customWidth="1"/>
    <col min="7" max="7" width="24.75" customWidth="1"/>
    <col min="10" max="10" width="9.375"/>
    <col min="15" max="15" width="9" hidden="1" customWidth="1"/>
    <col min="16" max="16" width="9.375" hidden="1" customWidth="1"/>
    <col min="17" max="19" width="9" hidden="1" customWidth="1"/>
  </cols>
  <sheetData>
    <row r="1" ht="26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56.25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4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spans="1:19">
      <c r="A3" s="3" t="s">
        <v>20</v>
      </c>
      <c r="B3" s="3" t="s">
        <v>21</v>
      </c>
      <c r="C3" s="3" t="s">
        <v>22</v>
      </c>
      <c r="D3" s="3" t="s">
        <v>23</v>
      </c>
      <c r="E3" s="3" t="s">
        <v>22</v>
      </c>
      <c r="F3" s="3" t="s">
        <v>24</v>
      </c>
      <c r="G3" s="3" t="s">
        <v>25</v>
      </c>
      <c r="H3" s="3">
        <v>433</v>
      </c>
      <c r="I3" s="3">
        <v>2712</v>
      </c>
      <c r="J3" s="3">
        <v>2695.09</v>
      </c>
      <c r="K3" s="3">
        <v>16.91</v>
      </c>
      <c r="L3" s="3">
        <v>0</v>
      </c>
      <c r="M3" s="3">
        <v>2</v>
      </c>
      <c r="N3" s="3" t="s">
        <v>26</v>
      </c>
      <c r="P3">
        <v>2695.09</v>
      </c>
      <c r="Q3" t="s">
        <v>27</v>
      </c>
      <c r="R3" t="s">
        <v>28</v>
      </c>
      <c r="S3" t="s">
        <v>29</v>
      </c>
    </row>
    <row r="4" spans="1:19">
      <c r="A4" s="3" t="s">
        <v>30</v>
      </c>
      <c r="B4" s="3" t="s">
        <v>21</v>
      </c>
      <c r="C4" s="3" t="s">
        <v>22</v>
      </c>
      <c r="D4" s="3" t="s">
        <v>23</v>
      </c>
      <c r="E4" s="3" t="s">
        <v>22</v>
      </c>
      <c r="F4" s="3" t="s">
        <v>24</v>
      </c>
      <c r="G4" s="3" t="s">
        <v>31</v>
      </c>
      <c r="H4" s="3">
        <v>215</v>
      </c>
      <c r="I4" s="3">
        <v>1272</v>
      </c>
      <c r="J4" s="3">
        <v>1263.98</v>
      </c>
      <c r="K4" s="3">
        <v>8.02</v>
      </c>
      <c r="L4" s="3">
        <v>0</v>
      </c>
      <c r="M4" s="3">
        <v>0</v>
      </c>
      <c r="N4" s="3" t="s">
        <v>26</v>
      </c>
      <c r="P4">
        <v>1263.98</v>
      </c>
      <c r="Q4" t="s">
        <v>27</v>
      </c>
      <c r="R4" t="s">
        <v>32</v>
      </c>
      <c r="S4" t="s">
        <v>29</v>
      </c>
    </row>
    <row r="5" spans="1:19">
      <c r="A5" s="3" t="s">
        <v>33</v>
      </c>
      <c r="B5" s="3" t="s">
        <v>21</v>
      </c>
      <c r="C5" s="3" t="s">
        <v>22</v>
      </c>
      <c r="D5" s="3" t="s">
        <v>23</v>
      </c>
      <c r="E5" s="3" t="s">
        <v>22</v>
      </c>
      <c r="F5" s="3" t="s">
        <v>24</v>
      </c>
      <c r="G5" s="3" t="s">
        <v>34</v>
      </c>
      <c r="H5" s="3">
        <v>169</v>
      </c>
      <c r="I5" s="3">
        <v>1209</v>
      </c>
      <c r="J5" s="3">
        <v>1201.48</v>
      </c>
      <c r="K5" s="3">
        <v>7.52</v>
      </c>
      <c r="L5" s="3">
        <v>0</v>
      </c>
      <c r="M5" s="3">
        <v>0</v>
      </c>
      <c r="N5" s="3" t="s">
        <v>26</v>
      </c>
      <c r="P5">
        <v>1201.48</v>
      </c>
      <c r="Q5" t="s">
        <v>27</v>
      </c>
      <c r="R5" t="s">
        <v>35</v>
      </c>
      <c r="S5" t="s">
        <v>29</v>
      </c>
    </row>
    <row r="6" spans="1:19">
      <c r="A6" s="3" t="s">
        <v>31</v>
      </c>
      <c r="B6" s="3" t="s">
        <v>21</v>
      </c>
      <c r="C6" s="3" t="s">
        <v>22</v>
      </c>
      <c r="D6" s="3" t="s">
        <v>23</v>
      </c>
      <c r="E6" s="3" t="s">
        <v>22</v>
      </c>
      <c r="F6" s="3" t="s">
        <v>24</v>
      </c>
      <c r="G6" s="3" t="s">
        <v>36</v>
      </c>
      <c r="H6" s="3">
        <v>184</v>
      </c>
      <c r="I6" s="3">
        <v>1167</v>
      </c>
      <c r="J6" s="3">
        <v>1159.74</v>
      </c>
      <c r="K6" s="3">
        <v>7.26</v>
      </c>
      <c r="L6" s="3">
        <v>0</v>
      </c>
      <c r="M6" s="3">
        <v>2</v>
      </c>
      <c r="N6" s="3" t="s">
        <v>26</v>
      </c>
      <c r="P6">
        <v>1159.74</v>
      </c>
      <c r="Q6" t="s">
        <v>27</v>
      </c>
      <c r="R6" t="s">
        <v>37</v>
      </c>
      <c r="S6" t="s">
        <v>29</v>
      </c>
    </row>
    <row r="7" spans="1:19">
      <c r="A7" s="3" t="s">
        <v>34</v>
      </c>
      <c r="B7" s="3" t="s">
        <v>21</v>
      </c>
      <c r="C7" s="3" t="s">
        <v>22</v>
      </c>
      <c r="D7" s="3" t="s">
        <v>23</v>
      </c>
      <c r="E7" s="3" t="s">
        <v>22</v>
      </c>
      <c r="F7" s="3" t="s">
        <v>24</v>
      </c>
      <c r="G7" s="3" t="s">
        <v>38</v>
      </c>
      <c r="H7" s="3">
        <v>567</v>
      </c>
      <c r="I7" s="3">
        <v>3558</v>
      </c>
      <c r="J7" s="3">
        <v>3535.7</v>
      </c>
      <c r="K7" s="3">
        <v>22.3</v>
      </c>
      <c r="L7" s="3">
        <v>0</v>
      </c>
      <c r="M7" s="3">
        <v>2</v>
      </c>
      <c r="N7" s="3" t="s">
        <v>26</v>
      </c>
      <c r="P7">
        <v>3535.7</v>
      </c>
      <c r="Q7" t="s">
        <v>27</v>
      </c>
      <c r="R7" t="s">
        <v>39</v>
      </c>
      <c r="S7" t="s">
        <v>29</v>
      </c>
    </row>
    <row r="8" spans="1:19">
      <c r="A8" s="3" t="s">
        <v>40</v>
      </c>
      <c r="B8" s="3" t="s">
        <v>21</v>
      </c>
      <c r="C8" s="3" t="s">
        <v>22</v>
      </c>
      <c r="D8" s="3" t="s">
        <v>23</v>
      </c>
      <c r="E8" s="3" t="s">
        <v>22</v>
      </c>
      <c r="F8" s="3" t="s">
        <v>24</v>
      </c>
      <c r="G8" s="3" t="s">
        <v>41</v>
      </c>
      <c r="H8" s="3">
        <v>209</v>
      </c>
      <c r="I8" s="3">
        <v>1356</v>
      </c>
      <c r="J8" s="3">
        <v>1347.59</v>
      </c>
      <c r="K8" s="3">
        <v>8.41</v>
      </c>
      <c r="L8" s="3">
        <v>0</v>
      </c>
      <c r="M8" s="3">
        <v>10</v>
      </c>
      <c r="N8" s="3" t="s">
        <v>26</v>
      </c>
      <c r="P8">
        <v>1347.59</v>
      </c>
      <c r="Q8" t="s">
        <v>27</v>
      </c>
      <c r="R8" t="s">
        <v>42</v>
      </c>
      <c r="S8" t="s">
        <v>29</v>
      </c>
    </row>
    <row r="9" spans="1:19">
      <c r="A9" s="3" t="s">
        <v>43</v>
      </c>
      <c r="B9" s="3" t="s">
        <v>21</v>
      </c>
      <c r="C9" s="3" t="s">
        <v>22</v>
      </c>
      <c r="D9" s="3" t="s">
        <v>23</v>
      </c>
      <c r="E9" s="3" t="s">
        <v>22</v>
      </c>
      <c r="F9" s="3" t="s">
        <v>24</v>
      </c>
      <c r="G9" s="3" t="s">
        <v>44</v>
      </c>
      <c r="H9" s="3">
        <v>209</v>
      </c>
      <c r="I9" s="3">
        <v>1362</v>
      </c>
      <c r="J9" s="3">
        <v>1353.52</v>
      </c>
      <c r="K9" s="3">
        <v>8.48</v>
      </c>
      <c r="L9" s="3">
        <v>0</v>
      </c>
      <c r="M9" s="3">
        <v>2</v>
      </c>
      <c r="N9" s="3" t="s">
        <v>26</v>
      </c>
      <c r="P9">
        <v>1353.52</v>
      </c>
      <c r="Q9" t="s">
        <v>27</v>
      </c>
      <c r="R9" t="s">
        <v>45</v>
      </c>
      <c r="S9" t="s">
        <v>29</v>
      </c>
    </row>
    <row r="10" spans="1:19">
      <c r="A10" s="3" t="s">
        <v>41</v>
      </c>
      <c r="B10" s="3" t="s">
        <v>21</v>
      </c>
      <c r="C10" s="3" t="s">
        <v>22</v>
      </c>
      <c r="D10" s="3" t="s">
        <v>23</v>
      </c>
      <c r="E10" s="3" t="s">
        <v>22</v>
      </c>
      <c r="F10" s="3" t="s">
        <v>24</v>
      </c>
      <c r="G10" s="3" t="s">
        <v>46</v>
      </c>
      <c r="H10" s="3">
        <v>223</v>
      </c>
      <c r="I10" s="3">
        <v>1497</v>
      </c>
      <c r="J10" s="3">
        <v>1487.69</v>
      </c>
      <c r="K10" s="3">
        <v>9.31</v>
      </c>
      <c r="L10" s="3">
        <v>0</v>
      </c>
      <c r="M10" s="3">
        <v>14</v>
      </c>
      <c r="N10" s="3" t="s">
        <v>26</v>
      </c>
      <c r="P10">
        <v>1487.69</v>
      </c>
      <c r="Q10" t="s">
        <v>27</v>
      </c>
      <c r="R10" t="s">
        <v>47</v>
      </c>
      <c r="S10" t="s">
        <v>29</v>
      </c>
    </row>
    <row r="11" spans="1:19">
      <c r="A11" s="3" t="s">
        <v>44</v>
      </c>
      <c r="B11" s="3" t="s">
        <v>21</v>
      </c>
      <c r="C11" s="3" t="s">
        <v>22</v>
      </c>
      <c r="D11" s="3" t="s">
        <v>23</v>
      </c>
      <c r="E11" s="3" t="s">
        <v>22</v>
      </c>
      <c r="F11" s="3" t="s">
        <v>24</v>
      </c>
      <c r="G11" s="3" t="s">
        <v>48</v>
      </c>
      <c r="H11" s="3">
        <v>258</v>
      </c>
      <c r="I11" s="3">
        <v>1614</v>
      </c>
      <c r="J11" s="3">
        <v>1603.93</v>
      </c>
      <c r="K11" s="3">
        <v>10.07</v>
      </c>
      <c r="L11" s="3">
        <v>0</v>
      </c>
      <c r="M11" s="3">
        <v>4</v>
      </c>
      <c r="N11" s="3" t="s">
        <v>26</v>
      </c>
      <c r="P11">
        <v>1603.93</v>
      </c>
      <c r="Q11" t="s">
        <v>27</v>
      </c>
      <c r="R11" t="s">
        <v>49</v>
      </c>
      <c r="S11" t="s">
        <v>29</v>
      </c>
    </row>
    <row r="12" spans="1:19">
      <c r="A12" s="3" t="s">
        <v>46</v>
      </c>
      <c r="B12" s="3" t="s">
        <v>21</v>
      </c>
      <c r="C12" s="3" t="s">
        <v>22</v>
      </c>
      <c r="D12" s="3" t="s">
        <v>23</v>
      </c>
      <c r="E12" s="3" t="s">
        <v>22</v>
      </c>
      <c r="F12" s="3" t="s">
        <v>24</v>
      </c>
      <c r="G12" s="3" t="s">
        <v>50</v>
      </c>
      <c r="H12" s="3">
        <v>692</v>
      </c>
      <c r="I12" s="3">
        <v>4266</v>
      </c>
      <c r="J12" s="3">
        <v>4239.3</v>
      </c>
      <c r="K12" s="3">
        <v>26.7</v>
      </c>
      <c r="L12" s="3">
        <v>0</v>
      </c>
      <c r="M12" s="3">
        <v>22</v>
      </c>
      <c r="N12" s="3" t="s">
        <v>26</v>
      </c>
      <c r="P12">
        <v>4239.3</v>
      </c>
      <c r="Q12" t="s">
        <v>27</v>
      </c>
      <c r="R12" t="s">
        <v>51</v>
      </c>
      <c r="S12" t="s">
        <v>29</v>
      </c>
    </row>
    <row r="13" spans="1:19">
      <c r="A13" s="3" t="s">
        <v>52</v>
      </c>
      <c r="B13" s="3" t="s">
        <v>21</v>
      </c>
      <c r="C13" s="3" t="s">
        <v>22</v>
      </c>
      <c r="D13" s="3" t="s">
        <v>23</v>
      </c>
      <c r="E13" s="3" t="s">
        <v>22</v>
      </c>
      <c r="F13" s="3" t="s">
        <v>24</v>
      </c>
      <c r="G13" s="3" t="s">
        <v>53</v>
      </c>
      <c r="H13" s="3">
        <v>168</v>
      </c>
      <c r="I13" s="3">
        <v>978</v>
      </c>
      <c r="J13" s="3">
        <v>971.84</v>
      </c>
      <c r="K13" s="3">
        <v>6.16</v>
      </c>
      <c r="L13" s="3">
        <v>0</v>
      </c>
      <c r="M13" s="3">
        <v>2</v>
      </c>
      <c r="N13" s="3" t="s">
        <v>26</v>
      </c>
      <c r="P13">
        <v>971.84</v>
      </c>
      <c r="Q13" t="s">
        <v>27</v>
      </c>
      <c r="R13" t="s">
        <v>54</v>
      </c>
      <c r="S13" t="s">
        <v>29</v>
      </c>
    </row>
    <row r="14" spans="1:19">
      <c r="A14" s="3" t="s">
        <v>55</v>
      </c>
      <c r="B14" s="3" t="s">
        <v>21</v>
      </c>
      <c r="C14" s="3" t="s">
        <v>22</v>
      </c>
      <c r="D14" s="3" t="s">
        <v>23</v>
      </c>
      <c r="E14" s="3" t="s">
        <v>22</v>
      </c>
      <c r="F14" s="3" t="s">
        <v>24</v>
      </c>
      <c r="G14" s="3" t="s">
        <v>56</v>
      </c>
      <c r="H14" s="3">
        <v>207</v>
      </c>
      <c r="I14" s="3">
        <v>1356</v>
      </c>
      <c r="J14" s="3">
        <v>1347.46</v>
      </c>
      <c r="K14" s="3">
        <v>8.54</v>
      </c>
      <c r="L14" s="3">
        <v>0</v>
      </c>
      <c r="M14" s="3">
        <v>2</v>
      </c>
      <c r="N14" s="3" t="s">
        <v>26</v>
      </c>
      <c r="P14">
        <v>1347.46</v>
      </c>
      <c r="Q14" t="s">
        <v>27</v>
      </c>
      <c r="R14" t="s">
        <v>57</v>
      </c>
      <c r="S14" t="s">
        <v>29</v>
      </c>
    </row>
    <row r="15" spans="1:19">
      <c r="A15" s="3" t="s">
        <v>53</v>
      </c>
      <c r="B15" s="3" t="s">
        <v>21</v>
      </c>
      <c r="C15" s="3" t="s">
        <v>22</v>
      </c>
      <c r="D15" s="3" t="s">
        <v>23</v>
      </c>
      <c r="E15" s="3" t="s">
        <v>22</v>
      </c>
      <c r="F15" s="3" t="s">
        <v>24</v>
      </c>
      <c r="G15" s="3" t="s">
        <v>58</v>
      </c>
      <c r="H15" s="3">
        <v>165</v>
      </c>
      <c r="I15" s="3">
        <v>1128</v>
      </c>
      <c r="J15" s="3">
        <v>1120.87</v>
      </c>
      <c r="K15" s="3">
        <v>7.13</v>
      </c>
      <c r="L15" s="3">
        <v>0</v>
      </c>
      <c r="M15" s="3">
        <v>0</v>
      </c>
      <c r="N15" s="3" t="s">
        <v>26</v>
      </c>
      <c r="P15">
        <v>1120.87</v>
      </c>
      <c r="Q15" t="s">
        <v>27</v>
      </c>
      <c r="R15" t="s">
        <v>59</v>
      </c>
      <c r="S15" t="s">
        <v>29</v>
      </c>
    </row>
    <row r="16" spans="1:19">
      <c r="A16" s="3" t="s">
        <v>56</v>
      </c>
      <c r="B16" s="3" t="s">
        <v>21</v>
      </c>
      <c r="C16" s="3" t="s">
        <v>22</v>
      </c>
      <c r="D16" s="3" t="s">
        <v>23</v>
      </c>
      <c r="E16" s="3" t="s">
        <v>22</v>
      </c>
      <c r="F16" s="3" t="s">
        <v>24</v>
      </c>
      <c r="G16" s="3" t="s">
        <v>60</v>
      </c>
      <c r="H16" s="3">
        <v>325</v>
      </c>
      <c r="I16" s="3">
        <v>2055</v>
      </c>
      <c r="J16" s="3">
        <v>2042.2</v>
      </c>
      <c r="K16" s="3">
        <v>12.8</v>
      </c>
      <c r="L16" s="3">
        <v>0</v>
      </c>
      <c r="M16" s="3">
        <v>10</v>
      </c>
      <c r="N16" s="3" t="s">
        <v>26</v>
      </c>
      <c r="P16">
        <v>2042.2</v>
      </c>
      <c r="Q16" t="s">
        <v>27</v>
      </c>
      <c r="R16" t="s">
        <v>61</v>
      </c>
      <c r="S16" t="s">
        <v>29</v>
      </c>
    </row>
    <row r="17" spans="1:19">
      <c r="A17" s="3" t="s">
        <v>58</v>
      </c>
      <c r="B17" s="3" t="s">
        <v>21</v>
      </c>
      <c r="C17" s="3" t="s">
        <v>22</v>
      </c>
      <c r="D17" s="3" t="s">
        <v>23</v>
      </c>
      <c r="E17" s="3" t="s">
        <v>22</v>
      </c>
      <c r="F17" s="3" t="s">
        <v>24</v>
      </c>
      <c r="G17" s="3" t="s">
        <v>62</v>
      </c>
      <c r="H17" s="3">
        <v>763</v>
      </c>
      <c r="I17" s="3">
        <v>4581</v>
      </c>
      <c r="J17" s="3">
        <v>4552.3</v>
      </c>
      <c r="K17" s="3">
        <v>28.7</v>
      </c>
      <c r="L17" s="3">
        <v>0</v>
      </c>
      <c r="M17" s="3">
        <v>22</v>
      </c>
      <c r="N17" s="3" t="s">
        <v>26</v>
      </c>
      <c r="P17">
        <v>4552.3</v>
      </c>
      <c r="Q17" t="s">
        <v>27</v>
      </c>
      <c r="R17" t="s">
        <v>63</v>
      </c>
      <c r="S17" t="s">
        <v>29</v>
      </c>
    </row>
    <row r="18" spans="1:19">
      <c r="A18" s="3" t="s">
        <v>64</v>
      </c>
      <c r="B18" s="3" t="s">
        <v>21</v>
      </c>
      <c r="C18" s="3" t="s">
        <v>22</v>
      </c>
      <c r="D18" s="3" t="s">
        <v>23</v>
      </c>
      <c r="E18" s="3" t="s">
        <v>22</v>
      </c>
      <c r="F18" s="3" t="s">
        <v>24</v>
      </c>
      <c r="G18" s="3" t="s">
        <v>65</v>
      </c>
      <c r="H18" s="3">
        <v>184</v>
      </c>
      <c r="I18" s="3">
        <v>1248</v>
      </c>
      <c r="J18" s="3">
        <v>1240.22</v>
      </c>
      <c r="K18" s="3">
        <v>7.78</v>
      </c>
      <c r="L18" s="3">
        <v>0</v>
      </c>
      <c r="M18" s="3">
        <v>8</v>
      </c>
      <c r="N18" s="3" t="s">
        <v>26</v>
      </c>
      <c r="P18">
        <v>1240.22</v>
      </c>
      <c r="Q18" t="s">
        <v>27</v>
      </c>
      <c r="R18" t="s">
        <v>66</v>
      </c>
      <c r="S18" t="s">
        <v>29</v>
      </c>
    </row>
    <row r="19" spans="1:19">
      <c r="A19" s="3" t="s">
        <v>67</v>
      </c>
      <c r="B19" s="3" t="s">
        <v>21</v>
      </c>
      <c r="C19" s="3" t="s">
        <v>22</v>
      </c>
      <c r="D19" s="3" t="s">
        <v>23</v>
      </c>
      <c r="E19" s="3" t="s">
        <v>22</v>
      </c>
      <c r="F19" s="3" t="s">
        <v>24</v>
      </c>
      <c r="G19" s="3" t="s">
        <v>68</v>
      </c>
      <c r="H19" s="3">
        <v>218</v>
      </c>
      <c r="I19" s="3">
        <v>1359</v>
      </c>
      <c r="J19" s="3">
        <v>1350.49</v>
      </c>
      <c r="K19" s="3">
        <v>8.51</v>
      </c>
      <c r="L19" s="3">
        <v>0</v>
      </c>
      <c r="M19" s="3">
        <v>2</v>
      </c>
      <c r="N19" s="3" t="s">
        <v>26</v>
      </c>
      <c r="P19">
        <v>1350.49</v>
      </c>
      <c r="Q19" t="s">
        <v>27</v>
      </c>
      <c r="R19" t="s">
        <v>69</v>
      </c>
      <c r="S19" t="s">
        <v>29</v>
      </c>
    </row>
    <row r="20" spans="1:19">
      <c r="A20" s="3" t="s">
        <v>65</v>
      </c>
      <c r="B20" s="3" t="s">
        <v>21</v>
      </c>
      <c r="C20" s="3" t="s">
        <v>22</v>
      </c>
      <c r="D20" s="3" t="s">
        <v>23</v>
      </c>
      <c r="E20" s="3" t="s">
        <v>22</v>
      </c>
      <c r="F20" s="3" t="s">
        <v>24</v>
      </c>
      <c r="G20" s="3" t="s">
        <v>70</v>
      </c>
      <c r="H20" s="3">
        <v>370</v>
      </c>
      <c r="I20" s="3">
        <v>2535</v>
      </c>
      <c r="J20" s="3">
        <v>2519.21</v>
      </c>
      <c r="K20" s="3">
        <v>15.79</v>
      </c>
      <c r="L20" s="3">
        <v>0</v>
      </c>
      <c r="M20" s="3">
        <v>0</v>
      </c>
      <c r="N20" s="3" t="s">
        <v>26</v>
      </c>
      <c r="P20">
        <v>2519.21</v>
      </c>
      <c r="Q20" t="s">
        <v>27</v>
      </c>
      <c r="R20" t="s">
        <v>71</v>
      </c>
      <c r="S20" t="s">
        <v>29</v>
      </c>
    </row>
    <row r="21" spans="1:19">
      <c r="A21" s="3" t="s">
        <v>68</v>
      </c>
      <c r="B21" s="3" t="s">
        <v>21</v>
      </c>
      <c r="C21" s="3" t="s">
        <v>22</v>
      </c>
      <c r="D21" s="3" t="s">
        <v>23</v>
      </c>
      <c r="E21" s="3" t="s">
        <v>22</v>
      </c>
      <c r="F21" s="3" t="s">
        <v>24</v>
      </c>
      <c r="G21" s="3" t="s">
        <v>72</v>
      </c>
      <c r="H21" s="3">
        <v>1275</v>
      </c>
      <c r="I21" s="3">
        <v>8073</v>
      </c>
      <c r="J21" s="3">
        <v>8022.52</v>
      </c>
      <c r="K21" s="3">
        <v>50.48</v>
      </c>
      <c r="L21" s="3">
        <v>0</v>
      </c>
      <c r="M21" s="3">
        <v>33</v>
      </c>
      <c r="N21" s="3" t="s">
        <v>26</v>
      </c>
      <c r="P21">
        <v>8022.52</v>
      </c>
      <c r="Q21" t="s">
        <v>27</v>
      </c>
      <c r="R21" t="s">
        <v>73</v>
      </c>
      <c r="S21" t="s">
        <v>29</v>
      </c>
    </row>
    <row r="22" spans="1:19">
      <c r="A22" s="3" t="s">
        <v>74</v>
      </c>
      <c r="B22" s="3" t="s">
        <v>21</v>
      </c>
      <c r="C22" s="3" t="s">
        <v>22</v>
      </c>
      <c r="D22" s="3" t="s">
        <v>23</v>
      </c>
      <c r="E22" s="3" t="s">
        <v>22</v>
      </c>
      <c r="F22" s="3" t="s">
        <v>24</v>
      </c>
      <c r="G22" s="3" t="s">
        <v>75</v>
      </c>
      <c r="H22" s="3">
        <v>233</v>
      </c>
      <c r="I22" s="3">
        <v>1512</v>
      </c>
      <c r="J22" s="3">
        <v>1502.58</v>
      </c>
      <c r="K22" s="3">
        <v>9.42</v>
      </c>
      <c r="L22" s="3">
        <v>0</v>
      </c>
      <c r="M22" s="3">
        <v>0</v>
      </c>
      <c r="N22" s="3" t="s">
        <v>26</v>
      </c>
      <c r="P22">
        <v>1502.58</v>
      </c>
      <c r="Q22" t="s">
        <v>27</v>
      </c>
      <c r="R22" t="s">
        <v>76</v>
      </c>
      <c r="S22" t="s">
        <v>29</v>
      </c>
    </row>
    <row r="23" spans="1:16">
      <c r="A23" s="3" t="s">
        <v>77</v>
      </c>
      <c r="B23" s="3"/>
      <c r="C23" s="3"/>
      <c r="D23" s="3"/>
      <c r="E23" s="3"/>
      <c r="F23" s="3"/>
      <c r="G23" s="3"/>
      <c r="H23" s="3">
        <f>SUM(H3:H22)</f>
        <v>7067</v>
      </c>
      <c r="I23" s="3">
        <f t="shared" ref="I23:P23" si="0">SUM(I3:I22)</f>
        <v>44838</v>
      </c>
      <c r="J23" s="3">
        <f t="shared" si="0"/>
        <v>44557.71</v>
      </c>
      <c r="K23" s="3">
        <f t="shared" si="0"/>
        <v>280.29</v>
      </c>
      <c r="L23" s="3">
        <f t="shared" si="0"/>
        <v>0</v>
      </c>
      <c r="M23" s="3">
        <f t="shared" si="0"/>
        <v>137</v>
      </c>
      <c r="N23" s="3"/>
      <c r="O23">
        <f t="shared" si="0"/>
        <v>0</v>
      </c>
      <c r="P23">
        <f t="shared" si="0"/>
        <v>44557.71</v>
      </c>
    </row>
  </sheetData>
  <mergeCells count="1">
    <mergeCell ref="A1:N1"/>
  </mergeCells>
  <pageMargins left="0.275" right="0.236111111111111" top="1.73194444444444" bottom="0.75" header="0.3" footer="0.3"/>
  <pageSetup paperSize="9" scale="8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23"/>
  <sheetViews>
    <sheetView tabSelected="1" workbookViewId="0">
      <selection activeCell="G25" sqref="G25"/>
    </sheetView>
  </sheetViews>
  <sheetFormatPr defaultColWidth="9" defaultRowHeight="13.5"/>
  <cols>
    <col min="1" max="1" width="11.5" customWidth="1"/>
    <col min="2" max="2" width="6.875" customWidth="1"/>
    <col min="4" max="4" width="25.375" customWidth="1"/>
    <col min="6" max="6" width="21.25" customWidth="1"/>
    <col min="7" max="7" width="24.75" customWidth="1"/>
    <col min="10" max="10" width="9.375"/>
    <col min="15" max="15" width="9" hidden="1" customWidth="1"/>
    <col min="16" max="16" width="9.375" hidden="1" customWidth="1"/>
    <col min="17" max="19" width="9" hidden="1" customWidth="1"/>
  </cols>
  <sheetData>
    <row r="1" ht="18.75" spans="1:14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56.25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4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spans="1:19">
      <c r="A3" s="3" t="s">
        <v>30</v>
      </c>
      <c r="B3" s="3" t="s">
        <v>21</v>
      </c>
      <c r="C3" s="3" t="s">
        <v>22</v>
      </c>
      <c r="D3" s="3" t="s">
        <v>23</v>
      </c>
      <c r="E3" s="3" t="s">
        <v>22</v>
      </c>
      <c r="F3" s="3" t="s">
        <v>24</v>
      </c>
      <c r="G3" s="3" t="s">
        <v>31</v>
      </c>
      <c r="H3" s="3">
        <v>215</v>
      </c>
      <c r="I3" s="3">
        <v>1272</v>
      </c>
      <c r="J3" s="3">
        <v>1263.98</v>
      </c>
      <c r="K3" s="3">
        <v>8.02</v>
      </c>
      <c r="L3" s="3">
        <v>0</v>
      </c>
      <c r="M3" s="3">
        <v>0</v>
      </c>
      <c r="N3" s="3" t="s">
        <v>26</v>
      </c>
      <c r="P3">
        <v>1263.98</v>
      </c>
      <c r="Q3" t="s">
        <v>27</v>
      </c>
      <c r="R3" t="s">
        <v>32</v>
      </c>
      <c r="S3" t="s">
        <v>29</v>
      </c>
    </row>
    <row r="4" spans="1:19">
      <c r="A4" s="3" t="s">
        <v>33</v>
      </c>
      <c r="B4" s="3" t="s">
        <v>21</v>
      </c>
      <c r="C4" s="3" t="s">
        <v>22</v>
      </c>
      <c r="D4" s="3" t="s">
        <v>23</v>
      </c>
      <c r="E4" s="3" t="s">
        <v>22</v>
      </c>
      <c r="F4" s="3" t="s">
        <v>24</v>
      </c>
      <c r="G4" s="3" t="s">
        <v>34</v>
      </c>
      <c r="H4" s="3">
        <v>169</v>
      </c>
      <c r="I4" s="3">
        <v>1209</v>
      </c>
      <c r="J4" s="3">
        <v>1201.48</v>
      </c>
      <c r="K4" s="3">
        <v>7.52</v>
      </c>
      <c r="L4" s="3">
        <v>0</v>
      </c>
      <c r="M4" s="3">
        <v>0</v>
      </c>
      <c r="N4" s="3" t="s">
        <v>26</v>
      </c>
      <c r="P4">
        <v>1201.48</v>
      </c>
      <c r="Q4" t="s">
        <v>27</v>
      </c>
      <c r="R4" t="s">
        <v>35</v>
      </c>
      <c r="S4" t="s">
        <v>29</v>
      </c>
    </row>
    <row r="5" spans="1:19">
      <c r="A5" s="3" t="s">
        <v>31</v>
      </c>
      <c r="B5" s="3" t="s">
        <v>21</v>
      </c>
      <c r="C5" s="3" t="s">
        <v>22</v>
      </c>
      <c r="D5" s="3" t="s">
        <v>23</v>
      </c>
      <c r="E5" s="3" t="s">
        <v>22</v>
      </c>
      <c r="F5" s="3" t="s">
        <v>24</v>
      </c>
      <c r="G5" s="3" t="s">
        <v>36</v>
      </c>
      <c r="H5" s="3">
        <v>184</v>
      </c>
      <c r="I5" s="3">
        <v>1167</v>
      </c>
      <c r="J5" s="3">
        <v>1159.74</v>
      </c>
      <c r="K5" s="3">
        <v>7.26</v>
      </c>
      <c r="L5" s="3">
        <v>0</v>
      </c>
      <c r="M5" s="3">
        <v>2</v>
      </c>
      <c r="N5" s="3" t="s">
        <v>26</v>
      </c>
      <c r="P5">
        <v>1159.74</v>
      </c>
      <c r="Q5" t="s">
        <v>27</v>
      </c>
      <c r="R5" t="s">
        <v>37</v>
      </c>
      <c r="S5" t="s">
        <v>29</v>
      </c>
    </row>
    <row r="6" spans="1:19">
      <c r="A6" s="3" t="s">
        <v>34</v>
      </c>
      <c r="B6" s="3" t="s">
        <v>21</v>
      </c>
      <c r="C6" s="3" t="s">
        <v>22</v>
      </c>
      <c r="D6" s="3" t="s">
        <v>23</v>
      </c>
      <c r="E6" s="3" t="s">
        <v>22</v>
      </c>
      <c r="F6" s="3" t="s">
        <v>24</v>
      </c>
      <c r="G6" s="3" t="s">
        <v>38</v>
      </c>
      <c r="H6" s="3">
        <v>567</v>
      </c>
      <c r="I6" s="3">
        <v>3558</v>
      </c>
      <c r="J6" s="3">
        <v>3535.7</v>
      </c>
      <c r="K6" s="3">
        <v>22.3</v>
      </c>
      <c r="L6" s="3">
        <v>0</v>
      </c>
      <c r="M6" s="3">
        <v>2</v>
      </c>
      <c r="N6" s="3" t="s">
        <v>26</v>
      </c>
      <c r="P6">
        <v>3535.7</v>
      </c>
      <c r="Q6" t="s">
        <v>27</v>
      </c>
      <c r="R6" t="s">
        <v>39</v>
      </c>
      <c r="S6" t="s">
        <v>29</v>
      </c>
    </row>
    <row r="7" spans="1:19">
      <c r="A7" s="3" t="s">
        <v>40</v>
      </c>
      <c r="B7" s="3" t="s">
        <v>21</v>
      </c>
      <c r="C7" s="3" t="s">
        <v>22</v>
      </c>
      <c r="D7" s="3" t="s">
        <v>23</v>
      </c>
      <c r="E7" s="3" t="s">
        <v>22</v>
      </c>
      <c r="F7" s="3" t="s">
        <v>24</v>
      </c>
      <c r="G7" s="3" t="s">
        <v>41</v>
      </c>
      <c r="H7" s="3">
        <v>209</v>
      </c>
      <c r="I7" s="3">
        <v>1356</v>
      </c>
      <c r="J7" s="3">
        <v>1347.59</v>
      </c>
      <c r="K7" s="3">
        <v>8.41</v>
      </c>
      <c r="L7" s="3">
        <v>0</v>
      </c>
      <c r="M7" s="3">
        <v>10</v>
      </c>
      <c r="N7" s="3" t="s">
        <v>26</v>
      </c>
      <c r="P7">
        <v>1347.59</v>
      </c>
      <c r="Q7" t="s">
        <v>27</v>
      </c>
      <c r="R7" t="s">
        <v>42</v>
      </c>
      <c r="S7" t="s">
        <v>29</v>
      </c>
    </row>
    <row r="8" spans="1:19">
      <c r="A8" s="3" t="s">
        <v>43</v>
      </c>
      <c r="B8" s="3" t="s">
        <v>21</v>
      </c>
      <c r="C8" s="3" t="s">
        <v>22</v>
      </c>
      <c r="D8" s="3" t="s">
        <v>23</v>
      </c>
      <c r="E8" s="3" t="s">
        <v>22</v>
      </c>
      <c r="F8" s="3" t="s">
        <v>24</v>
      </c>
      <c r="G8" s="3" t="s">
        <v>44</v>
      </c>
      <c r="H8" s="3">
        <v>209</v>
      </c>
      <c r="I8" s="3">
        <v>1362</v>
      </c>
      <c r="J8" s="3">
        <v>1353.52</v>
      </c>
      <c r="K8" s="3">
        <v>8.48</v>
      </c>
      <c r="L8" s="3">
        <v>0</v>
      </c>
      <c r="M8" s="3">
        <v>2</v>
      </c>
      <c r="N8" s="3" t="s">
        <v>26</v>
      </c>
      <c r="P8">
        <v>1353.52</v>
      </c>
      <c r="Q8" t="s">
        <v>27</v>
      </c>
      <c r="R8" t="s">
        <v>45</v>
      </c>
      <c r="S8" t="s">
        <v>29</v>
      </c>
    </row>
    <row r="9" spans="1:19">
      <c r="A9" s="3" t="s">
        <v>41</v>
      </c>
      <c r="B9" s="3" t="s">
        <v>21</v>
      </c>
      <c r="C9" s="3" t="s">
        <v>22</v>
      </c>
      <c r="D9" s="3" t="s">
        <v>23</v>
      </c>
      <c r="E9" s="3" t="s">
        <v>22</v>
      </c>
      <c r="F9" s="3" t="s">
        <v>24</v>
      </c>
      <c r="G9" s="3" t="s">
        <v>46</v>
      </c>
      <c r="H9" s="3">
        <v>223</v>
      </c>
      <c r="I9" s="3">
        <v>1497</v>
      </c>
      <c r="J9" s="3">
        <v>1487.69</v>
      </c>
      <c r="K9" s="3">
        <v>9.31</v>
      </c>
      <c r="L9" s="3">
        <v>0</v>
      </c>
      <c r="M9" s="3">
        <v>14</v>
      </c>
      <c r="N9" s="3" t="s">
        <v>26</v>
      </c>
      <c r="P9">
        <v>1487.69</v>
      </c>
      <c r="Q9" t="s">
        <v>27</v>
      </c>
      <c r="R9" t="s">
        <v>47</v>
      </c>
      <c r="S9" t="s">
        <v>29</v>
      </c>
    </row>
    <row r="10" spans="1:19">
      <c r="A10" s="3" t="s">
        <v>44</v>
      </c>
      <c r="B10" s="3" t="s">
        <v>21</v>
      </c>
      <c r="C10" s="3" t="s">
        <v>22</v>
      </c>
      <c r="D10" s="3" t="s">
        <v>23</v>
      </c>
      <c r="E10" s="3" t="s">
        <v>22</v>
      </c>
      <c r="F10" s="3" t="s">
        <v>24</v>
      </c>
      <c r="G10" s="3" t="s">
        <v>48</v>
      </c>
      <c r="H10" s="3">
        <v>258</v>
      </c>
      <c r="I10" s="3">
        <v>1614</v>
      </c>
      <c r="J10" s="3">
        <v>1603.93</v>
      </c>
      <c r="K10" s="3">
        <v>10.07</v>
      </c>
      <c r="L10" s="3">
        <v>0</v>
      </c>
      <c r="M10" s="3">
        <v>4</v>
      </c>
      <c r="N10" s="3" t="s">
        <v>26</v>
      </c>
      <c r="P10">
        <v>1603.93</v>
      </c>
      <c r="Q10" t="s">
        <v>27</v>
      </c>
      <c r="R10" t="s">
        <v>49</v>
      </c>
      <c r="S10" t="s">
        <v>29</v>
      </c>
    </row>
    <row r="11" spans="1:19">
      <c r="A11" s="3" t="s">
        <v>46</v>
      </c>
      <c r="B11" s="3" t="s">
        <v>21</v>
      </c>
      <c r="C11" s="3" t="s">
        <v>22</v>
      </c>
      <c r="D11" s="3" t="s">
        <v>23</v>
      </c>
      <c r="E11" s="3" t="s">
        <v>22</v>
      </c>
      <c r="F11" s="3" t="s">
        <v>24</v>
      </c>
      <c r="G11" s="3" t="s">
        <v>50</v>
      </c>
      <c r="H11" s="3">
        <v>692</v>
      </c>
      <c r="I11" s="3">
        <v>4266</v>
      </c>
      <c r="J11" s="3">
        <v>4239.3</v>
      </c>
      <c r="K11" s="3">
        <v>26.7</v>
      </c>
      <c r="L11" s="3">
        <v>0</v>
      </c>
      <c r="M11" s="3">
        <v>22</v>
      </c>
      <c r="N11" s="3" t="s">
        <v>26</v>
      </c>
      <c r="P11">
        <v>4239.3</v>
      </c>
      <c r="Q11" t="s">
        <v>27</v>
      </c>
      <c r="R11" t="s">
        <v>51</v>
      </c>
      <c r="S11" t="s">
        <v>29</v>
      </c>
    </row>
    <row r="12" spans="1:19">
      <c r="A12" s="3" t="s">
        <v>52</v>
      </c>
      <c r="B12" s="3" t="s">
        <v>21</v>
      </c>
      <c r="C12" s="3" t="s">
        <v>22</v>
      </c>
      <c r="D12" s="3" t="s">
        <v>23</v>
      </c>
      <c r="E12" s="3" t="s">
        <v>22</v>
      </c>
      <c r="F12" s="3" t="s">
        <v>24</v>
      </c>
      <c r="G12" s="3" t="s">
        <v>53</v>
      </c>
      <c r="H12" s="3">
        <v>168</v>
      </c>
      <c r="I12" s="3">
        <v>978</v>
      </c>
      <c r="J12" s="3">
        <v>971.84</v>
      </c>
      <c r="K12" s="3">
        <v>6.16</v>
      </c>
      <c r="L12" s="3">
        <v>0</v>
      </c>
      <c r="M12" s="3">
        <v>2</v>
      </c>
      <c r="N12" s="3" t="s">
        <v>26</v>
      </c>
      <c r="P12">
        <v>971.84</v>
      </c>
      <c r="Q12" t="s">
        <v>27</v>
      </c>
      <c r="R12" t="s">
        <v>54</v>
      </c>
      <c r="S12" t="s">
        <v>29</v>
      </c>
    </row>
    <row r="13" spans="1:19">
      <c r="A13" s="3" t="s">
        <v>55</v>
      </c>
      <c r="B13" s="3" t="s">
        <v>21</v>
      </c>
      <c r="C13" s="3" t="s">
        <v>22</v>
      </c>
      <c r="D13" s="3" t="s">
        <v>23</v>
      </c>
      <c r="E13" s="3" t="s">
        <v>22</v>
      </c>
      <c r="F13" s="3" t="s">
        <v>24</v>
      </c>
      <c r="G13" s="3" t="s">
        <v>56</v>
      </c>
      <c r="H13" s="3">
        <v>207</v>
      </c>
      <c r="I13" s="3">
        <v>1356</v>
      </c>
      <c r="J13" s="3">
        <v>1347.46</v>
      </c>
      <c r="K13" s="3">
        <v>8.54</v>
      </c>
      <c r="L13" s="3">
        <v>0</v>
      </c>
      <c r="M13" s="3">
        <v>2</v>
      </c>
      <c r="N13" s="3" t="s">
        <v>26</v>
      </c>
      <c r="P13">
        <v>1347.46</v>
      </c>
      <c r="Q13" t="s">
        <v>27</v>
      </c>
      <c r="R13" t="s">
        <v>57</v>
      </c>
      <c r="S13" t="s">
        <v>29</v>
      </c>
    </row>
    <row r="14" spans="1:19">
      <c r="A14" s="3" t="s">
        <v>53</v>
      </c>
      <c r="B14" s="3" t="s">
        <v>21</v>
      </c>
      <c r="C14" s="3" t="s">
        <v>22</v>
      </c>
      <c r="D14" s="3" t="s">
        <v>23</v>
      </c>
      <c r="E14" s="3" t="s">
        <v>22</v>
      </c>
      <c r="F14" s="3" t="s">
        <v>24</v>
      </c>
      <c r="G14" s="3" t="s">
        <v>58</v>
      </c>
      <c r="H14" s="3">
        <v>165</v>
      </c>
      <c r="I14" s="3">
        <v>1128</v>
      </c>
      <c r="J14" s="3">
        <v>1120.87</v>
      </c>
      <c r="K14" s="3">
        <v>7.13</v>
      </c>
      <c r="L14" s="3">
        <v>0</v>
      </c>
      <c r="M14" s="3">
        <v>0</v>
      </c>
      <c r="N14" s="3" t="s">
        <v>26</v>
      </c>
      <c r="P14">
        <v>1120.87</v>
      </c>
      <c r="Q14" t="s">
        <v>27</v>
      </c>
      <c r="R14" t="s">
        <v>59</v>
      </c>
      <c r="S14" t="s">
        <v>29</v>
      </c>
    </row>
    <row r="15" spans="1:19">
      <c r="A15" s="3" t="s">
        <v>56</v>
      </c>
      <c r="B15" s="3" t="s">
        <v>21</v>
      </c>
      <c r="C15" s="3" t="s">
        <v>22</v>
      </c>
      <c r="D15" s="3" t="s">
        <v>23</v>
      </c>
      <c r="E15" s="3" t="s">
        <v>22</v>
      </c>
      <c r="F15" s="3" t="s">
        <v>24</v>
      </c>
      <c r="G15" s="3" t="s">
        <v>60</v>
      </c>
      <c r="H15" s="3">
        <v>325</v>
      </c>
      <c r="I15" s="3">
        <v>2055</v>
      </c>
      <c r="J15" s="3">
        <v>2042.2</v>
      </c>
      <c r="K15" s="3">
        <v>12.8</v>
      </c>
      <c r="L15" s="3">
        <v>0</v>
      </c>
      <c r="M15" s="3">
        <v>10</v>
      </c>
      <c r="N15" s="3" t="s">
        <v>26</v>
      </c>
      <c r="P15">
        <v>2042.2</v>
      </c>
      <c r="Q15" t="s">
        <v>27</v>
      </c>
      <c r="R15" t="s">
        <v>61</v>
      </c>
      <c r="S15" t="s">
        <v>29</v>
      </c>
    </row>
    <row r="16" spans="1:19">
      <c r="A16" s="3" t="s">
        <v>58</v>
      </c>
      <c r="B16" s="3" t="s">
        <v>21</v>
      </c>
      <c r="C16" s="3" t="s">
        <v>22</v>
      </c>
      <c r="D16" s="3" t="s">
        <v>23</v>
      </c>
      <c r="E16" s="3" t="s">
        <v>22</v>
      </c>
      <c r="F16" s="3" t="s">
        <v>24</v>
      </c>
      <c r="G16" s="3" t="s">
        <v>62</v>
      </c>
      <c r="H16" s="3">
        <v>763</v>
      </c>
      <c r="I16" s="3">
        <v>4581</v>
      </c>
      <c r="J16" s="3">
        <v>4552.3</v>
      </c>
      <c r="K16" s="3">
        <v>28.7</v>
      </c>
      <c r="L16" s="3">
        <v>0</v>
      </c>
      <c r="M16" s="3">
        <v>22</v>
      </c>
      <c r="N16" s="3" t="s">
        <v>26</v>
      </c>
      <c r="P16">
        <v>4552.3</v>
      </c>
      <c r="Q16" t="s">
        <v>27</v>
      </c>
      <c r="R16" t="s">
        <v>63</v>
      </c>
      <c r="S16" t="s">
        <v>29</v>
      </c>
    </row>
    <row r="17" spans="1:19">
      <c r="A17" s="3" t="s">
        <v>64</v>
      </c>
      <c r="B17" s="3" t="s">
        <v>21</v>
      </c>
      <c r="C17" s="3" t="s">
        <v>22</v>
      </c>
      <c r="D17" s="3" t="s">
        <v>23</v>
      </c>
      <c r="E17" s="3" t="s">
        <v>22</v>
      </c>
      <c r="F17" s="3" t="s">
        <v>24</v>
      </c>
      <c r="G17" s="3" t="s">
        <v>65</v>
      </c>
      <c r="H17" s="3">
        <v>184</v>
      </c>
      <c r="I17" s="3">
        <v>1248</v>
      </c>
      <c r="J17" s="3">
        <v>1240.22</v>
      </c>
      <c r="K17" s="3">
        <v>7.78</v>
      </c>
      <c r="L17" s="3">
        <v>0</v>
      </c>
      <c r="M17" s="3">
        <v>8</v>
      </c>
      <c r="N17" s="3" t="s">
        <v>26</v>
      </c>
      <c r="P17">
        <v>1240.22</v>
      </c>
      <c r="Q17" t="s">
        <v>27</v>
      </c>
      <c r="R17" t="s">
        <v>66</v>
      </c>
      <c r="S17" t="s">
        <v>29</v>
      </c>
    </row>
    <row r="18" spans="1:19">
      <c r="A18" s="3" t="s">
        <v>67</v>
      </c>
      <c r="B18" s="3" t="s">
        <v>21</v>
      </c>
      <c r="C18" s="3" t="s">
        <v>22</v>
      </c>
      <c r="D18" s="3" t="s">
        <v>23</v>
      </c>
      <c r="E18" s="3" t="s">
        <v>22</v>
      </c>
      <c r="F18" s="3" t="s">
        <v>24</v>
      </c>
      <c r="G18" s="3" t="s">
        <v>68</v>
      </c>
      <c r="H18" s="3">
        <v>218</v>
      </c>
      <c r="I18" s="3">
        <v>1359</v>
      </c>
      <c r="J18" s="3">
        <v>1350.49</v>
      </c>
      <c r="K18" s="3">
        <v>8.51</v>
      </c>
      <c r="L18" s="3">
        <v>0</v>
      </c>
      <c r="M18" s="3">
        <v>2</v>
      </c>
      <c r="N18" s="3" t="s">
        <v>26</v>
      </c>
      <c r="P18">
        <v>1350.49</v>
      </c>
      <c r="Q18" t="s">
        <v>27</v>
      </c>
      <c r="R18" t="s">
        <v>69</v>
      </c>
      <c r="S18" t="s">
        <v>29</v>
      </c>
    </row>
    <row r="19" spans="1:19">
      <c r="A19" s="3" t="s">
        <v>65</v>
      </c>
      <c r="B19" s="3" t="s">
        <v>21</v>
      </c>
      <c r="C19" s="3" t="s">
        <v>22</v>
      </c>
      <c r="D19" s="3" t="s">
        <v>23</v>
      </c>
      <c r="E19" s="3" t="s">
        <v>22</v>
      </c>
      <c r="F19" s="3" t="s">
        <v>24</v>
      </c>
      <c r="G19" s="3" t="s">
        <v>70</v>
      </c>
      <c r="H19" s="3">
        <v>370</v>
      </c>
      <c r="I19" s="3">
        <v>2535</v>
      </c>
      <c r="J19" s="3">
        <v>2519.21</v>
      </c>
      <c r="K19" s="3">
        <v>15.79</v>
      </c>
      <c r="L19" s="3">
        <v>0</v>
      </c>
      <c r="M19" s="3">
        <v>0</v>
      </c>
      <c r="N19" s="3" t="s">
        <v>26</v>
      </c>
      <c r="P19">
        <v>2519.21</v>
      </c>
      <c r="Q19" t="s">
        <v>27</v>
      </c>
      <c r="R19" t="s">
        <v>71</v>
      </c>
      <c r="S19" t="s">
        <v>29</v>
      </c>
    </row>
    <row r="20" spans="1:19">
      <c r="A20" s="3" t="s">
        <v>68</v>
      </c>
      <c r="B20" s="3" t="s">
        <v>21</v>
      </c>
      <c r="C20" s="3" t="s">
        <v>22</v>
      </c>
      <c r="D20" s="3" t="s">
        <v>23</v>
      </c>
      <c r="E20" s="3" t="s">
        <v>22</v>
      </c>
      <c r="F20" s="3" t="s">
        <v>24</v>
      </c>
      <c r="G20" s="3" t="s">
        <v>72</v>
      </c>
      <c r="H20" s="3">
        <v>1275</v>
      </c>
      <c r="I20" s="3">
        <v>8073</v>
      </c>
      <c r="J20" s="3">
        <v>8022.52</v>
      </c>
      <c r="K20" s="3">
        <v>50.48</v>
      </c>
      <c r="L20" s="3">
        <v>0</v>
      </c>
      <c r="M20" s="3">
        <v>33</v>
      </c>
      <c r="N20" s="3" t="s">
        <v>26</v>
      </c>
      <c r="P20">
        <v>8022.52</v>
      </c>
      <c r="Q20" t="s">
        <v>27</v>
      </c>
      <c r="R20" t="s">
        <v>73</v>
      </c>
      <c r="S20" t="s">
        <v>29</v>
      </c>
    </row>
    <row r="21" spans="1:19">
      <c r="A21" s="3" t="s">
        <v>74</v>
      </c>
      <c r="B21" s="3" t="s">
        <v>21</v>
      </c>
      <c r="C21" s="3" t="s">
        <v>22</v>
      </c>
      <c r="D21" s="3" t="s">
        <v>23</v>
      </c>
      <c r="E21" s="3" t="s">
        <v>22</v>
      </c>
      <c r="F21" s="3" t="s">
        <v>24</v>
      </c>
      <c r="G21" s="3" t="s">
        <v>75</v>
      </c>
      <c r="H21" s="3">
        <v>233</v>
      </c>
      <c r="I21" s="3">
        <v>1512</v>
      </c>
      <c r="J21" s="3">
        <v>1502.58</v>
      </c>
      <c r="K21" s="3">
        <v>9.42</v>
      </c>
      <c r="L21" s="3">
        <v>0</v>
      </c>
      <c r="M21" s="3">
        <v>0</v>
      </c>
      <c r="N21" s="3" t="s">
        <v>26</v>
      </c>
      <c r="P21">
        <v>1502.58</v>
      </c>
      <c r="Q21" t="s">
        <v>27</v>
      </c>
      <c r="R21" t="s">
        <v>76</v>
      </c>
      <c r="S21" t="s">
        <v>29</v>
      </c>
    </row>
    <row r="22" spans="1:19">
      <c r="A22" s="3" t="s">
        <v>75</v>
      </c>
      <c r="B22" s="3" t="s">
        <v>21</v>
      </c>
      <c r="C22" s="3" t="s">
        <v>22</v>
      </c>
      <c r="D22" s="3" t="s">
        <v>23</v>
      </c>
      <c r="E22" s="3" t="s">
        <v>22</v>
      </c>
      <c r="F22" s="3" t="s">
        <v>24</v>
      </c>
      <c r="G22" s="3" t="s">
        <v>79</v>
      </c>
      <c r="H22" s="3">
        <v>508</v>
      </c>
      <c r="I22" s="3">
        <v>3093</v>
      </c>
      <c r="J22" s="3">
        <v>3073.71</v>
      </c>
      <c r="K22" s="3">
        <v>19.29</v>
      </c>
      <c r="L22" s="3">
        <v>0</v>
      </c>
      <c r="M22" s="3">
        <v>14</v>
      </c>
      <c r="N22" s="3" t="s">
        <v>26</v>
      </c>
      <c r="P22">
        <v>3073.71</v>
      </c>
      <c r="Q22" t="s">
        <v>27</v>
      </c>
      <c r="R22" t="s">
        <v>80</v>
      </c>
      <c r="S22" t="s">
        <v>29</v>
      </c>
    </row>
    <row r="23" spans="1:16">
      <c r="A23" s="3" t="s">
        <v>77</v>
      </c>
      <c r="B23" s="3"/>
      <c r="C23" s="3"/>
      <c r="D23" s="3"/>
      <c r="E23" s="3"/>
      <c r="F23" s="3"/>
      <c r="G23" s="3"/>
      <c r="H23" s="3">
        <f>SUM(H3:H22)</f>
        <v>7142</v>
      </c>
      <c r="I23" s="3">
        <f t="shared" ref="I23:P23" si="0">SUM(I3:I22)</f>
        <v>45219</v>
      </c>
      <c r="J23" s="3">
        <f t="shared" si="0"/>
        <v>44936.33</v>
      </c>
      <c r="K23" s="3">
        <f t="shared" si="0"/>
        <v>282.67</v>
      </c>
      <c r="L23" s="3">
        <f t="shared" si="0"/>
        <v>0</v>
      </c>
      <c r="M23" s="3">
        <f t="shared" si="0"/>
        <v>149</v>
      </c>
      <c r="N23" s="3"/>
      <c r="O23">
        <f t="shared" si="0"/>
        <v>0</v>
      </c>
      <c r="P23">
        <f t="shared" si="0"/>
        <v>44936.33</v>
      </c>
    </row>
  </sheetData>
  <mergeCells count="1">
    <mergeCell ref="A1:N1"/>
  </mergeCells>
  <pageMargins left="0.118055555555556" right="0.0784722222222222" top="1.61388888888889" bottom="0.75" header="0.3" footer="0.3"/>
  <pageSetup paperSize="9" scale="8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结算汇总列表 (4.1-30)</vt:lpstr>
      <vt:lpstr>结算汇总列表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2026-05-07T07:07:00Z</dcterms:created>
  <dcterms:modified xsi:type="dcterms:W3CDTF">2026-09-11T01:24:51Z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791D9C46930842B1BD49ECB4D7E2C580_12</vt:lpwstr>
  </property>
  <property fmtid="{D5CDD505-2E9C-101B-9397-08002B2CF9AE}" pid="3" name="KSOProductBuildVer">
    <vt:lpwstr>2052-12.8.2.17149</vt:lpwstr>
  </property>
</Properties>
</file>