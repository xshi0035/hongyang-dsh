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2025.7-2026.4租费收款明细表" sheetId="1" r:id="rId1"/>
    <sheet name="2025.7-2026.4水电费收款明细表" sheetId="2" r:id="rId2"/>
    <sheet name="Sheet3" sheetId="3" r:id="rId3"/>
  </sheets>
  <definedNames>
    <definedName name="_xlnm._FilterDatabase" localSheetId="0" hidden="1">'2025.7-2026.4租费收款明细表'!$2:$2112</definedName>
    <definedName name="_xlnm._FilterDatabase" localSheetId="1" hidden="1">'2025.7-2026.4水电费收款明细表'!$2:$1139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<sst xmlns="http://schemas.openxmlformats.org/spreadsheetml/2006/main" count="21137" uniqueCount="1958">
  <si>
    <t>账期</t>
  </si>
  <si>
    <t>楼层</t>
  </si>
  <si>
    <t>铺位号/点位号</t>
  </si>
  <si>
    <t>商户名称</t>
  </si>
  <si>
    <t>品牌</t>
  </si>
  <si>
    <t>应收日期
（账期）</t>
  </si>
  <si>
    <t>本期应缴租期</t>
  </si>
  <si>
    <t>应交费项</t>
  </si>
  <si>
    <t>应收金额
（含税）</t>
  </si>
  <si>
    <t>减免金额
（含税）</t>
  </si>
  <si>
    <t>减免后应收金额
（含税）</t>
  </si>
  <si>
    <t>已收金额</t>
  </si>
  <si>
    <t>多收款项</t>
  </si>
  <si>
    <t>未收金额</t>
  </si>
  <si>
    <t>备注1</t>
  </si>
  <si>
    <t>备注2</t>
  </si>
  <si>
    <t>1F</t>
  </si>
  <si>
    <t>1F-1001AA</t>
  </si>
  <si>
    <t>毛丽</t>
  </si>
  <si>
    <t>李宁</t>
  </si>
  <si>
    <t>2025-07-01~2025-08-31</t>
  </si>
  <si>
    <t>租金</t>
  </si>
  <si>
    <t>2025.6.11收款</t>
  </si>
  <si>
    <t>经营服务费</t>
  </si>
  <si>
    <t>2025-09-01~2025-10-31</t>
  </si>
  <si>
    <t>2025.9.10收款</t>
  </si>
  <si>
    <t>2025-12-01~2025-12-31</t>
  </si>
  <si>
    <t>2025.10.20收款</t>
  </si>
  <si>
    <t>2025-11-01~2025-11-30</t>
  </si>
  <si>
    <t>2026-10-25~2026-11-24</t>
  </si>
  <si>
    <t>宣传服务费-推广</t>
  </si>
  <si>
    <t>2025.11.28收款</t>
  </si>
  <si>
    <t>2026-09-25~2026-10-24</t>
  </si>
  <si>
    <t>2026-08-25~2026-09-24</t>
  </si>
  <si>
    <t>2026-07-25~2026-08-24</t>
  </si>
  <si>
    <t>2026-06-25~2026-07-24</t>
  </si>
  <si>
    <t>2026-05-25~2026-06-24</t>
  </si>
  <si>
    <t>2026-04-25~2026-05-24</t>
  </si>
  <si>
    <t>2026-03-25~2026-04-24</t>
  </si>
  <si>
    <t>2026-02-25~2026-03-24</t>
  </si>
  <si>
    <t>2026-01-25~2026-02-24</t>
  </si>
  <si>
    <t>2025-12-25~2026-01-24</t>
  </si>
  <si>
    <t>2025-11-25~2025-12-24</t>
  </si>
  <si>
    <t>1F-1001AB,1F-1001BB</t>
  </si>
  <si>
    <t>马黎平</t>
  </si>
  <si>
    <t>瞄一瞄集采</t>
  </si>
  <si>
    <t>2025-07-01~2025-09-30</t>
  </si>
  <si>
    <t>2025.6.30收款</t>
  </si>
  <si>
    <t>2025.6.30收款，2025.11.28装修押金转经营服务费，转款声明书已收</t>
  </si>
  <si>
    <t>2025-10-01~2025-12-04</t>
  </si>
  <si>
    <t>2025.9.15收款</t>
  </si>
  <si>
    <t>10月之后</t>
  </si>
  <si>
    <t>1F-1002</t>
  </si>
  <si>
    <t>周军</t>
  </si>
  <si>
    <t>NIKE耐克</t>
  </si>
  <si>
    <t>2025-07-01~2025-07-31</t>
  </si>
  <si>
    <t>2025-08-01~2025-08-31</t>
  </si>
  <si>
    <t>2025.7.31收款</t>
  </si>
  <si>
    <t>2025-09-01~2025-09-30</t>
  </si>
  <si>
    <t>2025.9.8收款</t>
  </si>
  <si>
    <t>2025-10-01~2025-10-31</t>
  </si>
  <si>
    <t>2025.10.9收款</t>
  </si>
  <si>
    <t>2025.10.31收款</t>
  </si>
  <si>
    <t>2025.10.31收款7419.5元，2026.1.21收款12.89元</t>
  </si>
  <si>
    <t>2025.12.1收款</t>
  </si>
  <si>
    <t>2026-10-28~2026-11-27</t>
  </si>
  <si>
    <t>2026-09-28~2026-10-27</t>
  </si>
  <si>
    <t>2026-08-28~2026-09-27</t>
  </si>
  <si>
    <t>2026-07-28~2026-08-27</t>
  </si>
  <si>
    <t>2026-06-28~2026-07-27</t>
  </si>
  <si>
    <t>2026-05-28~2026-06-27</t>
  </si>
  <si>
    <t>2026-04-28~2026-05-27</t>
  </si>
  <si>
    <t>2026-03-28~2026-04-27</t>
  </si>
  <si>
    <t>2026-02-28~2026-03-27</t>
  </si>
  <si>
    <t>2026-01-28~2026-02-27</t>
  </si>
  <si>
    <t>2025-12-28~2026-01-27</t>
  </si>
  <si>
    <t>2025-11-28~2025-12-27</t>
  </si>
  <si>
    <t>1F-1003</t>
  </si>
  <si>
    <t>陈洁</t>
  </si>
  <si>
    <t>非否FELLFOR</t>
  </si>
  <si>
    <t>2025.8.18收款</t>
  </si>
  <si>
    <t>2025.10.18收款，2025.12.17收款5000元，2026.3.27收款20000元</t>
  </si>
  <si>
    <t>2025-07-01~2025-07-04</t>
  </si>
  <si>
    <t>2026.3.27收款20000元</t>
  </si>
  <si>
    <t>2025-07-05~2026-07-04</t>
  </si>
  <si>
    <t>2026.5.29收到终止协议，免租9000元，保证金16006元抵租</t>
  </si>
  <si>
    <t>2025-10-01~2025-12-31</t>
  </si>
  <si>
    <t>2025.10.18收款，2025.11.13收款，2026.3.27收款20000元</t>
  </si>
  <si>
    <t>2025.10.18收款，2025.11.13收款，2026.3.27收款20000元，2026.5.29收到终止协议，免租9000元，保证金16006元抵租</t>
  </si>
  <si>
    <t>1F-1005</t>
  </si>
  <si>
    <t>肖精艺</t>
  </si>
  <si>
    <t>衣木迪恩</t>
  </si>
  <si>
    <t>2025-07-01~2025-07-09</t>
  </si>
  <si>
    <t>2025.6.14收款</t>
  </si>
  <si>
    <t>长沙君优美电子有限公司</t>
  </si>
  <si>
    <t>oppo</t>
  </si>
  <si>
    <t>2026-02-01~2026-02-28</t>
  </si>
  <si>
    <t>2025.11.27收款</t>
  </si>
  <si>
    <t>2026-01-01~2026-01-31</t>
  </si>
  <si>
    <t>1F-1006A、1006B</t>
  </si>
  <si>
    <t>长沙屈臣氏个人用品商店有限公司</t>
  </si>
  <si>
    <t>屈臣氏</t>
  </si>
  <si>
    <t>2025-06-01~2025-06-30</t>
  </si>
  <si>
    <t>2025.7.15收款</t>
  </si>
  <si>
    <t>2025.8.15收款</t>
  </si>
  <si>
    <t>2025.10.15收款</t>
  </si>
  <si>
    <t>2025.11.14收款</t>
  </si>
  <si>
    <t>1F-1007</t>
  </si>
  <si>
    <t>衡阳市蒸湘区鸿火经营部（个体工商户）</t>
  </si>
  <si>
    <t>周大福 CHOW TAI  FOOK</t>
  </si>
  <si>
    <t>2025-09-01~2025-11-20</t>
  </si>
  <si>
    <t>2025.8.27收款</t>
  </si>
  <si>
    <t>1F-1008</t>
  </si>
  <si>
    <t>百胜餐饮（武汉）有限公司湖南分公司</t>
  </si>
  <si>
    <t>必胜客</t>
  </si>
  <si>
    <t>2025-05-01~2025-05-31</t>
  </si>
  <si>
    <t>2025.6.13收款</t>
  </si>
  <si>
    <t>2025.11.12收款</t>
  </si>
  <si>
    <t>1F-1009AA</t>
  </si>
  <si>
    <t>衡阳市春迎饮品有限公司</t>
  </si>
  <si>
    <t>茶颜悦色</t>
  </si>
  <si>
    <t>开票</t>
  </si>
  <si>
    <t>2025-10-01~2025-11-20</t>
  </si>
  <si>
    <t>2025-11-21~2025-12-31</t>
  </si>
  <si>
    <t>1F-1009AB</t>
  </si>
  <si>
    <t>罗安</t>
  </si>
  <si>
    <t>柠季</t>
  </si>
  <si>
    <t>2025.7.1收款</t>
  </si>
  <si>
    <t>2025.7.1收款/2026.1.28收转款书装修押金转租金</t>
  </si>
  <si>
    <t>2025.9.29收款</t>
  </si>
  <si>
    <t>1F-1009B</t>
  </si>
  <si>
    <t>高张</t>
  </si>
  <si>
    <t>瑞幸咖啡</t>
  </si>
  <si>
    <t>2025.6.27收款</t>
  </si>
  <si>
    <t>2025.11.25收款30000元,2025.12.31收款15000元，2026.1.9收款72660元，待确认</t>
  </si>
  <si>
    <t>2025.11.25收款30000元</t>
  </si>
  <si>
    <t>2025-10-01~2026-01-13</t>
  </si>
  <si>
    <t>2026.1.9收款72660元，待确认</t>
  </si>
  <si>
    <t>1F-1010</t>
  </si>
  <si>
    <t>NIKE KICKS LOUNG</t>
  </si>
  <si>
    <t>销售额73174，抽成5%，2025.8.20收款</t>
  </si>
  <si>
    <t>1F-1011</t>
  </si>
  <si>
    <t>衡阳讯飞通讯器材有限责任公司</t>
  </si>
  <si>
    <t>小米</t>
  </si>
  <si>
    <t>2025.9.23收款，2026.4.30收款转款声明书广告位保证金1000元转租</t>
  </si>
  <si>
    <t>2025.9.23收款</t>
  </si>
  <si>
    <t>2025-11-01~2026-01-31</t>
  </si>
  <si>
    <t>2025-11-01~2026-10-31</t>
  </si>
  <si>
    <t>1F-1012、1013</t>
  </si>
  <si>
    <t>长沙肯德基有限公司</t>
  </si>
  <si>
    <t>KFC</t>
  </si>
  <si>
    <t>2025.10.16收款</t>
  </si>
  <si>
    <t>2025.11.13收款</t>
  </si>
  <si>
    <t>1F-1015</t>
  </si>
  <si>
    <t>黄集栋</t>
  </si>
  <si>
    <t>曼茜纱</t>
  </si>
  <si>
    <t>2025.9.11收款</t>
  </si>
  <si>
    <t>1F-1016</t>
  </si>
  <si>
    <t>孙叶芹</t>
  </si>
  <si>
    <t>Senlinniao森林鸟</t>
  </si>
  <si>
    <t>2025.7.15收款，销售额69446，抽成12%</t>
  </si>
  <si>
    <t>2025.11.25收款</t>
  </si>
  <si>
    <t>1F-1017</t>
  </si>
  <si>
    <t>邓小琴</t>
  </si>
  <si>
    <t>范缇</t>
  </si>
  <si>
    <t>2025-06-15~2025-09-14</t>
  </si>
  <si>
    <t>2025.9.21收款</t>
  </si>
  <si>
    <t>8月续签</t>
  </si>
  <si>
    <t>2025-06-15~2026-06-14</t>
  </si>
  <si>
    <t>2025-09-15~2025-12-14</t>
  </si>
  <si>
    <t>2026-02-15~2026-03-14</t>
  </si>
  <si>
    <t>2025.12.15收款</t>
  </si>
  <si>
    <t>2026-01-15~2026-02-14</t>
  </si>
  <si>
    <t>2025-12-15~2026-01-14</t>
  </si>
  <si>
    <t>1F-1018</t>
  </si>
  <si>
    <t>王钇淇</t>
  </si>
  <si>
    <t>伶俐</t>
  </si>
  <si>
    <t>2025.6.12收款</t>
  </si>
  <si>
    <t>2025.9.18收款</t>
  </si>
  <si>
    <t>1F-1019A</t>
  </si>
  <si>
    <t>朱鑫爱</t>
  </si>
  <si>
    <t>紫色花语</t>
  </si>
  <si>
    <t>2025.8.14收款</t>
  </si>
  <si>
    <t>8月新签</t>
  </si>
  <si>
    <t>2025.11.10装修押金及暂收款10200元</t>
  </si>
  <si>
    <t>2025.11.10装修押金及暂收款10200元，2025.11.21收款200元</t>
  </si>
  <si>
    <t>1F-1019BA</t>
  </si>
  <si>
    <t>叶坚</t>
  </si>
  <si>
    <t>AMXS</t>
  </si>
  <si>
    <t>2025.9.2收款</t>
  </si>
  <si>
    <t>2025.9.28收款</t>
  </si>
  <si>
    <t>2025.10.25</t>
  </si>
  <si>
    <t>1F-1019BB、1F-1021</t>
  </si>
  <si>
    <t>刘香</t>
  </si>
  <si>
    <t>恋惠优品</t>
  </si>
  <si>
    <t>2025-06-25~2025-09-24</t>
  </si>
  <si>
    <t>2025-06-25~2026-06-24</t>
  </si>
  <si>
    <t>2025-09-25~2025-12-24</t>
  </si>
  <si>
    <t>1F-1022,1F-1023</t>
  </si>
  <si>
    <t>衡阳市蒸湘区润福榕服饰有限公司</t>
  </si>
  <si>
    <t>SANFU三福百货</t>
  </si>
  <si>
    <t>2025.9.17收款</t>
  </si>
  <si>
    <t>1F-1029</t>
  </si>
  <si>
    <t>汤国权</t>
  </si>
  <si>
    <t>滚球de店</t>
  </si>
  <si>
    <t>2025.9.13收款</t>
  </si>
  <si>
    <t>1F-1030</t>
  </si>
  <si>
    <t>李辉</t>
  </si>
  <si>
    <t>番茄小兜TOMATO BAG</t>
  </si>
  <si>
    <t>2025.6.20收款</t>
  </si>
  <si>
    <t>2025-07-01~2026-06-30</t>
  </si>
  <si>
    <t>2025.10.12收款，2025.11.8收款4290元，2026.2.14收款12997.92元</t>
  </si>
  <si>
    <t>2025.10.12收款，2025.12.10收款3968.64元，2026.1.7收款3968.64元</t>
  </si>
  <si>
    <t>1F-1031</t>
  </si>
  <si>
    <t>王湘钰</t>
  </si>
  <si>
    <t>特步XTEP</t>
  </si>
  <si>
    <t>2025-06-01~2026-04-30</t>
  </si>
  <si>
    <t>2025.6.16收款</t>
  </si>
  <si>
    <t>2025.6.16收款,7月装修押金转</t>
  </si>
  <si>
    <t>2025.9.19收款，2026.1.29收到转款说明书装修押金抵扣</t>
  </si>
  <si>
    <t>2025.9.19收款</t>
  </si>
  <si>
    <t>1F-1033</t>
  </si>
  <si>
    <t>伍珍贵</t>
  </si>
  <si>
    <t>科大讯飞</t>
  </si>
  <si>
    <t>2025-10-01~2025-12-19</t>
  </si>
  <si>
    <t>2025.9.16收款，2025.11.24收款0.18元</t>
  </si>
  <si>
    <t>1F-1035</t>
  </si>
  <si>
    <t>叶丽娟</t>
  </si>
  <si>
    <t>周大生（中国珠宝）</t>
  </si>
  <si>
    <t>2025.10.10收款</t>
  </si>
  <si>
    <t>2026.1.7收款</t>
  </si>
  <si>
    <t>2026.3.25收款</t>
  </si>
  <si>
    <t>1F-1036</t>
  </si>
  <si>
    <t>衡阳市蒸湘区锦源首饰经营部（个体工商户）</t>
  </si>
  <si>
    <t>六福珠宝 LUKFOOD JEWELLERY</t>
  </si>
  <si>
    <t>2025.7.1/2025.6.30收款1400元，2025.12.23装修押金5000元抵经营服务费，转款声明书已收</t>
  </si>
  <si>
    <t>2025.9.26收款1400,2025.9.27收款10480</t>
  </si>
  <si>
    <t>2025.9.26收款</t>
  </si>
  <si>
    <t>1F-1037</t>
  </si>
  <si>
    <t>衡阳市尚达昌电子商务有限公司</t>
  </si>
  <si>
    <t>APPLE</t>
  </si>
  <si>
    <t>2025-08-01~2025-10-31</t>
  </si>
  <si>
    <t>2025.8.5收款</t>
  </si>
  <si>
    <t>2025-12-01~2025-12-06</t>
  </si>
  <si>
    <t>2025.11.7收款</t>
  </si>
  <si>
    <t>1F-1038</t>
  </si>
  <si>
    <t>李君英</t>
  </si>
  <si>
    <t>哈森、星期六</t>
  </si>
  <si>
    <t>2025.9.10收款130.77元，2025.10.2收款23777.07元</t>
  </si>
  <si>
    <t>9月续签</t>
  </si>
  <si>
    <t>2025.9.10收款10560元</t>
  </si>
  <si>
    <t>2025-08-01~2026-07-30</t>
  </si>
  <si>
    <t>2025.10.2收款3000元</t>
  </si>
  <si>
    <t>1F-1039</t>
  </si>
  <si>
    <t>蒋晶</t>
  </si>
  <si>
    <t>WYII XH</t>
  </si>
  <si>
    <t>2025.6.25收款</t>
  </si>
  <si>
    <t>2025.6.26收款</t>
  </si>
  <si>
    <t>伍兰</t>
  </si>
  <si>
    <t>AIAL</t>
  </si>
  <si>
    <t>2025-08-01~2025-09-30</t>
  </si>
  <si>
    <t>2025-08-01~2026-07-31</t>
  </si>
  <si>
    <t>2025.11.4收款</t>
  </si>
  <si>
    <t>2025.12.31收款</t>
  </si>
  <si>
    <t>1F-1050,1F-1051</t>
  </si>
  <si>
    <t>游惠莲</t>
  </si>
  <si>
    <t>UAU</t>
  </si>
  <si>
    <t>2025.9.16收款</t>
  </si>
  <si>
    <t>1F-1052</t>
  </si>
  <si>
    <t>黄用</t>
  </si>
  <si>
    <t>回力</t>
  </si>
  <si>
    <t>2025.6.15收款</t>
  </si>
  <si>
    <t>2025.10.4收款</t>
  </si>
  <si>
    <t>1F-1053,1F-1055</t>
  </si>
  <si>
    <t>肖巨广</t>
  </si>
  <si>
    <t>谷之星</t>
  </si>
  <si>
    <t>1F-1057</t>
  </si>
  <si>
    <t>胡嘉熙</t>
  </si>
  <si>
    <t>衡晨文体潮玩社</t>
  </si>
  <si>
    <t>1F-1059</t>
  </si>
  <si>
    <t>张伟林</t>
  </si>
  <si>
    <t>名创优品</t>
  </si>
  <si>
    <t>2025.6.9日收款</t>
  </si>
  <si>
    <t>2025.6.9日收款，7月装修押金转</t>
  </si>
  <si>
    <t>2025.9.20收款</t>
  </si>
  <si>
    <t>2F</t>
  </si>
  <si>
    <t>2F-2001</t>
  </si>
  <si>
    <t>衡阳市恒德弘扬口腔有限公司</t>
  </si>
  <si>
    <t>恒德口腔</t>
  </si>
  <si>
    <t>2025-09-01~2025-11-30</t>
  </si>
  <si>
    <t>2026-10-21~2026-11-20</t>
  </si>
  <si>
    <t>2026-09-21~2026-10-20</t>
  </si>
  <si>
    <t>2026-08-21~2026-09-20</t>
  </si>
  <si>
    <t>2026-07-21~2026-08-20</t>
  </si>
  <si>
    <t>2026-06-21~2026-07-20</t>
  </si>
  <si>
    <t>2026-05-21~2026-06-20</t>
  </si>
  <si>
    <t>2026-04-21~2026-05-20</t>
  </si>
  <si>
    <t>2026-03-21~2026-04-20</t>
  </si>
  <si>
    <t>2026-02-21~2026-03-20</t>
  </si>
  <si>
    <t>2026-01-21~2026-02-20</t>
  </si>
  <si>
    <t>2025-12-21~2026-01-20</t>
  </si>
  <si>
    <t>2025-11-21~2025-12-20</t>
  </si>
  <si>
    <t>2F-2003</t>
  </si>
  <si>
    <t>罗谋</t>
  </si>
  <si>
    <t>银点</t>
  </si>
  <si>
    <t>2025.10.25收款</t>
  </si>
  <si>
    <t>2F-2005</t>
  </si>
  <si>
    <t>洪菊香</t>
  </si>
  <si>
    <t>芬腾</t>
  </si>
  <si>
    <t>2025.6.29收款</t>
  </si>
  <si>
    <t>2025.10.1收款</t>
  </si>
  <si>
    <t>2F-2006</t>
  </si>
  <si>
    <t>袁岫峰</t>
  </si>
  <si>
    <t>蜘蛛王</t>
  </si>
  <si>
    <t>2025.6.10收款</t>
  </si>
  <si>
    <t>2025-10-01~2025-11-30</t>
  </si>
  <si>
    <t>2025.9.12收款</t>
  </si>
  <si>
    <t>2025-12-01~2026-02-28</t>
  </si>
  <si>
    <t>2025.9.12收款12265，2025.11.14收款24530</t>
  </si>
  <si>
    <t>2025.9.12收款11150，2025.11.14收款22300</t>
  </si>
  <si>
    <t>2025-12-01~2026-11-30</t>
  </si>
  <si>
    <t>2025.11.14收款3000</t>
  </si>
  <si>
    <t>2F-2007</t>
  </si>
  <si>
    <t>金丽丽</t>
  </si>
  <si>
    <t>珂兰雅</t>
  </si>
  <si>
    <t>2025.7.25收款</t>
  </si>
  <si>
    <t>2025.9.22收款</t>
  </si>
  <si>
    <t>2F-2008</t>
  </si>
  <si>
    <t>全梅芳</t>
  </si>
  <si>
    <t>劲选男装&amp;完美口袋</t>
  </si>
  <si>
    <t>2025-08-21~2025-11-20</t>
  </si>
  <si>
    <t>2025.6.12收款，共收款26,719.44元，5月19日收暂收款5000元，2025.10.29收款785.60元</t>
  </si>
  <si>
    <t>2025.10.29收款5001.68元</t>
  </si>
  <si>
    <t>2025-05-21~2025-08-20</t>
  </si>
  <si>
    <t>2025.6.12收款，共收款26,719.44元</t>
  </si>
  <si>
    <t>2025.11.6收款</t>
  </si>
  <si>
    <t>2F-2009A</t>
  </si>
  <si>
    <t>唐向群</t>
  </si>
  <si>
    <t>大锤配镜</t>
  </si>
  <si>
    <t>2025.6.28收款，8月4日收款4440</t>
  </si>
  <si>
    <t>2025.8.4收款</t>
  </si>
  <si>
    <t>2025-11-15~2025-12-31</t>
  </si>
  <si>
    <t>2025.10.8收款</t>
  </si>
  <si>
    <t>2025-10-01~2025-11-14</t>
  </si>
  <si>
    <t>2026-10-15~2026-11-14</t>
  </si>
  <si>
    <t>2025.10.19</t>
  </si>
  <si>
    <t>2026-09-15~2026-10-14</t>
  </si>
  <si>
    <t>2026-08-15~2026-09-14</t>
  </si>
  <si>
    <t>2026-07-15~2026-08-14</t>
  </si>
  <si>
    <t>2026-06-15~2026-07-14</t>
  </si>
  <si>
    <t>2026-05-15~2026-06-14</t>
  </si>
  <si>
    <t>2026-04-15~2026-05-14</t>
  </si>
  <si>
    <t>2026-03-15~2026-04-14</t>
  </si>
  <si>
    <t>2025-11-15~2025-12-14</t>
  </si>
  <si>
    <t>2F-2009B</t>
  </si>
  <si>
    <t>阳小华</t>
  </si>
  <si>
    <t>岱燊+忆扬亦可</t>
  </si>
  <si>
    <t>2025-09-01~2026-08-31</t>
  </si>
  <si>
    <t>2F-2010</t>
  </si>
  <si>
    <t>邹文超</t>
  </si>
  <si>
    <t>保罗奥德赛</t>
  </si>
  <si>
    <t>2025.7.30收款</t>
  </si>
  <si>
    <t>2025.10.9收款,多收3分钱</t>
  </si>
  <si>
    <t>2F-2011A</t>
  </si>
  <si>
    <t>陈芳</t>
  </si>
  <si>
    <t>芭妮瑞丝</t>
  </si>
  <si>
    <t>2026.3.25收款27600元</t>
  </si>
  <si>
    <t>2F-2011B</t>
  </si>
  <si>
    <t>王慧霞</t>
  </si>
  <si>
    <t>珂尼莎蔓</t>
  </si>
  <si>
    <t>2025.10.10收款6000元，2025.11.25收款5950元，2026.2.26收款6000元</t>
  </si>
  <si>
    <t>12月服务费已挂暂收款1750元</t>
  </si>
  <si>
    <t>2F-2012A</t>
  </si>
  <si>
    <t>魏香英</t>
  </si>
  <si>
    <t>欧路艾米</t>
  </si>
  <si>
    <t>2025.11.17收款6520元，装修押金5000元抵租金物业费，装修押金单据已交</t>
  </si>
  <si>
    <t>2F-2012B</t>
  </si>
  <si>
    <t>刘露</t>
  </si>
  <si>
    <t>亦心恋</t>
  </si>
  <si>
    <t>2025.6.28收款5996元，8月11日收款2560元</t>
  </si>
  <si>
    <t>2025.8.11收款940元,2025.9.22收款2000元，2025.10.30收款3500元，2025.11.27收款5000元</t>
  </si>
  <si>
    <t>2025.12.31收款6516.57元，2026.1.31收款9000元</t>
  </si>
  <si>
    <t>2025.11.27收款5000元，2026.1.31收款9000元</t>
  </si>
  <si>
    <t>2F-2013</t>
  </si>
  <si>
    <t>衡阳市新顺电器有限公司</t>
  </si>
  <si>
    <t>国美电器</t>
  </si>
  <si>
    <t>2025.8.25收款9033.12元</t>
  </si>
  <si>
    <t>2025.8.15收款9033.12元</t>
  </si>
  <si>
    <t>6月销售额141801元，抽成3.5%，2025.8.15收款4963.04元</t>
  </si>
  <si>
    <t>2025.8.25收款4657.66元，7月销售款133076</t>
  </si>
  <si>
    <t>8月销售额83063元，抽成3.5%，</t>
  </si>
  <si>
    <t>京东家电</t>
  </si>
  <si>
    <t>2025.11.12装修押金转款18500元</t>
  </si>
  <si>
    <t>原国美，9月免租一个月</t>
  </si>
  <si>
    <t>2025.11.17收款18340元</t>
  </si>
  <si>
    <t>2025.12.30收款18340元</t>
  </si>
  <si>
    <t>2F-2016AA</t>
  </si>
  <si>
    <t>长沙强盛领跑体育有限公司/武汉聚腾鑫飞体育科技有限公司</t>
  </si>
  <si>
    <t>新百伦领跑</t>
  </si>
  <si>
    <t>保证金抵扣2万，资料已交2025.8.19收，2025.11.2收款1121.4</t>
  </si>
  <si>
    <t>2025.11.2收款</t>
  </si>
  <si>
    <t>销售额31503.9，抽成9%，保证金抵扣2万，资料已交2025.8.19收</t>
  </si>
  <si>
    <t>保证金抵扣2万，资料已交2025.8.19收</t>
  </si>
  <si>
    <t>销售额60816.8元，抽成9%，2025.11.2收款</t>
  </si>
  <si>
    <t>2026.4.22收款4439.92元</t>
  </si>
  <si>
    <t>2F-2016B,2017</t>
  </si>
  <si>
    <t>丁海军</t>
  </si>
  <si>
    <t>大东</t>
  </si>
  <si>
    <t>2025-10-01~2026-09-30</t>
  </si>
  <si>
    <t>9月新签</t>
  </si>
  <si>
    <t>2F-2017</t>
  </si>
  <si>
    <t>李鹃</t>
  </si>
  <si>
    <t>U.mi</t>
  </si>
  <si>
    <t>2F-2018</t>
  </si>
  <si>
    <t>刘桃</t>
  </si>
  <si>
    <t>百变城</t>
  </si>
  <si>
    <t>2025.11.8收款5500,2025.11.15收款2500，2025.12.3收款2500</t>
  </si>
  <si>
    <t>2026.4.30收款5400</t>
  </si>
  <si>
    <t>2F-2020</t>
  </si>
  <si>
    <t>黄煌</t>
  </si>
  <si>
    <t>原匠</t>
  </si>
  <si>
    <t>2025-06-01~2026-05-31</t>
  </si>
  <si>
    <t>2025.12.5总收款21790</t>
  </si>
  <si>
    <t>2025.9.24收款20790元，2025.5.29收款3780元</t>
  </si>
  <si>
    <t>2025-06-01~2025-08-31</t>
  </si>
  <si>
    <t>2025.5.29收款11340元</t>
  </si>
  <si>
    <t>2025.9.24收款20790元，2025.5.29收款3150元</t>
  </si>
  <si>
    <t>2025.5.29收款9450元</t>
  </si>
  <si>
    <t>2025.9.24收款20790元</t>
  </si>
  <si>
    <t>2F-2021</t>
  </si>
  <si>
    <t>唐文文</t>
  </si>
  <si>
    <t>开心哈乐亲子乐园</t>
  </si>
  <si>
    <t>2025-10-01~2025-11-28</t>
  </si>
  <si>
    <t>2F-2022</t>
  </si>
  <si>
    <t>贺驰</t>
  </si>
  <si>
    <t>HENRIE亨利风尚</t>
  </si>
  <si>
    <t>2025-05-21~2025-09-30</t>
  </si>
  <si>
    <t>2025.5.30收款pos</t>
  </si>
  <si>
    <t>7月续签</t>
  </si>
  <si>
    <t>2025-05-21~2026-05-20</t>
  </si>
  <si>
    <t>2F-2023</t>
  </si>
  <si>
    <t>李江飞</t>
  </si>
  <si>
    <t>梵西诺·保罗</t>
  </si>
  <si>
    <t>2025.9.25收款</t>
  </si>
  <si>
    <t>2F-2025</t>
  </si>
  <si>
    <t>吴利敏</t>
  </si>
  <si>
    <t>华南虎</t>
  </si>
  <si>
    <t>2F-2026</t>
  </si>
  <si>
    <t>高威</t>
  </si>
  <si>
    <t>勇者急速</t>
  </si>
  <si>
    <t>2F-2027</t>
  </si>
  <si>
    <t>廖建平</t>
  </si>
  <si>
    <t>新定义聚美秀颜</t>
  </si>
  <si>
    <t>2025.9.12收款1800元，2026.5.18收款22000元</t>
  </si>
  <si>
    <t>2025.9.10收款4100，2025.9.12收款1800元</t>
  </si>
  <si>
    <t>2026.5.18收款22000元</t>
  </si>
  <si>
    <t>2026.5.18收款22000元，2026.5.27收款16000元，2026.6.15收款5500元</t>
  </si>
  <si>
    <t>2026.5.27收款16000元</t>
  </si>
  <si>
    <t>2025-11-01~2025-11-20</t>
  </si>
  <si>
    <t>2F-2028</t>
  </si>
  <si>
    <t>封旭</t>
  </si>
  <si>
    <t>布迪设计</t>
  </si>
  <si>
    <t>2F-2029</t>
  </si>
  <si>
    <t>长沙奥龙鞋业销售有限公司</t>
  </si>
  <si>
    <t>AOKANG奥康</t>
  </si>
  <si>
    <t>2025.8.12收款</t>
  </si>
  <si>
    <t>2F-2030</t>
  </si>
  <si>
    <t>方钧可</t>
  </si>
  <si>
    <t>2F-2031</t>
  </si>
  <si>
    <t>周喜</t>
  </si>
  <si>
    <t>M&amp;A</t>
  </si>
  <si>
    <t>2F-2035</t>
  </si>
  <si>
    <t>李雪亮</t>
  </si>
  <si>
    <t>伊那古</t>
  </si>
  <si>
    <t>2025.9.19收款3535.92元，2025.9.24收款3535.92元，2025.10.31收款3535.92</t>
  </si>
  <si>
    <t>2025.9.19收款3960元，2025.9.24收款3960元，2025.10.31收款3960</t>
  </si>
  <si>
    <t>2025.12.31收款7495.92元/2026.1.29收款14991.84</t>
  </si>
  <si>
    <t>2F-2036</t>
  </si>
  <si>
    <t>范亚琼</t>
  </si>
  <si>
    <t>洗脸猫</t>
  </si>
  <si>
    <t>2025.11.6收款4160元，2025.11.28收款4160元</t>
  </si>
  <si>
    <t>2025-08-01~2026-01-31</t>
  </si>
  <si>
    <t>2026.1.21收款4160元</t>
  </si>
  <si>
    <t>2025.12.27收款4160元</t>
  </si>
  <si>
    <t>2F-2037</t>
  </si>
  <si>
    <t>宁小兰</t>
  </si>
  <si>
    <t>卓诗尼</t>
  </si>
  <si>
    <t>2025.6.17收款</t>
  </si>
  <si>
    <t>2F-2038</t>
  </si>
  <si>
    <t>长沙七匹狼服装销售有
限公司</t>
  </si>
  <si>
    <t>七匹狼SEPTWOLVES</t>
  </si>
  <si>
    <t>3F</t>
  </si>
  <si>
    <t>3F-3001、3002、3003</t>
  </si>
  <si>
    <t>汪静（衡阳市蒸湘区快乐街区动漫电玩中心）</t>
  </si>
  <si>
    <t>快乐街区</t>
  </si>
  <si>
    <t>2025.6.11/2025.7.3/2025.7.31</t>
  </si>
  <si>
    <t>2025.8.29收款22000元</t>
  </si>
  <si>
    <t>2025.8.29收款38397.05，2025.9.25收款38397.05，2025.10.24收款38397.05</t>
  </si>
  <si>
    <t>2025.8.29收款38397.05，2025.9.25收款38397.05，2025.10.24收款26118.75</t>
  </si>
  <si>
    <t>2026.1.28共收款64595.51</t>
  </si>
  <si>
    <t>2025.12.25收款64753.43元</t>
  </si>
  <si>
    <t>2025.11.28收款69513.31元</t>
  </si>
  <si>
    <t>3F-3005</t>
  </si>
  <si>
    <t>刘诗杰</t>
  </si>
  <si>
    <t>愤怒的弹珠</t>
  </si>
  <si>
    <t>2025.7.10收款</t>
  </si>
  <si>
    <t>2025.11.25收款2445元</t>
  </si>
  <si>
    <t>2025.11.24装修押金5250元抵租金及经营服务费，转款书已收</t>
  </si>
  <si>
    <t>2025.11.24装修押金5250元抵租金及经营服务费，转款书已收，2025.11.25收款2445元</t>
  </si>
  <si>
    <t>3F-3006</t>
  </si>
  <si>
    <t>蔡振艳</t>
  </si>
  <si>
    <t>显丹木</t>
  </si>
  <si>
    <t>2025-07-01~2025-09-20</t>
  </si>
  <si>
    <t>2025-09-28~2025-12-27</t>
  </si>
  <si>
    <t>2025.10.18收款14500元</t>
  </si>
  <si>
    <t>2025-09-28~2026-09-27</t>
  </si>
  <si>
    <t>2025.10.18收款14500元，2026.3.23收款14949.58元</t>
  </si>
  <si>
    <t>3F-3007,3F-3008</t>
  </si>
  <si>
    <t>刘益豪</t>
  </si>
  <si>
    <t>Balabala</t>
  </si>
  <si>
    <t>销售额64214.4元，抽成8%，2025.8.15收，2026.2.10装修押金16200元抵租，转款书已收到</t>
  </si>
  <si>
    <t>销售额64214.4元，抽成1%，2025.8.17收</t>
  </si>
  <si>
    <t>2025.8.15收，2026.2.10装修押金16200元抵租，转款书已收到</t>
  </si>
  <si>
    <t>2025.8.17收</t>
  </si>
  <si>
    <t>2025.9.7收款</t>
  </si>
  <si>
    <t>销售额105679.19元,2025.9.7收款</t>
  </si>
  <si>
    <t>3F-3007、3008</t>
  </si>
  <si>
    <t>2025.11.26收款12436.28元</t>
  </si>
  <si>
    <t>2025.11.26收款12436.28元，2026.2.10装修押金16200元抵租，转款书已收到</t>
  </si>
  <si>
    <t>3F-3011</t>
  </si>
  <si>
    <t>贝贝熊孕婴童连锁商业有限公司</t>
  </si>
  <si>
    <t>贝贝熊孕婴童连锁</t>
  </si>
  <si>
    <t>2026.4.30收到转款声明书金额为118112元，抵原贝贝熊共计43800元，剩下74312元转爱婴室的租费</t>
  </si>
  <si>
    <t>3F-3013</t>
  </si>
  <si>
    <t>佘婷婷</t>
  </si>
  <si>
    <t>FROG PRINCE青蛙王子</t>
  </si>
  <si>
    <t>未提供销售额，差额300.8，2025.11.6收款</t>
  </si>
  <si>
    <t>未提供销售额，差额2176，2025.11.16收款2000元</t>
  </si>
  <si>
    <t>2025-09-01~2025-02-28</t>
  </si>
  <si>
    <t>2026.1.22收款2000元</t>
  </si>
  <si>
    <t>3F-3015</t>
  </si>
  <si>
    <t>陈捷</t>
  </si>
  <si>
    <t>米乐熊</t>
  </si>
  <si>
    <t>2025.10.18收款，2026.3.19收到转款声明书装修押金5000元抵租</t>
  </si>
  <si>
    <t>2025-07-01~2025-09-05</t>
  </si>
  <si>
    <t>2025.10.18收款</t>
  </si>
  <si>
    <t>2025-09-06~2025-09-30</t>
  </si>
  <si>
    <t>2025-09-06~2026-09-05</t>
  </si>
  <si>
    <t>2026.3.29收款33981.6元</t>
  </si>
  <si>
    <t>3F-3016</t>
  </si>
  <si>
    <t>全云丽</t>
  </si>
  <si>
    <t>火火兔启蒙玩学馆</t>
  </si>
  <si>
    <t>3F-3017</t>
  </si>
  <si>
    <t>周秀丽（衡阳市蒸湘区星球很忙城市欢乐中心（个体工商户））</t>
  </si>
  <si>
    <t>星球很忙</t>
  </si>
  <si>
    <t>2025.8.25收款</t>
  </si>
  <si>
    <t>2025.9.5收款</t>
  </si>
  <si>
    <t>2025.11.26收款44620元，2026.1.21收款44620元</t>
  </si>
  <si>
    <t>2026.1.30收款50000元</t>
  </si>
  <si>
    <t>2025.11.26收款44620元</t>
  </si>
  <si>
    <t>2026.1.21收款44620元，2026.1.29收款50000元</t>
  </si>
  <si>
    <t>2026.1.21收款44620元</t>
  </si>
  <si>
    <t>2026.1.29收款50000元</t>
  </si>
  <si>
    <t>3F-3021A,3F-3021B</t>
  </si>
  <si>
    <t>衡阳市蒸湘区乐学教育培训学校</t>
  </si>
  <si>
    <t>学乐英语</t>
  </si>
  <si>
    <t>2025.10.1收款69666.50元</t>
  </si>
  <si>
    <t>3F-3022</t>
  </si>
  <si>
    <t>刘连</t>
  </si>
  <si>
    <t>宝宝来当家啦</t>
  </si>
  <si>
    <t>2025.9.22收款，2025.10.15收款5170.5</t>
  </si>
  <si>
    <t>2025.9.22收款，2025.10.15收款2700</t>
  </si>
  <si>
    <t>2026.4.21收款</t>
  </si>
  <si>
    <t>2026.1.29收款</t>
  </si>
  <si>
    <t>2025.11.21收款</t>
  </si>
  <si>
    <t>3F-3023</t>
  </si>
  <si>
    <t>杨帅</t>
  </si>
  <si>
    <t>尼彩文心</t>
  </si>
  <si>
    <t>2025-06-21~2026-06-20</t>
  </si>
  <si>
    <t>3F-3025</t>
  </si>
  <si>
    <t>衡晨文体</t>
  </si>
  <si>
    <t>2025.7.11收款</t>
  </si>
  <si>
    <t>2026.6.27收款</t>
  </si>
  <si>
    <t>3F-3026,3F-3027</t>
  </si>
  <si>
    <t>莫靖凡</t>
  </si>
  <si>
    <t>星辰弓射箭馆</t>
  </si>
  <si>
    <t>2025.6.30收4100元，2025.8.1收4100元，2025.8.31收4100元</t>
  </si>
  <si>
    <t>2025.6.30收6457.5元，2025.8.1收6457.5元，2025.8.31收6457.5元</t>
  </si>
  <si>
    <t>2025-10-01~2025-10-15</t>
  </si>
  <si>
    <t>2026.1.30总收款10000</t>
  </si>
  <si>
    <t>3F-3028</t>
  </si>
  <si>
    <t>郑雪娟</t>
  </si>
  <si>
    <t>杰米熊</t>
  </si>
  <si>
    <t>2025.6.18收款</t>
  </si>
  <si>
    <t>3F-3029A</t>
  </si>
  <si>
    <t>周小舟</t>
  </si>
  <si>
    <t>童年衣柜</t>
  </si>
  <si>
    <t>2025.12.4收款</t>
  </si>
  <si>
    <t>2025.12.4收款，2026.3.19收到转款声明书5000元装修押金抵租</t>
  </si>
  <si>
    <t>2025.10.24收款</t>
  </si>
  <si>
    <t>3F-3029B</t>
  </si>
  <si>
    <t>王秋燕</t>
  </si>
  <si>
    <t>乔克叔叔</t>
  </si>
  <si>
    <t>2026.2.11收款32557.6元</t>
  </si>
  <si>
    <t>2025.10.10收款9956元，2026.2.11收款32557.6元</t>
  </si>
  <si>
    <t>2025.10.10收款9956元</t>
  </si>
  <si>
    <t>3F-3031</t>
  </si>
  <si>
    <t>黄潇钦</t>
  </si>
  <si>
    <t>九拍</t>
  </si>
  <si>
    <t>2025-06-11~2026-06-10</t>
  </si>
  <si>
    <t>3F-3032</t>
  </si>
  <si>
    <t>周军伟</t>
  </si>
  <si>
    <t>作业帮/小天才/优学派</t>
  </si>
  <si>
    <t>2025-07-01~2025-09-27</t>
  </si>
  <si>
    <t>2025.11.16收款</t>
  </si>
  <si>
    <t>3F-3033</t>
  </si>
  <si>
    <t>曾田春</t>
  </si>
  <si>
    <t>趣捞渔</t>
  </si>
  <si>
    <t>2025.6.9收款刘慧琳付</t>
  </si>
  <si>
    <t>2025.9.19收款9000</t>
  </si>
  <si>
    <t>2025.9.19收款4000，5000装修押金转，资料已交</t>
  </si>
  <si>
    <t>3F-3035,3F-3036A,3F-3036B</t>
  </si>
  <si>
    <t>王成宁</t>
  </si>
  <si>
    <t>趣玩时空 币币之家</t>
  </si>
  <si>
    <t>2025.9.29收款17215元，9.6收款1100元</t>
  </si>
  <si>
    <t>2025.9.29收款1185.48元</t>
  </si>
  <si>
    <t>3F-3037</t>
  </si>
  <si>
    <t>哈哩屋的小baby</t>
  </si>
  <si>
    <t>2025.9.22收款，2025.10.15收款4060</t>
  </si>
  <si>
    <t>2025.9.22收款，2025.10.15收款4872</t>
  </si>
  <si>
    <t>4F</t>
  </si>
  <si>
    <t>4F-4002</t>
  </si>
  <si>
    <t>邹德峰</t>
  </si>
  <si>
    <t>藤野造型</t>
  </si>
  <si>
    <t>2025-07-08~2025-10-07</t>
  </si>
  <si>
    <t>2025-10-08~2026-01-07</t>
  </si>
  <si>
    <t>2025.9.9收款10000元，2025.9.15收款3345.29元</t>
  </si>
  <si>
    <t>4F-4006,4F-4007,4F-4008</t>
  </si>
  <si>
    <t>湖南发发竞技体育文化有限公司</t>
  </si>
  <si>
    <t>汇力发发桌球全国连锁</t>
  </si>
  <si>
    <t>2025.9.28收款，2025.10.25收装修押金30000</t>
  </si>
  <si>
    <t>4F-4009,4F-4010</t>
  </si>
  <si>
    <t>4F-4011</t>
  </si>
  <si>
    <t>唐歆</t>
  </si>
  <si>
    <t>歆融艺</t>
  </si>
  <si>
    <t>2025-07-01~2025-07-19</t>
  </si>
  <si>
    <t>4F-4012,4F-4013</t>
  </si>
  <si>
    <t>融艺舞蹈培训</t>
  </si>
  <si>
    <t>2025.9.10收款12475元，2025.10.25收款12475元,2025.11.8收款8202.74元</t>
  </si>
  <si>
    <t>4F-4019,4F-4020</t>
  </si>
  <si>
    <t>彭思佳</t>
  </si>
  <si>
    <t>INX吾限舞蹈</t>
  </si>
  <si>
    <t>2025.10.13收款</t>
  </si>
  <si>
    <t>4F-4021</t>
  </si>
  <si>
    <t>赵水和</t>
  </si>
  <si>
    <t>费斯</t>
  </si>
  <si>
    <t>2025.8.3收款10000元，2025.8.25收款122.45元</t>
  </si>
  <si>
    <t>2025.8.25收款3877.55元，2025.10.13收1500，2025.10.20收1000，2025.11.10收款2000元，2025.11.12收款1495，2025.11.22收1002.45元11月已做记账凭证转收入</t>
  </si>
  <si>
    <t>2025.11.22收497.55元，2025.11.23收款3500元，2025.11.29收款5000元，2026.1.13收款1877.45元</t>
  </si>
  <si>
    <t>2026.1.13收款3122.55元，2026.2.2收款2000元，2026.3.10收款3000元，2026.3.25收款4000元</t>
  </si>
  <si>
    <t>4F-4022、4023</t>
  </si>
  <si>
    <t>衡阳市一本文化传播有限公司</t>
  </si>
  <si>
    <t>维克多机器人</t>
  </si>
  <si>
    <t>2025-07-01~2025-09-10</t>
  </si>
  <si>
    <t>衡阳市蒸湘区维克多机器人教育培训学校有限公司</t>
  </si>
  <si>
    <t>2026-02-11~2026-03-10</t>
  </si>
  <si>
    <t>2025.11.15收款</t>
  </si>
  <si>
    <t>2026-01-11~2026-02-10</t>
  </si>
  <si>
    <t>2025-12-11~2026-01-10</t>
  </si>
  <si>
    <t>4F-4022、4F-4023</t>
  </si>
  <si>
    <t>2025-09-11~2025-12-10</t>
  </si>
  <si>
    <t>2025.9.6收款</t>
  </si>
  <si>
    <t>4F-4025,4F-4026A</t>
  </si>
  <si>
    <t>周乐群</t>
  </si>
  <si>
    <t>衡阳市蒸湘区向荣拳击健身馆</t>
  </si>
  <si>
    <t>4F-4031</t>
  </si>
  <si>
    <t>许翠敏</t>
  </si>
  <si>
    <t>666空气美甲美睫美妆</t>
  </si>
  <si>
    <t>2025.10.30收款</t>
  </si>
  <si>
    <t>5F</t>
  </si>
  <si>
    <t>5F-5001</t>
  </si>
  <si>
    <t>陆谢</t>
  </si>
  <si>
    <t>吉布鲁</t>
  </si>
  <si>
    <t>2025.8.7收款</t>
  </si>
  <si>
    <t>5F-5002A,5F-5002B</t>
  </si>
  <si>
    <t>涂小兰</t>
  </si>
  <si>
    <t>炊牛大烩</t>
  </si>
  <si>
    <t>2026.1.28收款20000元，2026.4.1收款19910.56元</t>
  </si>
  <si>
    <t>2025.10.20收款15000元，2026.1.28收款20000元</t>
  </si>
  <si>
    <t>2026.4.1收款19910.56元</t>
  </si>
  <si>
    <t>兰江溪.鲜辣江西菜</t>
  </si>
  <si>
    <t>11.21起租2025.10.21收款11440元，2026.4.10收款8580元</t>
  </si>
  <si>
    <t>2026.4.10收款3000元</t>
  </si>
  <si>
    <t>11.21起租，2025.10.21收款7259.2元，2026.4.10收款5444.40元</t>
  </si>
  <si>
    <t>5F-5003</t>
  </si>
  <si>
    <t>汪天皓</t>
  </si>
  <si>
    <t>许府牛</t>
  </si>
  <si>
    <t>2025-07-01~2025-08-24</t>
  </si>
  <si>
    <t>2025-08-25~2025-09-30</t>
  </si>
  <si>
    <t>2025-08-25~2026-08-24</t>
  </si>
  <si>
    <t>5F-5005</t>
  </si>
  <si>
    <t>黄沐彬</t>
  </si>
  <si>
    <t>两个水果</t>
  </si>
  <si>
    <t>2025.9.9收款</t>
  </si>
  <si>
    <t>5F-5006</t>
  </si>
  <si>
    <t>杨美丽</t>
  </si>
  <si>
    <t>湘下佬</t>
  </si>
  <si>
    <t>2025.11.16收款28910元，2026.5.29收到审批单减免6370*2=12740元</t>
  </si>
  <si>
    <t>2025.11.16收款28910元</t>
  </si>
  <si>
    <t>2026.3.1收款28910元</t>
  </si>
  <si>
    <t>2026.3.1收款28910元，2026.5.29收到审批单减免6370*2=12740元</t>
  </si>
  <si>
    <t>5F-5008</t>
  </si>
  <si>
    <t>左辉</t>
  </si>
  <si>
    <t>湘约绿草地</t>
  </si>
  <si>
    <t>2025.12.30收款83764.84元</t>
  </si>
  <si>
    <t>邓家顺</t>
  </si>
  <si>
    <t>2026.2.15收款89193.84元</t>
  </si>
  <si>
    <t>2026.2已开3000元推广费发票</t>
  </si>
  <si>
    <t>5F-5009A</t>
  </si>
  <si>
    <t>周建华</t>
  </si>
  <si>
    <t>蛙赛牛蛙</t>
  </si>
  <si>
    <t>5F-5009B</t>
  </si>
  <si>
    <t>冰果哆</t>
  </si>
  <si>
    <t>2025.6.30收款，2025.10.25收装修押金215</t>
  </si>
  <si>
    <t>2025.10.25收装修押金4785</t>
  </si>
  <si>
    <t>2025.10.26收款</t>
  </si>
  <si>
    <t>2025.10.26收款，2026.3.27收款9000元，2026.4.30收到SP活动发票125元，2026.4.10收款9885.9元</t>
  </si>
  <si>
    <t>5F-5010</t>
  </si>
  <si>
    <t>付勇</t>
  </si>
  <si>
    <t>潮正和</t>
  </si>
  <si>
    <t>2025.10.19收款19331.2元，2025.12.8收款81312.2元</t>
  </si>
  <si>
    <t>2025.1.20收款43160.85元</t>
  </si>
  <si>
    <t>2025.12.8收款81312.2元/2026.1.17收到商务变更条件</t>
  </si>
  <si>
    <t>2026.1.17商务变更，自12月起，每月租金+服务费共15000</t>
  </si>
  <si>
    <t>2026-11-10~2026-12-09</t>
  </si>
  <si>
    <t>2026-10-10~2026-11-09</t>
  </si>
  <si>
    <t>2026-09-10~2026-10-09</t>
  </si>
  <si>
    <t>2026-08-10~2026-09-09</t>
  </si>
  <si>
    <t>2026-07-10~2026-08-09</t>
  </si>
  <si>
    <t>2026-06-10~2026-07-09</t>
  </si>
  <si>
    <t>2026-05-10~2026-06-09</t>
  </si>
  <si>
    <t>2026-04-10~2026-05-09</t>
  </si>
  <si>
    <t>2026-03-10~2026-04-09</t>
  </si>
  <si>
    <t>2026-02-10~2026-03-09</t>
  </si>
  <si>
    <t>2026-01-10~2026-02-09</t>
  </si>
  <si>
    <t>2025-12-10~2026-01-09</t>
  </si>
  <si>
    <t>5F-5011</t>
  </si>
  <si>
    <t>贺依丽</t>
  </si>
  <si>
    <t>蛙老官</t>
  </si>
  <si>
    <t>谭娜</t>
  </si>
  <si>
    <t>沅柒洞拌饭</t>
  </si>
  <si>
    <t>2025.8.29收款</t>
  </si>
  <si>
    <t>5F-5012</t>
  </si>
  <si>
    <t>周睿盛</t>
  </si>
  <si>
    <t>南山大熊·鲜牛烤肉</t>
  </si>
  <si>
    <t>2025-09-01~2026-01-31</t>
  </si>
  <si>
    <t>2025.12.4装修押金20350元抵经营服务费，转款声明书已收到，2026.5.29收到终止协议，保证金29880元抵租</t>
  </si>
  <si>
    <t>2025.12.4装修押金20350元抵经营服务费，转款声明书已收到</t>
  </si>
  <si>
    <t>5F-5013</t>
  </si>
  <si>
    <t>于长江</t>
  </si>
  <si>
    <t>虾健健</t>
  </si>
  <si>
    <t>2025.12.03收款</t>
  </si>
  <si>
    <t>欣欣物业</t>
  </si>
  <si>
    <t>5F-5016</t>
  </si>
  <si>
    <t>衡阳博纳影院管理有限公司</t>
  </si>
  <si>
    <t>博纳国际影城</t>
  </si>
  <si>
    <t>2025.8.26收款85423</t>
  </si>
  <si>
    <t>2025.8.26收款47910</t>
  </si>
  <si>
    <t>2025.8.26收款66667元，2025.10.29收款18756元</t>
  </si>
  <si>
    <t>2025.10.29收款14577元其中电影券33333元</t>
  </si>
  <si>
    <t>2025.10.29收款85423元</t>
  </si>
  <si>
    <t>2025.12.3收款14577元其中电影券33333元</t>
  </si>
  <si>
    <t>2025.12.03收款85423元</t>
  </si>
  <si>
    <t>5F-5017</t>
  </si>
  <si>
    <t>张成菊</t>
  </si>
  <si>
    <t>胖大厨肉蟹煲</t>
  </si>
  <si>
    <t>2025-11-01~2025-12-31</t>
  </si>
  <si>
    <t>2025.11.21收款9300元，2025.12.18收款9300元</t>
  </si>
  <si>
    <t>5F-5018</t>
  </si>
  <si>
    <t>吴革民</t>
  </si>
  <si>
    <t>遇尚饼</t>
  </si>
  <si>
    <t>2025-10-01~2026-12-31</t>
  </si>
  <si>
    <t>2025.8.19收款</t>
  </si>
  <si>
    <t>5F-5019</t>
  </si>
  <si>
    <t>熊美容</t>
  </si>
  <si>
    <t>波比艾斯</t>
  </si>
  <si>
    <t>2025.6.3收款</t>
  </si>
  <si>
    <t>2025.8.26收款</t>
  </si>
  <si>
    <t>2025.11.21收款25249.7元</t>
  </si>
  <si>
    <t>5F-5020</t>
  </si>
  <si>
    <t>周健虎</t>
  </si>
  <si>
    <t>牧司烤肉</t>
  </si>
  <si>
    <t>2025.6.17收款，7月装修押金转</t>
  </si>
  <si>
    <t>2025.9.24收款7935元，2025.11.12收款7935元，2025.12.24收款15205.1元，2026.4.30收到SP活动发票3张共计8204.9元</t>
  </si>
  <si>
    <t>2025.11.12收款2953.77元，2025.12.24收款15205.1元</t>
  </si>
  <si>
    <t>2025.9.24收款8625元，2025.11.12收款5671.23元，2025.12.24收款15205.1元</t>
  </si>
  <si>
    <t>2026.1.27收款19560元</t>
  </si>
  <si>
    <t>5F-5021A</t>
  </si>
  <si>
    <t>谭敏</t>
  </si>
  <si>
    <t>夏日玛莉</t>
  </si>
  <si>
    <t>2025.6.11收款12325.7元，2025.9.1收款12325.7元</t>
  </si>
  <si>
    <t>2025.6.11收款13282.5元，2025.9.1收款13282.5元</t>
  </si>
  <si>
    <t>2025-06-01~2025-11-20</t>
  </si>
  <si>
    <t>2025.12.13共收款9425.66元</t>
  </si>
  <si>
    <t>2025.9.17收款，2025.10.12收款，2025.11.7收款16838.27</t>
  </si>
  <si>
    <t>2025.12.4收款到账18845元，2025.12.13共收款9425.66元</t>
  </si>
  <si>
    <t>2025.12.4收款到账18845元，2025.12.13共收款9425.66元，2026.4.18收到活动SP抵扣发票3005元</t>
  </si>
  <si>
    <t>5F-5022</t>
  </si>
  <si>
    <t>肖超杰</t>
  </si>
  <si>
    <t>书亦烧仙草</t>
  </si>
  <si>
    <t>2025.6.15收款，2025年7月份装修押金5000元转</t>
  </si>
  <si>
    <t>5F-5023A</t>
  </si>
  <si>
    <t>莫德明</t>
  </si>
  <si>
    <t>欣椰遇</t>
  </si>
  <si>
    <t>2025.12.4总收款75000</t>
  </si>
  <si>
    <t>2026.1.27收补充协议，2025.8.1-12.31按15000/月计租</t>
  </si>
  <si>
    <t>6F</t>
  </si>
  <si>
    <t>6F-6006A</t>
  </si>
  <si>
    <t>李红华</t>
  </si>
  <si>
    <t>李厨小农民</t>
  </si>
  <si>
    <t>2025-06-01~2026-03-31</t>
  </si>
  <si>
    <t>2026.3.20收款2499元</t>
  </si>
  <si>
    <t>2025.12.31收款30000元</t>
  </si>
  <si>
    <t>2025.12.31收款30000元，2026.1.30收款30000元</t>
  </si>
  <si>
    <t>2026.1.30收款30000元</t>
  </si>
  <si>
    <t>2026.1.30收款30000元，2026.3.1收款50000元</t>
  </si>
  <si>
    <t>2026.3.1收款50000元</t>
  </si>
  <si>
    <t>2026.3.20收款45000元</t>
  </si>
  <si>
    <t>补充协议：2025.11.1-2026.10.31租金和经营服务费每月各7500元</t>
  </si>
  <si>
    <t>CK-CK-005</t>
  </si>
  <si>
    <t>衡阳市蒸湘区快乐街区动漫电玩中心</t>
  </si>
  <si>
    <t>快乐街区仓库</t>
  </si>
  <si>
    <t>2025-07-01~2025-12-31</t>
  </si>
  <si>
    <t>多经收入</t>
  </si>
  <si>
    <t>B2F</t>
  </si>
  <si>
    <t>CK-CW-002</t>
  </si>
  <si>
    <t>湘下佬仓库</t>
  </si>
  <si>
    <t>2026.6.9收款11386.62元，2026.6.9收到转款声明书，原保证金23520元抵租</t>
  </si>
  <si>
    <t>CK-CW-007</t>
  </si>
  <si>
    <t>滕招锦</t>
  </si>
  <si>
    <t>朝花汐食仓库</t>
  </si>
  <si>
    <t>2025-09-14~2026-03-13</t>
  </si>
  <si>
    <t>CK-CW-009</t>
  </si>
  <si>
    <t>谭鑫</t>
  </si>
  <si>
    <t>吉布鲁仓库</t>
  </si>
  <si>
    <t>2025.12.26收款6000元</t>
  </si>
  <si>
    <t>DJ-QTF1-001</t>
  </si>
  <si>
    <t>石志远</t>
  </si>
  <si>
    <t>兰迪雅</t>
  </si>
  <si>
    <t>2025.10.31收款7000</t>
  </si>
  <si>
    <t>2025.10.10收款12800</t>
  </si>
  <si>
    <t>GGW-SW-002</t>
  </si>
  <si>
    <t>恒德口腔外墙广告位</t>
  </si>
  <si>
    <t>2025.7.24收款</t>
  </si>
  <si>
    <t>场外</t>
  </si>
  <si>
    <t>2025.6.7日收款</t>
  </si>
  <si>
    <t>2025.8.27收款400元,2025.10.16收款400元</t>
  </si>
  <si>
    <t>2025.10.16收款800元</t>
  </si>
  <si>
    <t>JYF1-001</t>
  </si>
  <si>
    <t>潍坊壳满满商贸有限公司</t>
  </si>
  <si>
    <t>手机虾</t>
  </si>
  <si>
    <t>2025-08-08~2025-11-07</t>
  </si>
  <si>
    <t>2025-11-08~2026-02-07</t>
  </si>
  <si>
    <t>2025.11.10收款</t>
  </si>
  <si>
    <t>JYF1-002</t>
  </si>
  <si>
    <t>王美男</t>
  </si>
  <si>
    <t>老凤祥</t>
  </si>
  <si>
    <t>2025-06-17~2025-09-16</t>
  </si>
  <si>
    <t>2025.6.5收款</t>
  </si>
  <si>
    <t>2025-09-17~2025-12-16</t>
  </si>
  <si>
    <t>JYF1-003</t>
  </si>
  <si>
    <t>刘盼</t>
  </si>
  <si>
    <t>七度银饰</t>
  </si>
  <si>
    <t>JYF1-005</t>
  </si>
  <si>
    <t>陈冠</t>
  </si>
  <si>
    <t>太空历险</t>
  </si>
  <si>
    <t>JYF1-005-1</t>
  </si>
  <si>
    <t>长沙紫荆花商贸有限公司</t>
  </si>
  <si>
    <t>自然堂、丸美</t>
  </si>
  <si>
    <t>2025.10.28收款</t>
  </si>
  <si>
    <t>2025-12-01~2026-12-31</t>
  </si>
  <si>
    <t>JYF1-006</t>
  </si>
  <si>
    <t>邹丽</t>
  </si>
  <si>
    <t>魅港国际</t>
  </si>
  <si>
    <t>2025.8.9收款</t>
  </si>
  <si>
    <t>JYF1-007</t>
  </si>
  <si>
    <t>张万福</t>
  </si>
  <si>
    <t>2025-06-15-2025-09-14</t>
  </si>
  <si>
    <t>与前弘阳有纠纷</t>
  </si>
  <si>
    <t>2026.4.13收款</t>
  </si>
  <si>
    <t>JYF1-009</t>
  </si>
  <si>
    <t>长沙市乐点通讯设备贸易有限公司</t>
  </si>
  <si>
    <t>爱回收</t>
  </si>
  <si>
    <t>JYF2-003,JYF3-005,QTF4-001</t>
  </si>
  <si>
    <t>长沙福洲体育用品有限公司</t>
  </si>
  <si>
    <t>艾力斯特</t>
  </si>
  <si>
    <t>2025年5月收15683暂收款，8月21日37元</t>
  </si>
  <si>
    <t>JYF2-004</t>
  </si>
  <si>
    <t>李栋</t>
  </si>
  <si>
    <t>飞科</t>
  </si>
  <si>
    <t>2025-07-01~2025-10-31</t>
  </si>
  <si>
    <t>2025.8.20收款</t>
  </si>
  <si>
    <t>JYF2-005</t>
  </si>
  <si>
    <t>湖南湘锁汇智能科技有限公司</t>
  </si>
  <si>
    <t>凯迪仕</t>
  </si>
  <si>
    <t>2025-07-16~2025-10-15</t>
  </si>
  <si>
    <t>2025-12-16~2026-01-15</t>
  </si>
  <si>
    <t>2025-11-16~2025-12-15</t>
  </si>
  <si>
    <t>2025-10-16~2025-11-15</t>
  </si>
  <si>
    <t>3F多经</t>
  </si>
  <si>
    <t>JYF3-004</t>
  </si>
  <si>
    <t>衡阳市蒸湘区星球很忙城市欢乐中心（个体工商户）</t>
  </si>
  <si>
    <t>2026.1.29收款50000元，2026.1.30收款50000元</t>
  </si>
  <si>
    <t>2026.1.30收款50000元/2026.1.31收款47890元</t>
  </si>
  <si>
    <t>2026.1.31收款47890元</t>
  </si>
  <si>
    <t>JYF3-007</t>
  </si>
  <si>
    <t>周克林</t>
  </si>
  <si>
    <t>幻影星空</t>
  </si>
  <si>
    <t>2025.12.22收款</t>
  </si>
  <si>
    <t>2025.11.26收款</t>
  </si>
  <si>
    <t>JYF4-009</t>
  </si>
  <si>
    <t>衡阳澳鑫体育文化有限公司</t>
  </si>
  <si>
    <t>澳鑫体育</t>
  </si>
  <si>
    <t>2025.10.22收款21000元</t>
  </si>
  <si>
    <t>3F5F</t>
  </si>
  <si>
    <t>JYF5-001,QTF3-003,QT-其他-QTF3-004,QT-QTF3-005</t>
  </si>
  <si>
    <t>福建民本信息科技有限公司</t>
  </si>
  <si>
    <t>摩歇座按摩椅</t>
  </si>
  <si>
    <t>2025-09-01~2025-09-14</t>
  </si>
  <si>
    <t>2025.8.28收款</t>
  </si>
  <si>
    <t>3F、5F</t>
  </si>
  <si>
    <t>JYF5-003、QTF3-006</t>
  </si>
  <si>
    <t>许春</t>
  </si>
  <si>
    <t>友唱机</t>
  </si>
  <si>
    <t>2025.10.24</t>
  </si>
  <si>
    <t>JYF5-005</t>
  </si>
  <si>
    <t>朝花汐食</t>
  </si>
  <si>
    <t>2025-09-14~2025-12-13</t>
  </si>
  <si>
    <t>2026-02-14~2026-03-13</t>
  </si>
  <si>
    <t>2025.11.28收款16920元+SP活动抵扣1080元</t>
  </si>
  <si>
    <t>2026-01-14~2026-02-13</t>
  </si>
  <si>
    <t>2025.11.28收款16920元</t>
  </si>
  <si>
    <t>2025-12-14~2026-01-13</t>
  </si>
  <si>
    <t>JYW1-001</t>
  </si>
  <si>
    <t>卢明管</t>
  </si>
  <si>
    <t>群有约（外广场儿童玩乐）</t>
  </si>
  <si>
    <t>JYW1-003</t>
  </si>
  <si>
    <t>衡阳品丰食品有限公司</t>
  </si>
  <si>
    <t>希朵曼</t>
  </si>
  <si>
    <t>2025-08-10~2025-11-09</t>
  </si>
  <si>
    <t>2025.8.6收款</t>
  </si>
  <si>
    <t>2025.10.22收款</t>
  </si>
  <si>
    <t>2025-11-10~2025-12-09</t>
  </si>
  <si>
    <t>B1F</t>
  </si>
  <si>
    <t>QTB1-XCH-001</t>
  </si>
  <si>
    <t>福建车与家科技有限公司</t>
  </si>
  <si>
    <t>车与家</t>
  </si>
  <si>
    <t>2025-08-06~2025-11-05</t>
  </si>
  <si>
    <t>2025.8.8收款，2025.9.30装修押金10000元转租金，转款声明书已交</t>
  </si>
  <si>
    <t>2026-01-06~2026-02-05</t>
  </si>
  <si>
    <t>2025.10.27收款</t>
  </si>
  <si>
    <t>2025-12-06~2026-01-05</t>
  </si>
  <si>
    <t>2025-11-06~2025-12-05</t>
  </si>
  <si>
    <t>QT-CDB</t>
  </si>
  <si>
    <t>湖南电满格科技发展有限公司</t>
  </si>
  <si>
    <t>小电</t>
  </si>
  <si>
    <t>QTF1-005</t>
  </si>
  <si>
    <t>刘豪琦</t>
  </si>
  <si>
    <t>七彩天空</t>
  </si>
  <si>
    <t>2025-10-10~2026-01-09</t>
  </si>
  <si>
    <t>2025-07-10~2025-10-09</t>
  </si>
  <si>
    <t>2025.9.3收款7800，2025.12.29收款12600元</t>
  </si>
  <si>
    <t>QTF1-009</t>
  </si>
  <si>
    <t>张先涛</t>
  </si>
  <si>
    <t>JUST.FOTO</t>
  </si>
  <si>
    <t>2025.7.28收款</t>
  </si>
  <si>
    <t>QTF1-配套001</t>
  </si>
  <si>
    <t>衡阳市中通速递有限公司</t>
  </si>
  <si>
    <t>兔喜快递超市</t>
  </si>
  <si>
    <t>2025-10-01~2026-03-31</t>
  </si>
  <si>
    <t>QTF1-配套-002</t>
  </si>
  <si>
    <t>刘红梅</t>
  </si>
  <si>
    <t>配套服务-服装修改织补</t>
  </si>
  <si>
    <t>QTF1-配套-003</t>
  </si>
  <si>
    <t>廖翔</t>
  </si>
  <si>
    <t>配套服务-皮具维修</t>
  </si>
  <si>
    <t>QTF1-配套-004</t>
  </si>
  <si>
    <t>2F,3F</t>
  </si>
  <si>
    <t>QTF2-002,QTF3-002</t>
  </si>
  <si>
    <t>嘎嘎客</t>
  </si>
  <si>
    <t>2025-09-21~2026-03-20</t>
  </si>
  <si>
    <t>QTF2-仓库001</t>
  </si>
  <si>
    <t>2025.10.1收款300元，2025.12.31收款26398.80元</t>
  </si>
  <si>
    <t>QTF3-001</t>
  </si>
  <si>
    <t>学而思</t>
  </si>
  <si>
    <t>2025-06-29~2025-09-28</t>
  </si>
  <si>
    <t>2025-09-29~2025-12-28</t>
  </si>
  <si>
    <t>QT-QTF3-007、QT-QTF3-008</t>
  </si>
  <si>
    <t>郴州吉茂贸易有限公司</t>
  </si>
  <si>
    <t>2025.1.16收款</t>
  </si>
  <si>
    <t>2025-10-25~2025-11-24</t>
  </si>
  <si>
    <t>2025-07-25~2025-10-24</t>
  </si>
  <si>
    <t>2025.8.18收款POS</t>
  </si>
  <si>
    <t>QT-QTF3-009</t>
  </si>
  <si>
    <t>魏莲花</t>
  </si>
  <si>
    <t>好集乐</t>
  </si>
  <si>
    <t>2025.8.25收款，2025.10.8收款4500</t>
  </si>
  <si>
    <t>QT-其他-JYF3-008</t>
  </si>
  <si>
    <t>2025-07-09~2025-10-08</t>
  </si>
  <si>
    <t>2025-10-09~2026-01-08</t>
  </si>
  <si>
    <t>2025.9.23收款18000元，2025.10.22收款21000元</t>
  </si>
  <si>
    <t>YXW1-001</t>
  </si>
  <si>
    <t>湖南源长餐饮管理有限公司</t>
  </si>
  <si>
    <t>外广场夜市(一号门)</t>
  </si>
  <si>
    <t>2025-07-21~2025-09-20</t>
  </si>
  <si>
    <t>2025-09-21~2025-10-20</t>
  </si>
  <si>
    <t>1001AA</t>
  </si>
  <si>
    <t>2026-01-01~2026-02-28</t>
  </si>
  <si>
    <t>2025.12.9收款20538元</t>
  </si>
  <si>
    <t>2026-01-01~2026-03-31</t>
  </si>
  <si>
    <t>2026.4.5收款4828.54元，2026.5.29收到终止协议，免租9000元，保证金16006元抵租</t>
  </si>
  <si>
    <t>2025.12.10收款</t>
  </si>
  <si>
    <t>2025.12.11收款</t>
  </si>
  <si>
    <t>2026-01-01~2026-03-11</t>
  </si>
  <si>
    <t>2025.12.30收款</t>
  </si>
  <si>
    <t>1009B</t>
  </si>
  <si>
    <t>2026-01-01~2026-01-13</t>
  </si>
  <si>
    <t>2025.12.9收款</t>
  </si>
  <si>
    <t>2026-01-01~2026-03-14</t>
  </si>
  <si>
    <t>2025.12.25收款</t>
  </si>
  <si>
    <t>2025.12.18收款</t>
  </si>
  <si>
    <t>2026/01/01-2026/01/31</t>
  </si>
  <si>
    <t>2025/12/25-2026/03/24</t>
  </si>
  <si>
    <t>2025.12.17收款47518.6元，2026.3.25收款48518.60元</t>
  </si>
  <si>
    <t>2025.12.17收款47518.6元</t>
  </si>
  <si>
    <t>2025.12.23收款27768元</t>
  </si>
  <si>
    <t>2025.12.23收款27768元，2026.3.25收款10985.76元</t>
  </si>
  <si>
    <t>2026.2.14收款12997.92元，2026.5.29收到终止协议，保证金16068元抵租</t>
  </si>
  <si>
    <t>2026-01-01~2026-12-31</t>
  </si>
  <si>
    <t>2026.2.6收款</t>
  </si>
  <si>
    <t>2026-01-01~2026-01-27</t>
  </si>
  <si>
    <t>2025.12.17收款</t>
  </si>
  <si>
    <t>2025-12-17~2026-03-16</t>
  </si>
  <si>
    <t>2025.12.19收款</t>
  </si>
  <si>
    <t>1F多经</t>
  </si>
  <si>
    <t>2026/01/10-2026/04/09</t>
  </si>
  <si>
    <t>2025.12.29收款12600元，2026.1.27收转款声明书抵租4800元</t>
  </si>
  <si>
    <t>系统押金13200，合同押金8400</t>
  </si>
  <si>
    <t>2025.12.12收款</t>
  </si>
  <si>
    <t>2025.12.24合同终止/2026.2.28收到纸质合同终止协议</t>
  </si>
  <si>
    <t>2026/01/01-2026/03/31</t>
  </si>
  <si>
    <t>2025.12.26收款</t>
  </si>
  <si>
    <t>2025.12.31收款26398.80元</t>
  </si>
  <si>
    <t>2026-01-01~2026-03-29</t>
  </si>
  <si>
    <t>2025.12.29收款</t>
  </si>
  <si>
    <t>2025.12.18收款5250元，2026.1.22收款10500元</t>
  </si>
  <si>
    <t>2025.12.21收款18146元</t>
  </si>
  <si>
    <t>2025.12.21收款18146元，2026.1.21收款1元</t>
  </si>
  <si>
    <t>2011A</t>
  </si>
  <si>
    <t>2025.12.30收款6000元，2026.3.24收款6000元，2026.3.27收款6000元</t>
  </si>
  <si>
    <t>2026-01-01~2026-03-22</t>
  </si>
  <si>
    <t>2026.1.31收款9000元.2026.2.27收款8000元，2026.3.10收到转款声明书，特卖保证金2000元抵租，2026.3.30收款1000元</t>
  </si>
  <si>
    <t>2026.2.27收款8000元</t>
  </si>
  <si>
    <t>2026.1.27收款18340元</t>
  </si>
  <si>
    <t>2025.11月销售额34816.9元，2026.4.28收款3133.52元</t>
  </si>
  <si>
    <t>2026.5.12收款10040元</t>
  </si>
  <si>
    <t>2025.12.26收款13523.5元</t>
  </si>
  <si>
    <t>2026-01-01~2026-01-09</t>
  </si>
  <si>
    <t>2026.1.22收款5067.81元</t>
  </si>
  <si>
    <t>2025.12.19共收款35750元</t>
  </si>
  <si>
    <t>2025.12.19共收款35750元，2026.2.10收到转款声明书金额1000元</t>
  </si>
  <si>
    <t>2026.3.20收款7495.92元，2026.4.20收款4160元 2026.7.25收10247.76元</t>
  </si>
  <si>
    <t>2026.3.20收款7495.92元，2026.7.25收10247.76元，2026.7.31收10247.76元</t>
  </si>
  <si>
    <t>3、5F多经</t>
  </si>
  <si>
    <t>JYF5-001、QTF3-003、QT-其他-QTF3-004、QT-QTF3-005</t>
  </si>
  <si>
    <t>长沙众乐乐体育用品有限公司</t>
  </si>
  <si>
    <t>摩享时光</t>
  </si>
  <si>
    <t>2025/12/15-2026/03/14</t>
  </si>
  <si>
    <t>2025/12/21-2026/3/20</t>
  </si>
  <si>
    <t>2025.12.29收款8999.79元</t>
  </si>
  <si>
    <t>2025.12.29收款8999.79元，2026.3.23收款14949.58元</t>
  </si>
  <si>
    <t>balabala</t>
  </si>
  <si>
    <t>2025.12.18收款5413元</t>
  </si>
  <si>
    <t>2026.2.28收款</t>
  </si>
  <si>
    <t>2025.12.30收款101263.02元</t>
  </si>
  <si>
    <t>2026.5.31收款24000元，2026.6.1收款6000元</t>
  </si>
  <si>
    <t>2026.5.31收款24000元</t>
  </si>
  <si>
    <t>2026.2.11收款32557.6元，2026.3.23收款20463.30元</t>
  </si>
  <si>
    <t>3F-3030</t>
  </si>
  <si>
    <t>爱婴室</t>
  </si>
  <si>
    <t>2025/12/20-2026/03/19</t>
  </si>
  <si>
    <t>2025/12/28-2026/03/27</t>
  </si>
  <si>
    <t>2026.1.30收款</t>
  </si>
  <si>
    <t>2026-01-01~2026-03-24</t>
  </si>
  <si>
    <t>2026.1.20收款10734.24元</t>
  </si>
  <si>
    <t>2026.1.20收款10734.24元，2026.3.14收款6000元</t>
  </si>
  <si>
    <t>2026.1.31收款14400.5元</t>
  </si>
  <si>
    <t>2026.1.31收款14400.5元，2026.1.31收到转款声明书，装修押金5100元抵经营服务费</t>
  </si>
  <si>
    <t>JYF3-008-1</t>
  </si>
  <si>
    <t>屈玉莲</t>
  </si>
  <si>
    <t>弹珠有名</t>
  </si>
  <si>
    <t>装修押金5250元抵收入，2025.12.18已收转款声明书，2025.12.18收款9750元</t>
  </si>
  <si>
    <t>CK-CW-005</t>
  </si>
  <si>
    <t>2026/01/01-2026/06/30</t>
  </si>
  <si>
    <t>2026/01/08-2026/04/07</t>
  </si>
  <si>
    <t>4006-4010</t>
  </si>
  <si>
    <t>发发桌球</t>
  </si>
  <si>
    <t>2026.3.25收款4000元，2026.3.31收款3047.35元，2026.5.29收到终止协议，保证金15950元抵租</t>
  </si>
  <si>
    <t>2026.5.29收到终止协议，保证金15950元抵租</t>
  </si>
  <si>
    <t>2025.12.23收款30000元</t>
  </si>
  <si>
    <t>2025.12.23收款30000元，2025.12.26到账3479元</t>
  </si>
  <si>
    <t>2026.1.6收款8560.55元，2026.4.10收款9885.9元</t>
  </si>
  <si>
    <t>2026.1.6收款8560.55元</t>
  </si>
  <si>
    <t>2026.1.27收款15000元，2026.2.10收款15000元，2026.3.13共收款26219.28元</t>
  </si>
  <si>
    <t>2026.2.4收款100000元其中电影券33333元</t>
  </si>
  <si>
    <t>2026.2.4收款100000元</t>
  </si>
  <si>
    <t>2025.12.20收款9150元，</t>
  </si>
  <si>
    <t>2025.12.20收款9150元，中秋国庆券抵扣150元，2026.2.28已收到胖大厨抵扣发票150元</t>
  </si>
  <si>
    <t>2025.12.19共收款5399.40元</t>
  </si>
  <si>
    <t>2025.12.19共收款5399.40元，2025.12.11装修押金5100元转经营服务费，转款声明书已收到</t>
  </si>
  <si>
    <t>2026.1.21收款16560元，1.27收款15870，总19560元</t>
  </si>
  <si>
    <t>2026.1.21收款16560元，1.27收款690元总19560元，2.28收款16560元，2026.4.30收到SP活动发票3张共计8204.9元</t>
  </si>
  <si>
    <t>5F-5025A</t>
  </si>
  <si>
    <t>何秋苹</t>
  </si>
  <si>
    <t>赖胖子肉蟹煲</t>
  </si>
  <si>
    <t>2026/01/01-2026/02/28</t>
  </si>
  <si>
    <t>2025.12.8收款8120元，2025.12.22收款8120元</t>
  </si>
  <si>
    <t>仓库</t>
  </si>
  <si>
    <t>2025.12.31收款26398.80元，2026.4.10收款26518.80元</t>
  </si>
  <si>
    <t>2F-2019</t>
  </si>
  <si>
    <t>香蜜闺秀（莱尔德保罗）</t>
  </si>
  <si>
    <t>2025-12-01~2026-03-31</t>
  </si>
  <si>
    <t>2025.10.21收款，原签约莱尔德保罗</t>
  </si>
  <si>
    <t>4F-4001</t>
  </si>
  <si>
    <t>王冬林</t>
  </si>
  <si>
    <t>星聚会KTV</t>
  </si>
  <si>
    <t>2026-2-15~2026-05-14</t>
  </si>
  <si>
    <t>2025.12.9收款2026年4-6月免租，系统未生成账单</t>
  </si>
  <si>
    <t>湖南创沃文化传播有限公司衡阳分公司</t>
  </si>
  <si>
    <t>2025-12-20~2026-03-31</t>
  </si>
  <si>
    <t>新增合同账单</t>
  </si>
  <si>
    <t>2025-12-20~2026-12-19</t>
  </si>
  <si>
    <r>
      <rPr>
        <sz val="11"/>
        <color rgb="FF1D2129"/>
        <rFont val="宋体"/>
        <charset val="134"/>
      </rPr>
      <t>宣传服务费</t>
    </r>
    <r>
      <rPr>
        <sz val="11"/>
        <color rgb="FF1D2129"/>
        <rFont val="Helvetica"/>
        <charset val="134"/>
      </rPr>
      <t>-</t>
    </r>
    <r>
      <rPr>
        <sz val="11"/>
        <color rgb="FF1D2129"/>
        <rFont val="宋体"/>
        <charset val="134"/>
      </rPr>
      <t>推广</t>
    </r>
  </si>
  <si>
    <t>首期款</t>
  </si>
  <si>
    <t>5F-5021B</t>
  </si>
  <si>
    <t>超鸡魔王</t>
  </si>
  <si>
    <t>新增合同账单，2025.11.24收款9305元，2026.2.10已收到转款声明书，金额18865元</t>
  </si>
  <si>
    <t>新增合同账单，2026.2.10已收到转款声明书，金额18865元</t>
  </si>
  <si>
    <t>首期款新增合同账单</t>
  </si>
  <si>
    <t>衡阳市蒸湘区优思学学习器材店（个体工商户）</t>
  </si>
  <si>
    <t>2025-12-29~2026-03-31</t>
  </si>
  <si>
    <t>QTF1-006</t>
  </si>
  <si>
    <t>长沙云驿印象科技有限公司</t>
  </si>
  <si>
    <t>拍照机</t>
  </si>
  <si>
    <t>2025-12-10~2026-03-09</t>
  </si>
  <si>
    <t>新增合同账单/12.8收款</t>
  </si>
  <si>
    <t>JYF3-009</t>
  </si>
  <si>
    <t>徐梓宸</t>
  </si>
  <si>
    <t>果宝妈咪</t>
  </si>
  <si>
    <t>新增合同账单/11.25收款</t>
  </si>
  <si>
    <t>2025-11-21~2026-02-28</t>
  </si>
  <si>
    <t>2026.1.6收款123,920.20元</t>
  </si>
  <si>
    <t>2025-11-21~2026-11-20</t>
  </si>
  <si>
    <t>新增合同账单/2025.11.29收款</t>
  </si>
  <si>
    <t>2026.1.28收款</t>
  </si>
  <si>
    <t>2026.2.15收款</t>
  </si>
  <si>
    <t>2026-01-16</t>
  </si>
  <si>
    <t>2026.1.14收到转款声明书50069.5抵经营服务费7315元</t>
  </si>
  <si>
    <t>2026.1.14收到转款声明书50069.5抵租8360元</t>
  </si>
  <si>
    <t>2026-01-15</t>
  </si>
  <si>
    <t>2026.1.15收款</t>
  </si>
  <si>
    <t>2025.12月营业额377464.6</t>
  </si>
  <si>
    <t>2026.1.9收款</t>
  </si>
  <si>
    <t>2025.12月营业额362810.28</t>
  </si>
  <si>
    <t>2026-04-01~2026-04-30</t>
  </si>
  <si>
    <t>2026.1.26收款</t>
  </si>
  <si>
    <t>2026-03-01~2026-03-31</t>
  </si>
  <si>
    <t>2026.3.31收款</t>
  </si>
  <si>
    <t>2026.3.28收款</t>
  </si>
  <si>
    <t>2026.1.31收款</t>
  </si>
  <si>
    <t>2025.1.30收款</t>
  </si>
  <si>
    <t>2026.2.28收款18340元</t>
  </si>
  <si>
    <t>2026.1.24收款37870元，2026.4.25收款38570元</t>
  </si>
  <si>
    <t>2026.1.24收款37870元</t>
  </si>
  <si>
    <t>2026.4.22收款</t>
  </si>
  <si>
    <t>2026.3.7收款</t>
  </si>
  <si>
    <t>2026.1.21收款</t>
  </si>
  <si>
    <t>2F-2039</t>
  </si>
  <si>
    <t>美思</t>
  </si>
  <si>
    <t>首期款合同期四个月/11.12收款</t>
  </si>
  <si>
    <t>2026.5.15收款</t>
  </si>
  <si>
    <t>2026.3.26收款，2026.5.15收款</t>
  </si>
  <si>
    <t>2026.2.28收款，2月销售额41684元</t>
  </si>
  <si>
    <t>2026.5.10收款</t>
  </si>
  <si>
    <t>2026.4.28收款8000元，2026.5.10收款</t>
  </si>
  <si>
    <t>2026.4.28收款8000元</t>
  </si>
  <si>
    <t>2026.1.30收款/年度销售额≥7.2万元缴纳推广费3000）</t>
  </si>
  <si>
    <t>5F-5002A、5002B</t>
  </si>
  <si>
    <t>柴煲煲</t>
  </si>
  <si>
    <t>4.1品牌更换为柴煲煲，2026.4.22收款，4.22补充协议减免1个月租金和服务费</t>
  </si>
  <si>
    <t>2026.4.10收款8580元</t>
  </si>
  <si>
    <t>2026.4.10收款5444.40元</t>
  </si>
  <si>
    <t>2026.3.11收款86193.84元</t>
  </si>
  <si>
    <t>2026.3.26已开发票</t>
  </si>
  <si>
    <t>2026.5.29收到终止协议，保证金29880元抵租</t>
  </si>
  <si>
    <t>2026.2.25收款</t>
  </si>
  <si>
    <t>2026.1.20收款</t>
  </si>
  <si>
    <t>2026.2.1-2026.8.31，营业额&lt;15万按15000/月计租，大于等于15万按月营业额12%计租</t>
  </si>
  <si>
    <t>2026.4.28收款45000元</t>
  </si>
  <si>
    <t>2026-04-06~2026-05-05</t>
  </si>
  <si>
    <t>2026-03-06~2026-04-05</t>
  </si>
  <si>
    <t>2026-02-06~2026-03-05</t>
  </si>
  <si>
    <t>2026-01-25</t>
  </si>
  <si>
    <t>2026.1.11收款</t>
  </si>
  <si>
    <t>2026-02-08~2026-05-07</t>
  </si>
  <si>
    <t>2026.1.28收款10000</t>
  </si>
  <si>
    <t>2026.1.26收到转款声明书装修押金抵租5000元</t>
  </si>
  <si>
    <t>JYF1-010</t>
  </si>
  <si>
    <t>2026.3.22收款</t>
  </si>
  <si>
    <t>2026.1.27收款</t>
  </si>
  <si>
    <t>2026.3.23收款</t>
  </si>
  <si>
    <t>2026.3.9收款</t>
  </si>
  <si>
    <t>2026.1.20收款18000元</t>
  </si>
  <si>
    <t>2025.10.22收款21000元，2026.1.20收款18000元</t>
  </si>
  <si>
    <t>彭谦利</t>
  </si>
  <si>
    <t>2026-01-10</t>
  </si>
  <si>
    <t>2026.1.10收款</t>
  </si>
  <si>
    <t>2025-11-21~2026-2-28</t>
  </si>
  <si>
    <t>2026-01-09~2026-04-08</t>
  </si>
  <si>
    <t>2026.1.3收款/系统账单未生成</t>
  </si>
  <si>
    <t>张伟鑫</t>
  </si>
  <si>
    <t>潮宏基</t>
  </si>
  <si>
    <t>2026-01-20~2026-04-30</t>
  </si>
  <si>
    <t>首期款/2025.12.13收款/系统未出账单</t>
  </si>
  <si>
    <t>2026-01-20~2027-01-19</t>
  </si>
  <si>
    <t>首期款/系统未出账单，2026.3.31收款</t>
  </si>
  <si>
    <t>3F-3019、3020</t>
  </si>
  <si>
    <t>万喜文</t>
  </si>
  <si>
    <t>奇趣虫动王国</t>
  </si>
  <si>
    <t>首期款合同期两个月/11.12收款</t>
  </si>
  <si>
    <t>2026.1.14收款</t>
  </si>
  <si>
    <t>2025.12月营业额80794.48</t>
  </si>
  <si>
    <t>2025-11-29~2026-02-28</t>
  </si>
  <si>
    <t>2025.1.4收款</t>
  </si>
  <si>
    <t>2025-11-29~2026-11-28</t>
  </si>
  <si>
    <t>徐海峰</t>
  </si>
  <si>
    <t>2026-01-13~2026-03-31</t>
  </si>
  <si>
    <t>新增合同账单/12.19收款65550，多收3373.33已转</t>
  </si>
  <si>
    <t>JYF3-006</t>
  </si>
  <si>
    <t>胡雪平</t>
  </si>
  <si>
    <t>猿辅导、读书郎AI智能学习机</t>
  </si>
  <si>
    <t>新增合同账单/10.18收款</t>
  </si>
  <si>
    <t>2025-12-01~2026-01-04</t>
  </si>
  <si>
    <t>2026.1.14收到转款声明书50069.5抵租3723.60元</t>
  </si>
  <si>
    <t>2025.12.1-2026.1.4营业额74472，5%抽成</t>
  </si>
  <si>
    <t>2026.1.14收到转款声明书50069.5抵经营服务费4864.68元</t>
  </si>
  <si>
    <t>2026.1.4撤柜</t>
  </si>
  <si>
    <t>2025.12营业额232040.92</t>
  </si>
  <si>
    <t>5F-5025B</t>
  </si>
  <si>
    <t>汤菊</t>
  </si>
  <si>
    <t>民间小炊烟</t>
  </si>
  <si>
    <t>2025-10-25</t>
  </si>
  <si>
    <t>新增往期账单/10.18收款</t>
  </si>
  <si>
    <t>12月销售额35288.2元，2026.6.2收款</t>
  </si>
  <si>
    <t>2026.1.9收款14163.96元</t>
  </si>
  <si>
    <t>12月销售额118033</t>
  </si>
  <si>
    <t>2026.1.19收款40820元，2026.2.28合同终止</t>
  </si>
  <si>
    <t>3F-3010</t>
  </si>
  <si>
    <t>徐建雷</t>
  </si>
  <si>
    <t>宝贝都星梦镜</t>
  </si>
  <si>
    <t>2026-02-15~2026-03-31</t>
  </si>
  <si>
    <t>2026.1.3收款</t>
  </si>
  <si>
    <t>新增账单</t>
  </si>
  <si>
    <t>JY-W1-011</t>
  </si>
  <si>
    <t>朱东秀</t>
  </si>
  <si>
    <t>户外直播间</t>
  </si>
  <si>
    <t>1F/5F</t>
  </si>
  <si>
    <t>QT-QTF1-010/QT-QTF5-001</t>
  </si>
  <si>
    <t>谢标</t>
  </si>
  <si>
    <t>礼品机</t>
  </si>
  <si>
    <t>2026-01-10~2026-04-30</t>
  </si>
  <si>
    <t>2025.1.5收款3733.33元，多收33.33元</t>
  </si>
  <si>
    <t>JYF1-T01</t>
  </si>
  <si>
    <t>施丽珠</t>
  </si>
  <si>
    <t>玛璐娅</t>
  </si>
  <si>
    <t>2026-01-05~2026-03-04</t>
  </si>
  <si>
    <t>12月31日缴费10000</t>
  </si>
  <si>
    <t>JY-W1-010</t>
  </si>
  <si>
    <t>泡泡机</t>
  </si>
  <si>
    <t>2026-01-05~2026-04-30</t>
  </si>
  <si>
    <t>2025.12.27收款</t>
  </si>
  <si>
    <t>B区-5号客梯外 门/3F-16号观光梯外门</t>
  </si>
  <si>
    <t>大东广告位</t>
  </si>
  <si>
    <t>2026-01-01~2026-06-30</t>
  </si>
  <si>
    <t>新增账单/系统未出，2025.12.25收款1200元</t>
  </si>
  <si>
    <t>2026.1.23收款</t>
  </si>
  <si>
    <t>2026.1.12新增账单</t>
  </si>
  <si>
    <t>2025-07-20~2025-10-31</t>
  </si>
  <si>
    <t>2026.1.23收款14478.2元</t>
  </si>
  <si>
    <t>2026.1.23收款14478.2元，2025.9.10收款2551.8元</t>
  </si>
  <si>
    <t>2025.9.10收款3930元</t>
  </si>
  <si>
    <t>邹晓伟</t>
  </si>
  <si>
    <t>超市特卖</t>
  </si>
  <si>
    <t>2026-01-11~2026-03-10</t>
  </si>
  <si>
    <t>新增账单/2025.12.6收款</t>
  </si>
  <si>
    <t>JYF1-T02</t>
  </si>
  <si>
    <t>浙江爱依迪贸易有限公司</t>
  </si>
  <si>
    <t>红蜻蜓</t>
  </si>
  <si>
    <t>2026-01-15~2026-03-14</t>
  </si>
  <si>
    <t>新增账单/1.15收到合同增加，2026.1.19收款</t>
  </si>
  <si>
    <t>2026.3.14总收款10000元，2026.3.27总收款8000元，2026.4.30收款10000元</t>
  </si>
  <si>
    <t>新合同2025.10.16-2026.4.15/10.16-11.30免租</t>
  </si>
  <si>
    <t>2026.1.30总收款10000元，2026.3.14总收款10000元，2026.3.27总收款8000元，2026.4.30收款10000元</t>
  </si>
  <si>
    <t>2025-10-16~2026-04-15</t>
  </si>
  <si>
    <t>2026.6.22收款6215.19元</t>
  </si>
  <si>
    <t>1F-1009B/1010</t>
  </si>
  <si>
    <t>伍一文</t>
  </si>
  <si>
    <t>几多全</t>
  </si>
  <si>
    <t>2026-03-16~2026-04-15</t>
  </si>
  <si>
    <t>2026.1.13收款/2026.1.21新增账单-系统无</t>
  </si>
  <si>
    <t>2026.1.29收款/2026.1.21新增账单-系统无-强清瑞幸</t>
  </si>
  <si>
    <t>JYF1-011</t>
  </si>
  <si>
    <t>福建玛米玛卡儿童用品有限公司</t>
  </si>
  <si>
    <t>MOMOCO玛米玛卡</t>
  </si>
  <si>
    <t>2026-01-09~2026-05-08</t>
  </si>
  <si>
    <t>2026.3.6收款</t>
  </si>
  <si>
    <t>2026.3.30收款</t>
  </si>
  <si>
    <t>2026.4.17收款</t>
  </si>
  <si>
    <t>2025-08-01~2026-03-31</t>
  </si>
  <si>
    <t>2026.6.4收款</t>
  </si>
  <si>
    <t>广告位</t>
  </si>
  <si>
    <t>衡阳币币之家软件科技有限公司</t>
  </si>
  <si>
    <t>新增合同账单，2026.3.28收款，合同提前6.30终止，罚没保证金1000元</t>
  </si>
  <si>
    <t>戴露</t>
  </si>
  <si>
    <t>2026-01-28~2026-04-27</t>
  </si>
  <si>
    <t>2026-01-28~2027-01-27</t>
  </si>
  <si>
    <t>2026.2.27收款47250</t>
  </si>
  <si>
    <t>4F-4012、4013</t>
  </si>
  <si>
    <t>2026-05-01~2026-05-31</t>
  </si>
  <si>
    <t>2026.4.29收款75710.35元</t>
  </si>
  <si>
    <t>2026.2.11收款96228.18元</t>
  </si>
  <si>
    <t>2026.2.11收款96228.18元+活动抵扣12600元已开发票2025.11.10/2026.2.13</t>
  </si>
  <si>
    <t>2026.4.30收款</t>
  </si>
  <si>
    <t>2026.4.8收款</t>
  </si>
  <si>
    <t>2026.3.5收款</t>
  </si>
  <si>
    <t>1F-1050、1051</t>
  </si>
  <si>
    <t>衡阳市蒸湘区冉萍服装店</t>
  </si>
  <si>
    <t>2026.2.7收款</t>
  </si>
  <si>
    <t>2026.2.10已收到转款声明书，金额18865元</t>
  </si>
  <si>
    <t>2026.2.10已收到转款声明书，金额18865元，2026.2.13收款7470元</t>
  </si>
  <si>
    <t>2026.3.2收到转款声明书，装修押金5000元抵租</t>
  </si>
  <si>
    <t>2026.3.25收款6200元</t>
  </si>
  <si>
    <t>2026.2.10已收到转款声明书，金额5200元</t>
  </si>
  <si>
    <t>2026.2.10已收到转款声明书，金额5200元，2026.3.25收款6200元</t>
  </si>
  <si>
    <t>2026.2.5收款</t>
  </si>
  <si>
    <t>2026.3.18收款8210元</t>
  </si>
  <si>
    <t>2026.2.10已收到转款声明书，金额10150元，2026.3.18收款8210元</t>
  </si>
  <si>
    <t>2026.2.10已收到转款声明书，金额10150元</t>
  </si>
  <si>
    <t>2026.4.23收款</t>
  </si>
  <si>
    <t>2026.3.26收款</t>
  </si>
  <si>
    <t>JYF1-008</t>
  </si>
  <si>
    <t>沈妙鹃</t>
  </si>
  <si>
    <t>周六福</t>
  </si>
  <si>
    <t>2026.2.11收款</t>
  </si>
  <si>
    <t>2025.3.2收款</t>
  </si>
  <si>
    <t>2026.3.25收款6000元</t>
  </si>
  <si>
    <t>2026.1.14收到转款声明书50069.5抵经营服务费8360元</t>
  </si>
  <si>
    <t>2026.2.26收款转款声明书，装修押金10150元抵租</t>
  </si>
  <si>
    <t>2026.2.11收款6090元，2026.2.26收款转款声明书，装修押金10150元抵租</t>
  </si>
  <si>
    <t>2026-05-11~2026-06-10</t>
  </si>
  <si>
    <t>2026.2.27收款</t>
  </si>
  <si>
    <t>2026-04-11~2026-05-10</t>
  </si>
  <si>
    <t>2026-03-11~2026-04-10</t>
  </si>
  <si>
    <t>2026.3.31收款18340元</t>
  </si>
  <si>
    <t>4F-4006、4007、4008</t>
  </si>
  <si>
    <t>湖南亮点体育文化发展有限公司</t>
  </si>
  <si>
    <t>2027-02-15~2027-03-14</t>
  </si>
  <si>
    <t>2026.4.30收款6000元</t>
  </si>
  <si>
    <t>2027-01-15~2027-02-14</t>
  </si>
  <si>
    <t>2026-12-15~2027-01-14</t>
  </si>
  <si>
    <t>2026-11-15~2026-12-14</t>
  </si>
  <si>
    <t>4F-4009、4010</t>
  </si>
  <si>
    <t>2026.2.27收款46826元</t>
  </si>
  <si>
    <t>2026.2.13收款</t>
  </si>
  <si>
    <t>2026.01月销售额362957.72元</t>
  </si>
  <si>
    <t>2026.01月营业额454939.03元，2026.2.10收款</t>
  </si>
  <si>
    <t>2026.2.10收款</t>
  </si>
  <si>
    <t>2026-05-01~2026-05-14</t>
  </si>
  <si>
    <t>2026.2.26收款</t>
  </si>
  <si>
    <t>2026.01月营业额292977元，2026.2.10收款</t>
  </si>
  <si>
    <t>2026.5.29收到终止协议，保证金抵租</t>
  </si>
  <si>
    <t>2026.3.30收款25282.40元</t>
  </si>
  <si>
    <t>2026.3.11总收款12860元</t>
  </si>
  <si>
    <t>2026.3.11总收款12860元，2026.3.25收到转款声明书特卖费1000元抵租</t>
  </si>
  <si>
    <t>2026.3.10收款</t>
  </si>
  <si>
    <t>2026.2.2收款</t>
  </si>
  <si>
    <t>2026.3.2收款</t>
  </si>
  <si>
    <t>1F-1032</t>
  </si>
  <si>
    <t>蔡林峰</t>
  </si>
  <si>
    <t>瞄一瞄集采新铺</t>
  </si>
  <si>
    <t>2026.2.12收款68850元</t>
  </si>
  <si>
    <t>1F-1001BA</t>
  </si>
  <si>
    <t>2026-03-01~2026-05-31</t>
  </si>
  <si>
    <t>2026.2.12收款68850元，2026.3.13收款88282.26元</t>
  </si>
  <si>
    <t>2025-12-05~2025-12-31</t>
  </si>
  <si>
    <t>2026.3.13收款88282.26元</t>
  </si>
  <si>
    <t>2025-12-05~2026-01-31</t>
  </si>
  <si>
    <t>2025-07-10~2025-10-31</t>
  </si>
  <si>
    <t>2026.1.27保证金冲抵</t>
  </si>
  <si>
    <t>2026.1.30收补充协议</t>
  </si>
  <si>
    <t>2026.2.8收款</t>
  </si>
  <si>
    <t>2026.3.15收款</t>
  </si>
  <si>
    <t>夏日玛莉广告位</t>
  </si>
  <si>
    <t>2026-02-01~2026-07-31</t>
  </si>
  <si>
    <t>2026.1.30收广告位合同，1.30收款535.40元，2026.2.10收到转款声明书金额2864.6元，共计3400元，其中保证金1000元，广告位收入2400元</t>
  </si>
  <si>
    <t>CK-CW-004</t>
  </si>
  <si>
    <t>茶颜悦色仓库</t>
  </si>
  <si>
    <t>2025-12-19~2026-06-18</t>
  </si>
  <si>
    <t>2026.2.27收款5100元，2026.5.28补充协议，库房移位租金面积改为22.69平方（2026.4.21-2026.11.20）</t>
  </si>
  <si>
    <t>2F、F3</t>
  </si>
  <si>
    <t>JYF2-003、JYF3-005、QTF4-001</t>
  </si>
  <si>
    <t>长沙奥登电子科技有限公司</t>
  </si>
  <si>
    <t>乐摩吧按摩椅</t>
  </si>
  <si>
    <t>2026-02-01~2026-04-30</t>
  </si>
  <si>
    <t>新增账单/2026.1.24收款</t>
  </si>
  <si>
    <t>JYF1-T04</t>
  </si>
  <si>
    <t>衡阳市石鼓区冬澜服装店</t>
  </si>
  <si>
    <t>海澜之家</t>
  </si>
  <si>
    <t>新增账单/2026.1.26收款</t>
  </si>
  <si>
    <t>2026.01月销售额46546.1元   2026.7.22收款</t>
  </si>
  <si>
    <t>2026.2.12收款</t>
  </si>
  <si>
    <t>2026.01月销售额123243元</t>
  </si>
  <si>
    <t>2026.01月销售额144967.47</t>
  </si>
  <si>
    <t>2026-04-01~2026-09-30</t>
  </si>
  <si>
    <t>2026.2.10新增账单</t>
  </si>
  <si>
    <t>2026-03-30~2026-06-29</t>
  </si>
  <si>
    <t>2026.2.10新增账单，2026.3.22收款</t>
  </si>
  <si>
    <t>2026.2.10收款，2026.7.1收款64937.33元</t>
  </si>
  <si>
    <t>2026.2.10新增账单-运营出具</t>
  </si>
  <si>
    <t>2026.2.10新增账单-运营出具，租金？</t>
  </si>
  <si>
    <t>2026-03-16</t>
  </si>
  <si>
    <t>2026.1.14收到转款声明书50069.5抵经营服务费2816.22元，2026.3.31收款5543.78元</t>
  </si>
  <si>
    <t>2026-04-01~2026-04-06</t>
  </si>
  <si>
    <t>2026-03-15</t>
  </si>
  <si>
    <t>2026.3.13收款</t>
  </si>
  <si>
    <t>2026.2月营业额524620.29元，2026.3.13收款</t>
  </si>
  <si>
    <t>2026.3.18收款</t>
  </si>
  <si>
    <t>2026.2月营业额476840.22元，2026.3.18收款</t>
  </si>
  <si>
    <t>2026-06-01~2026-06-30</t>
  </si>
  <si>
    <t>2026.3.11收款</t>
  </si>
  <si>
    <t>2026-04-16~2026-07-15</t>
  </si>
  <si>
    <t>2026.3.26收款134600元</t>
  </si>
  <si>
    <t>2026.3.26收款134600元，2026.4.29收款10000元</t>
  </si>
  <si>
    <t>2026.3.17收款</t>
  </si>
  <si>
    <t>2026.2月营业额437416.19元，2026.3.17收款</t>
  </si>
  <si>
    <t>抽成</t>
  </si>
  <si>
    <t>2026.2月销售额139696元</t>
  </si>
  <si>
    <t>2026.3.19收款</t>
  </si>
  <si>
    <t>1F-1019BB、1021</t>
  </si>
  <si>
    <t>2026-03-10</t>
  </si>
  <si>
    <t>2026.3.25收款48518.60元</t>
  </si>
  <si>
    <t>2026-05-01~2026-05-05</t>
  </si>
  <si>
    <t>2026.3.25收款10985.76元</t>
  </si>
  <si>
    <t>2026.3.27收款</t>
  </si>
  <si>
    <t>2026.5.21收款54000元</t>
  </si>
  <si>
    <t>2026.5.15签订补充协议，2026.4.1-2026.6.30租金和经经营服务费共计54000元</t>
  </si>
  <si>
    <t>2026.3.29收款23876元</t>
  </si>
  <si>
    <t>MINISO(名创优品)</t>
  </si>
  <si>
    <t>2026.3.20收款</t>
  </si>
  <si>
    <t>2026.3.24收款14999.40元</t>
  </si>
  <si>
    <t>2026.3.16收款</t>
  </si>
  <si>
    <t>2026-04-01~2026-04-24</t>
  </si>
  <si>
    <t>2026.4.27收款18340元</t>
  </si>
  <si>
    <t>2026.2月销售额71167.7元，2026.8.5收款9824.63元</t>
  </si>
  <si>
    <t>2F-2016B,2F-2017</t>
  </si>
  <si>
    <t>2026-05-01~2026-05-20</t>
  </si>
  <si>
    <t>回力-2F</t>
  </si>
  <si>
    <t>2026.3.11总收款36750元</t>
  </si>
  <si>
    <t>2026.7.31收10247.76元</t>
  </si>
  <si>
    <t>长沙七匹狼服装销售有限公司</t>
  </si>
  <si>
    <t>2026.3.12收款</t>
  </si>
  <si>
    <t>2026-03-06</t>
  </si>
  <si>
    <t>2026.3.23收款14949.58元，2026.7.30收到SP活动发票550元抵租</t>
  </si>
  <si>
    <t>2026.3.23收款14949.58元</t>
  </si>
  <si>
    <t>2026.2月销售额176548.11元，其中正铺139707.51元，特卖36840.60元</t>
  </si>
  <si>
    <t>2026.6.29收款11000元</t>
  </si>
  <si>
    <t>2026.5.29收款，2026.7.29收款7039元</t>
  </si>
  <si>
    <t>2026.4.29收款5163元，2026.7.29收款7039元</t>
  </si>
  <si>
    <t>2026.5.29收款</t>
  </si>
  <si>
    <t>2026.4.29收款5163元</t>
  </si>
  <si>
    <t>2026-04-01~2026-04-23</t>
  </si>
  <si>
    <t>2026-06-01~2026-06-20</t>
  </si>
  <si>
    <t>2026.6.28收款15347元，其中水费6.39元</t>
  </si>
  <si>
    <t>2026.6.1收款6000元，2026.6.28收款15347元，其中水费6.39元</t>
  </si>
  <si>
    <t>2026.3.23收款20463.30元</t>
  </si>
  <si>
    <t>2026.3.23收款20463.30元，2026.5.23收款63元，2026.7.31收到SP活动发票1350元抵租</t>
  </si>
  <si>
    <t>2026-03-05</t>
  </si>
  <si>
    <t>2026-05-20~2026-06-19</t>
  </si>
  <si>
    <t>2026-04-20~2026-05-19</t>
  </si>
  <si>
    <t>2026-03-20~2026-04-19</t>
  </si>
  <si>
    <t>九拍架子鼓</t>
  </si>
  <si>
    <t>2026-04-01~2026-06-30</t>
  </si>
  <si>
    <t>2026.3.29收款25546.13元，2026.5.17收款12773.07元</t>
  </si>
  <si>
    <t>2026-03-12</t>
  </si>
  <si>
    <t>2026-03-23</t>
  </si>
  <si>
    <t>2026-06-08~2026-07-07</t>
  </si>
  <si>
    <t>2026-05-08~2026-06-07</t>
  </si>
  <si>
    <t>2026-04-08~2026-05-07</t>
  </si>
  <si>
    <t>2026.3.30收款109089.72元</t>
  </si>
  <si>
    <t>2026.4.24收款6000元</t>
  </si>
  <si>
    <t>2026.8.10收款</t>
  </si>
  <si>
    <t>2026.3.30收款86193元</t>
  </si>
  <si>
    <t>2026-03-01</t>
  </si>
  <si>
    <t>2026-03-15~2027-03-14</t>
  </si>
  <si>
    <t>2026.5.30收款1500元</t>
  </si>
  <si>
    <t>2026.3.27收款9000元</t>
  </si>
  <si>
    <t>1.27收到SP活动发票1119元，2026.3.27收款9000元</t>
  </si>
  <si>
    <t>2026.4.10收款9885.9元</t>
  </si>
  <si>
    <t>2026.4.28收款15000元</t>
  </si>
  <si>
    <t>2026.3.23收款15000元</t>
  </si>
  <si>
    <t>2026.5.25收款133333元</t>
  </si>
  <si>
    <t>2026.5.8收款3499.9元</t>
  </si>
  <si>
    <t>2026.5.21收款15691.94元，2026.5.22收款900元</t>
  </si>
  <si>
    <t>2026.4.22收款29009.56元，2026.4.30收到SP活动发票3张共计8204.9元</t>
  </si>
  <si>
    <t>2026.4.22收款29009.56元</t>
  </si>
  <si>
    <t>2026.5.21收款15691.94元</t>
  </si>
  <si>
    <t>2026.3.20收款53051.67元</t>
  </si>
  <si>
    <t>新增合同账单/12.19收款65550，2026.3.20收款53051.67元，2026.4.18收到SP活动发票4125元抵租</t>
  </si>
  <si>
    <t>2026.3.18收到转款声明书5000元抵租，2026.3.20收款53051.67元</t>
  </si>
  <si>
    <t>JYF3-008</t>
  </si>
  <si>
    <t>2026-06-09~2026-07-08</t>
  </si>
  <si>
    <t>2026-05-09~2026-06-08</t>
  </si>
  <si>
    <t>2026-04-09~2026-05-08</t>
  </si>
  <si>
    <t>2026.3.25收款15000元</t>
  </si>
  <si>
    <t>JYF5-001QTH3-003QT-其他-QTF3-004</t>
  </si>
  <si>
    <t>2026-04-01~2026-04-10</t>
  </si>
  <si>
    <t>2026.3.24收款1800元，租户2026.4.10已签终止协议，多交1600元已退租户</t>
  </si>
  <si>
    <t>2026-03-25</t>
  </si>
  <si>
    <t>2026.3.29收款10017元</t>
  </si>
  <si>
    <t>2026.3.4收款</t>
  </si>
  <si>
    <t>2026-03-01~2026-04-15</t>
  </si>
  <si>
    <t>2026.5.29pos收款10000元，2026.6.22收款6215.19元</t>
  </si>
  <si>
    <t>2026.4.30收款10000元，2026.5.29收款10000元，2026.6.22收款6215.19元</t>
  </si>
  <si>
    <t>衡阳市蒸湘区锦程金行（个体工商户）</t>
  </si>
  <si>
    <t>2026-03-17~2026-06-30</t>
  </si>
  <si>
    <t>2.28新增合同账单，2026.3.18收款</t>
  </si>
  <si>
    <t>QTF1-配套001、QTF1-配套004</t>
  </si>
  <si>
    <t>2.28新增合同账单</t>
  </si>
  <si>
    <t>2.28新增合同账单，2026.3.30收款</t>
  </si>
  <si>
    <t>QTF1-DX021</t>
  </si>
  <si>
    <t>黄璐</t>
  </si>
  <si>
    <t>必胜客广告位</t>
  </si>
  <si>
    <t>2.28新增合同账单/2026.1.22收款</t>
  </si>
  <si>
    <t>JYF1-011-1</t>
  </si>
  <si>
    <t>尹娟</t>
  </si>
  <si>
    <t>臻品伊选</t>
  </si>
  <si>
    <t>2.28新增合同账单/2026.2.5收款</t>
  </si>
  <si>
    <t>刘倩</t>
  </si>
  <si>
    <t>古茗</t>
  </si>
  <si>
    <t>2026-03-27~2026-05-31</t>
  </si>
  <si>
    <t>手动出账单-首期款</t>
  </si>
  <si>
    <t>2.28新增合同账单/2026.2.12收款</t>
  </si>
  <si>
    <t>2026-03-12~2027-03-11</t>
  </si>
  <si>
    <t>衡阳市蒸湘区瑞隆首饰店（个体工商户）</t>
  </si>
  <si>
    <t>2025.2.25收款40320元/3月免租</t>
  </si>
  <si>
    <t>2026-03-01~2027-02-28</t>
  </si>
  <si>
    <t>2026.02月销售额218494元，按营业额12%计租（含租金+经营服务费），2026.3.13共收款26219.28元</t>
  </si>
  <si>
    <t>2025-12-07~2026-03-14</t>
  </si>
  <si>
    <t>2026.3.16收款89206.39元</t>
  </si>
  <si>
    <t>2026-03-01~2026-03-03</t>
  </si>
  <si>
    <t>合同2026.1.31到期</t>
  </si>
  <si>
    <t>2026年2月营业额36986元，抽成租金99元</t>
  </si>
  <si>
    <t>续租1年，1.1-12.31</t>
  </si>
  <si>
    <t>2026-03-30~2027-03-29</t>
  </si>
  <si>
    <t>续租</t>
  </si>
  <si>
    <t>2026-03-25~2026-06-30</t>
  </si>
  <si>
    <t>2026.3.25收款22000元，2026.5.27收款204.32元，其中推广费180元，水费24.32元，</t>
  </si>
  <si>
    <t>续租1年，2026.3.25-2027.3.24</t>
  </si>
  <si>
    <t>2026-03-25~2027-03-24</t>
  </si>
  <si>
    <t>2026.3.25收款22000元，2026.4.27收款200元</t>
  </si>
  <si>
    <t>2026-04-01~2026-05-31</t>
  </si>
  <si>
    <t>JYF2-003、JYF3-005、QTF-4001</t>
  </si>
  <si>
    <t>2026-07-01~2026-07-31</t>
  </si>
  <si>
    <t>2026.4.15收款</t>
  </si>
  <si>
    <t>2026.5.12收款4630元</t>
  </si>
  <si>
    <t>2026.5.7收款10000元</t>
  </si>
  <si>
    <t>2026.4.30收款7315元</t>
  </si>
  <si>
    <t>2026.5.7收款10000元，2026.5.12收款4630元</t>
  </si>
  <si>
    <t>QT-QTF1-010、QT-QTF5-001</t>
  </si>
  <si>
    <t>2026.4.16收款</t>
  </si>
  <si>
    <t>2026-07-01~2026-07-04</t>
  </si>
  <si>
    <t>1F-1020</t>
  </si>
  <si>
    <t>屈姣</t>
  </si>
  <si>
    <t>潮玩空间</t>
  </si>
  <si>
    <t>2026.7.28收款33000元</t>
  </si>
  <si>
    <t>2026.4.30收款20000元</t>
  </si>
  <si>
    <t>2026.4.30收款20000元，2026.7.28收款33000元</t>
  </si>
  <si>
    <t>4.1品牌更换为柴煲煲，2026.4.22收款</t>
  </si>
  <si>
    <t>2026.4.20收款</t>
  </si>
  <si>
    <t>2026.4.18收款10716元，2026.4.30收到SP活动发票4284元</t>
  </si>
  <si>
    <t>2026.4.18收款10716元</t>
  </si>
  <si>
    <t>2026-07-08~2026-08-07</t>
  </si>
  <si>
    <t>2026.4.24收款</t>
  </si>
  <si>
    <t>2026-07-06~2026-08-05</t>
  </si>
  <si>
    <t>2026.4.11收款</t>
  </si>
  <si>
    <t>2026-06-06~2026-07-05</t>
  </si>
  <si>
    <t>2026-05-06~2026-06-05</t>
  </si>
  <si>
    <t>2026.5.31收款14339元</t>
  </si>
  <si>
    <t>2026-07-01~2026-07-20</t>
  </si>
  <si>
    <t>2026.4.30收款15400元</t>
  </si>
  <si>
    <t>2026.4.30收款15400元，2026.4.30收到SP活动抵扣款发票275元</t>
  </si>
  <si>
    <t>2026.4.20收款18000元</t>
  </si>
  <si>
    <t>2026.1.20收款18000元，2026.4.20收款18000元</t>
  </si>
  <si>
    <t>2026.4.30收款7050元</t>
  </si>
  <si>
    <t>2026.4.9收款</t>
  </si>
  <si>
    <t>2026.5.26收款18340元</t>
  </si>
  <si>
    <t>2026.5.3收款</t>
  </si>
  <si>
    <t>2026.4.27收款46826元</t>
  </si>
  <si>
    <t>2026.4.7收款</t>
  </si>
  <si>
    <t>2026.4.28收款</t>
  </si>
  <si>
    <t>2026.4.25收款38570元</t>
  </si>
  <si>
    <t>2026.6.15收款</t>
  </si>
  <si>
    <t>2026.5.27收款8586元</t>
  </si>
  <si>
    <t>2026.6.18收款</t>
  </si>
  <si>
    <t>2026.7.13收款</t>
  </si>
  <si>
    <t>2026.5.25收款</t>
  </si>
  <si>
    <t>2026.5.14收款</t>
  </si>
  <si>
    <t>抽成，2026.4.15收款783.16元</t>
  </si>
  <si>
    <t>2026.3月销售额61197元*12%</t>
  </si>
  <si>
    <t>2026年3月销售额31960元，未达到35000</t>
  </si>
  <si>
    <t>抽成，2026.4.16收款</t>
  </si>
  <si>
    <t>2026.3月销售额266450.68元</t>
  </si>
  <si>
    <t>抽成，2026.4.15收款</t>
  </si>
  <si>
    <t>2026.3月营业额514030.4元</t>
  </si>
  <si>
    <t>2026.3月营业额428216.36元</t>
  </si>
  <si>
    <t>抽成，2026.4.20收款</t>
  </si>
  <si>
    <t>2026.3月销售额46218.30*1%</t>
  </si>
  <si>
    <t>2026.3月销售额46218.3*8%</t>
  </si>
  <si>
    <t>未提供营业额</t>
  </si>
  <si>
    <t>抽成2026.3月销售额31764元  2026.7.22收款</t>
  </si>
  <si>
    <t>抽成，手动出账单</t>
  </si>
  <si>
    <t>抽成，2026.3月销售额130117元，未达到15万元不计算抽成</t>
  </si>
  <si>
    <t>2026.4.3收款</t>
  </si>
  <si>
    <t>手动出账单</t>
  </si>
  <si>
    <t>2026.7.1收款64937.33元</t>
  </si>
  <si>
    <t>2026-02-01~2027-01-31</t>
  </si>
  <si>
    <t>2026-05-01~2026-07-31</t>
  </si>
  <si>
    <t>2026.4.30收款9999元，2026.5.29收款16174.90元</t>
  </si>
  <si>
    <t>2026.5.29收款16174.90元</t>
  </si>
  <si>
    <t>2026.7.22收款7160元</t>
  </si>
  <si>
    <t>2026.4.20收款4160元，2026.7.30收款4160元</t>
  </si>
  <si>
    <t>2026-03-23~2026-06-22</t>
  </si>
  <si>
    <t>2026.4.30收款10000元</t>
  </si>
  <si>
    <t>2026.4.20收款5996元，2026.4.30收款10000元</t>
  </si>
  <si>
    <t>2026-04-01~2027-03-31</t>
  </si>
  <si>
    <t>2026-03-15~2026-06-14</t>
  </si>
  <si>
    <t>2026.6.5收款</t>
  </si>
  <si>
    <t>2026.4.10收款26518.80元</t>
  </si>
  <si>
    <t>2026.4.10收款26518.80元，2026.5.29收到转款声明书和补充协议，仓库免租押金1680元抵租</t>
  </si>
  <si>
    <t>2025.12.31补充协议减免推广费3000元</t>
  </si>
  <si>
    <t>2026-03-12~2026-06-30</t>
  </si>
  <si>
    <t>2026.4.12收款</t>
  </si>
  <si>
    <t>CK-CW-015</t>
  </si>
  <si>
    <t>兰迪雅仓库</t>
  </si>
  <si>
    <t>2025.10.10收款800元，2025.10.31收款1000元</t>
  </si>
  <si>
    <t>手动出账单，未见合同</t>
  </si>
  <si>
    <t>暂定手动出账单，未见合同</t>
  </si>
  <si>
    <t>2026-01-10~2027-01-09</t>
  </si>
  <si>
    <t>2026.4.29收款51950元</t>
  </si>
  <si>
    <t>2026.4.29收款51950元，2026.7.25收款53650元</t>
  </si>
  <si>
    <t>2025.12.26收款27000元</t>
  </si>
  <si>
    <t>2026.2.6收款6000元</t>
  </si>
  <si>
    <t>2026.2.28收款6000元</t>
  </si>
  <si>
    <t>武汉聚腾鑫飞体育科技有限公司</t>
  </si>
  <si>
    <t>2026.7.20收款</t>
  </si>
  <si>
    <t>2026.6.30收款3600元</t>
  </si>
  <si>
    <t>JYF3-010</t>
  </si>
  <si>
    <t>刘宏</t>
  </si>
  <si>
    <t>摩趣邦</t>
  </si>
  <si>
    <t>2026-04-12~2026-07-11</t>
  </si>
  <si>
    <t>2026.4.10收款</t>
  </si>
  <si>
    <t>2026.5.7收款15000元</t>
  </si>
  <si>
    <t>2026-05-01~2026-06-30</t>
  </si>
  <si>
    <t xml:space="preserve">2026.5.7收款16000元 </t>
  </si>
  <si>
    <t>4F-4027,4F-4028</t>
  </si>
  <si>
    <t>衡阳树山文化传媒有限公司</t>
  </si>
  <si>
    <t>树山回声</t>
  </si>
  <si>
    <t>2025-07-01~2025-10-14</t>
  </si>
  <si>
    <t>2025.10.17收款</t>
  </si>
  <si>
    <t>GGW-SW-005</t>
  </si>
  <si>
    <t>京东家电-广告位</t>
  </si>
  <si>
    <t>2026-06-15</t>
  </si>
  <si>
    <t>2026.5.27收款14275元，2026.6.18收到SP活动发票725元抵租</t>
  </si>
  <si>
    <t>2026.5.27收款14275元</t>
  </si>
  <si>
    <t>2026.4.27收款35300元，2026.6.18收到SP活动发票700元抵租</t>
  </si>
  <si>
    <t>2026-05-06~2026-08-05</t>
  </si>
  <si>
    <t>2026.4.29收款</t>
  </si>
  <si>
    <t>2026-05-06~2027-05-05</t>
  </si>
  <si>
    <t>2026-03-15~2026-03-31</t>
  </si>
  <si>
    <t>2026.4.18收到27091.80元</t>
  </si>
  <si>
    <t>2026-03-15~2027-12-06</t>
  </si>
  <si>
    <t>2026.4.18收到27091.80元，2026.4.30收到50000元，2026.5.27收到75912.49元</t>
  </si>
  <si>
    <t>2026.5.27收到75912.49元</t>
  </si>
  <si>
    <t>1F-1053、1055</t>
  </si>
  <si>
    <t>2026.3.24收款</t>
  </si>
  <si>
    <t>2026-04-01~2026-03-31</t>
  </si>
  <si>
    <t>2026-05-10~2026-09-09</t>
  </si>
  <si>
    <t>2026.5.19收款60000元，2026.7.27收款60000元</t>
  </si>
  <si>
    <t>3F-3021A、3021B</t>
  </si>
  <si>
    <t>2026.4.26收款</t>
  </si>
  <si>
    <t>2025-11-21~2026-03-31</t>
  </si>
  <si>
    <t>2026.3.29收款</t>
  </si>
  <si>
    <t>2026-04-01~2026-07-31</t>
  </si>
  <si>
    <t>JYF5-004</t>
  </si>
  <si>
    <t>刘小花</t>
  </si>
  <si>
    <t>吧啦啦</t>
  </si>
  <si>
    <t>2026-07-16</t>
  </si>
  <si>
    <t>姚珊</t>
  </si>
  <si>
    <t>LENE(伶俐)</t>
  </si>
  <si>
    <t>2026.4.24收款61811元，2026.4.27收款59297.40元</t>
  </si>
  <si>
    <t>2025-08-01~2025-10-14</t>
  </si>
  <si>
    <t>2025-10-15~2025-10-31</t>
  </si>
  <si>
    <t>2025-11-01~2026-03-31</t>
  </si>
  <si>
    <t>3F-3009</t>
  </si>
  <si>
    <t>2025-07-01~2026-04-09</t>
  </si>
  <si>
    <t>序号</t>
  </si>
  <si>
    <t>收费项目</t>
  </si>
  <si>
    <t>应收金额</t>
  </si>
  <si>
    <t>多收金额</t>
  </si>
  <si>
    <t>收款日期</t>
  </si>
  <si>
    <t>二次收款金额</t>
  </si>
  <si>
    <t>调整金额</t>
  </si>
  <si>
    <t>已收金额合计</t>
  </si>
  <si>
    <t>备注</t>
  </si>
  <si>
    <t>能耗费</t>
  </si>
  <si>
    <t>电费</t>
  </si>
  <si>
    <t>奥尔良烤鸡（旧）</t>
  </si>
  <si>
    <t>夜市</t>
  </si>
  <si>
    <t>21</t>
  </si>
  <si>
    <t>奥尔良烤鸡腿，煎饼果子</t>
  </si>
  <si>
    <t>夜包子</t>
  </si>
  <si>
    <t>水费</t>
  </si>
  <si>
    <t>含博纳影院外广场南面灯箱6月电费92.14</t>
  </si>
  <si>
    <t>5F/广告</t>
  </si>
  <si>
    <t>广告灯箱</t>
  </si>
  <si>
    <t>博纳影院外广场南面灯箱8月电费</t>
  </si>
  <si>
    <t>博纳影院外广场南面灯箱9月电费</t>
  </si>
  <si>
    <t>1009AA</t>
  </si>
  <si>
    <t>5F多经</t>
  </si>
  <si>
    <t>2025.8.25收款1623.68元，剩余44.35元</t>
  </si>
  <si>
    <t>2025/9/22交款1550，余16.77</t>
  </si>
  <si>
    <t>2025/10/14缴款10月水电费1265元，余5.14</t>
  </si>
  <si>
    <t>水费159</t>
  </si>
  <si>
    <t>电费1241</t>
  </si>
  <si>
    <t>B1层</t>
  </si>
  <si>
    <t>5002A,5002B</t>
  </si>
  <si>
    <t>2009A</t>
  </si>
  <si>
    <t>大黎小齐</t>
  </si>
  <si>
    <t>GGW-SW-007</t>
  </si>
  <si>
    <t>D13</t>
  </si>
  <si>
    <t>福鼎肉片，酸辣粉</t>
  </si>
  <si>
    <t>02</t>
  </si>
  <si>
    <t>鸡翅包饭</t>
  </si>
  <si>
    <t>香酥炸鸡，鸭</t>
  </si>
  <si>
    <t>08</t>
  </si>
  <si>
    <t>烤冷面、手抓饼</t>
  </si>
  <si>
    <t>烤生蚝</t>
  </si>
  <si>
    <t>1012、1013</t>
  </si>
  <si>
    <t>肯德基</t>
  </si>
  <si>
    <t>3001、3002、3003</t>
  </si>
  <si>
    <t>10月份原抄表数885.实际835，12.17更改过来</t>
  </si>
  <si>
    <t>6006A</t>
  </si>
  <si>
    <t>GGW-SW-006</t>
  </si>
  <si>
    <t>烈火牛肉</t>
  </si>
  <si>
    <t>烈火牛肉，铁板鱿鱼（新位置）</t>
  </si>
  <si>
    <t>5025A</t>
  </si>
  <si>
    <t>卢渔翁</t>
  </si>
  <si>
    <t>2025-06-01~2025-07-29</t>
  </si>
  <si>
    <t>JYF5-006</t>
  </si>
  <si>
    <t>梅故事</t>
  </si>
  <si>
    <t>魅港国际名妆</t>
  </si>
  <si>
    <t>1001BA、1032</t>
  </si>
  <si>
    <t>瞄一瞄</t>
  </si>
  <si>
    <t>3.5F多经</t>
  </si>
  <si>
    <t>摩歇座</t>
  </si>
  <si>
    <t>2025-09-01~2025-09-31</t>
  </si>
  <si>
    <t>QTF3-003</t>
  </si>
  <si>
    <t>摩歇座3楼</t>
  </si>
  <si>
    <t>QTF3-005</t>
  </si>
  <si>
    <t>摩歇座3楼（读书郎附近）</t>
  </si>
  <si>
    <t>JYF5-001</t>
  </si>
  <si>
    <t>摩歇座5楼（吉布鲁附近）</t>
  </si>
  <si>
    <t>2025/6/25收款1000，余588.76</t>
  </si>
  <si>
    <t>2025/7/29收款500</t>
  </si>
  <si>
    <t>DJ-JYF3-006</t>
  </si>
  <si>
    <t>南沫</t>
  </si>
  <si>
    <t>南山大熊.鲜牛烤肉</t>
  </si>
  <si>
    <t>GGW-SW-009</t>
  </si>
  <si>
    <t>南山大熊·鲜牛烤肉广告灯箱</t>
  </si>
  <si>
    <t>2026.5.19已签终止协议</t>
  </si>
  <si>
    <t>1009AB</t>
  </si>
  <si>
    <t>柠檬茶/紫米饭团</t>
  </si>
  <si>
    <t>胖大厨</t>
  </si>
  <si>
    <t>QTF1-配套002</t>
  </si>
  <si>
    <t>2025.8.20收100</t>
  </si>
  <si>
    <t>QTF1-配套003</t>
  </si>
  <si>
    <t>2025.10.18交款150，余32.63元</t>
  </si>
  <si>
    <t>11.25收款200，余116.4</t>
  </si>
  <si>
    <t>4012、4013</t>
  </si>
  <si>
    <t>2025/9/17交款382元，余0.82</t>
  </si>
  <si>
    <t>2025.8.24收款1500元</t>
  </si>
  <si>
    <t>2025.10.23交款1000，余23.52</t>
  </si>
  <si>
    <t>11.17交760，余23.52</t>
  </si>
  <si>
    <t>2025.9.10交款790，余0.85</t>
  </si>
  <si>
    <t>暖冬古法烤梨，糖水</t>
  </si>
  <si>
    <t>串串麻辣烫</t>
  </si>
  <si>
    <t>QTF1-配套004</t>
  </si>
  <si>
    <t>2025.7.26收款200元</t>
  </si>
  <si>
    <t>11.26收100，余19.67</t>
  </si>
  <si>
    <t>5009A</t>
  </si>
  <si>
    <t>场外层</t>
  </si>
  <si>
    <t>07</t>
  </si>
  <si>
    <t>网红炒饭/炒面</t>
  </si>
  <si>
    <t>5021A</t>
  </si>
  <si>
    <t>2025.8.25收款1191.66，余79.02</t>
  </si>
  <si>
    <t>2025/9/17收款水费1500，余521.1</t>
  </si>
  <si>
    <t>2025.10.14收款水费1000，余258.24</t>
  </si>
  <si>
    <t>11.10交500，余440.3</t>
  </si>
  <si>
    <t>鲜肉饼</t>
  </si>
  <si>
    <t>鲜榨果汁，鸡蛋仔，链子胡</t>
  </si>
  <si>
    <t>2025.6.8收款1000元</t>
  </si>
  <si>
    <t>GGW-SW-008</t>
  </si>
  <si>
    <t>湘约绿草地广告灯箱</t>
  </si>
  <si>
    <t>5023A</t>
  </si>
  <si>
    <t>B13</t>
  </si>
  <si>
    <t>一元一串起现捞鸭脖</t>
  </si>
  <si>
    <t>游乐场（群有约）</t>
  </si>
  <si>
    <t>沅柒洞石锅拌饭</t>
  </si>
  <si>
    <t>01</t>
  </si>
  <si>
    <t>粤式牛杂</t>
  </si>
  <si>
    <t>新增往期账单</t>
  </si>
  <si>
    <t>章鱼先生/烤面筋</t>
  </si>
  <si>
    <t>09</t>
  </si>
  <si>
    <t>臭豆腐</t>
  </si>
  <si>
    <t>蒸湘夜市</t>
  </si>
  <si>
    <t>蒸湘夜市（草坪）</t>
  </si>
  <si>
    <t>保证金冲抵9281</t>
  </si>
  <si>
    <t>外广场</t>
  </si>
  <si>
    <t>正新鸡排</t>
  </si>
  <si>
    <t>YJF5-008</t>
  </si>
  <si>
    <t>中国福利彩票</t>
  </si>
  <si>
    <t>2025.8.29收款,剩余369.57元</t>
  </si>
  <si>
    <t>2025.10.25收款187元，余0.59</t>
  </si>
  <si>
    <t>删掉一个重复的</t>
  </si>
  <si>
    <t>1.9调整以前账单数</t>
  </si>
  <si>
    <t>向荣拳击</t>
  </si>
  <si>
    <t>南山大熊鲜牛烤肉（原缘老湘食位置）</t>
  </si>
  <si>
    <t>2026.2.7调整，前期多交调整</t>
  </si>
  <si>
    <t>2025.12.21</t>
  </si>
  <si>
    <t>5025B</t>
  </si>
  <si>
    <t>前期多交调整</t>
  </si>
  <si>
    <t>QTF1-004</t>
  </si>
  <si>
    <t>芬腾仓库</t>
  </si>
  <si>
    <t>CK-CW-001</t>
  </si>
  <si>
    <t>CK-CW-003</t>
  </si>
  <si>
    <t>暂无</t>
  </si>
  <si>
    <t>茶颜悦色（仓库）</t>
  </si>
  <si>
    <t>快乐街区2</t>
  </si>
  <si>
    <t>CK-CW-006</t>
  </si>
  <si>
    <t>名创优品1</t>
  </si>
  <si>
    <t>CK-CW-008</t>
  </si>
  <si>
    <t>贾安红</t>
  </si>
  <si>
    <t>CK-CW-011</t>
  </si>
  <si>
    <t>CK-CW-012</t>
  </si>
  <si>
    <t>CK-CW-013</t>
  </si>
  <si>
    <t>兰迪雅1号仓库(小CK)</t>
  </si>
  <si>
    <t>CK-CW-014</t>
  </si>
  <si>
    <t>南面幕墙（四楼二号井）</t>
  </si>
  <si>
    <t>博纳影院外广场南面灯箱</t>
  </si>
  <si>
    <t>QTF4-003（四楼）</t>
  </si>
  <si>
    <t>已拆铺</t>
  </si>
  <si>
    <t>QTF5-002（五楼影院附近）</t>
  </si>
  <si>
    <t>QTF5-003（五楼椰遇附近）</t>
  </si>
  <si>
    <t>发发桌球（一楼10.11号电梯前室）</t>
  </si>
  <si>
    <t>YXW1-002</t>
  </si>
  <si>
    <t>恒誉（三号门城堡）</t>
  </si>
  <si>
    <t>QTF1-002</t>
  </si>
  <si>
    <t>抖音直播</t>
  </si>
  <si>
    <t>抖音直播电表（一楼）</t>
  </si>
  <si>
    <t>学而思（三楼8,9号客梯附近）</t>
  </si>
  <si>
    <t>JYF5-008</t>
  </si>
  <si>
    <t>超级麦芽扭蛋机（牧司烤肉通道）</t>
  </si>
  <si>
    <t>自拍（一楼服务台附近）</t>
  </si>
  <si>
    <t>充气城堡（一楼阳光厅）</t>
  </si>
  <si>
    <t>充5000元，余907.24元</t>
  </si>
  <si>
    <t>中国联合网络通信有限公司湖南省分公司</t>
  </si>
  <si>
    <t>联通用电设备电费</t>
  </si>
  <si>
    <t>A1</t>
  </si>
  <si>
    <t>06</t>
  </si>
  <si>
    <t>冰豆花、芝士烤榴莲</t>
  </si>
  <si>
    <t>05</t>
  </si>
  <si>
    <t>04</t>
  </si>
  <si>
    <t>烧烤，鱿鱼，烤面筋</t>
  </si>
  <si>
    <t>糖葫芦，紫米饭团，柠檬茶</t>
  </si>
  <si>
    <t>E13</t>
  </si>
  <si>
    <t>C13</t>
  </si>
  <si>
    <t>章鱼小丸子、奶酪麻糍</t>
  </si>
  <si>
    <t>03</t>
  </si>
  <si>
    <t>一元寿司</t>
  </si>
  <si>
    <t>A13</t>
  </si>
  <si>
    <t>凉皮、拌粉、卤肉卷</t>
  </si>
  <si>
    <t>贝贝熊</t>
  </si>
  <si>
    <t>库迪咖啡</t>
  </si>
  <si>
    <t>快乐街区水吧</t>
  </si>
  <si>
    <t>萌宠乐园</t>
  </si>
  <si>
    <t>3021A</t>
  </si>
  <si>
    <t>三叶虫</t>
  </si>
  <si>
    <t>5002A/B</t>
  </si>
  <si>
    <t>兰江溪（原炊牛大烩）</t>
  </si>
  <si>
    <t>2026.2.6调整，前期多交调整</t>
  </si>
  <si>
    <t>5021-A</t>
  </si>
  <si>
    <t>5021B</t>
  </si>
  <si>
    <t>QTF5-001</t>
  </si>
  <si>
    <t>你好拌拌</t>
  </si>
  <si>
    <t>餐车</t>
  </si>
  <si>
    <t>B1001</t>
  </si>
  <si>
    <t>超市特卖-邹晓伟</t>
  </si>
  <si>
    <t>李厨小农民广告灯箱</t>
  </si>
  <si>
    <t>名创优品仓库</t>
  </si>
  <si>
    <t>2026.2.9调整，前期多交调整</t>
  </si>
  <si>
    <t>贾安红仓库</t>
  </si>
  <si>
    <t>炊牛大烩仓库</t>
  </si>
  <si>
    <t>用量5494，平摊给夜市22+1户</t>
  </si>
  <si>
    <t>电信用电设备电费</t>
  </si>
  <si>
    <t>E1F</t>
  </si>
  <si>
    <t>C1F</t>
  </si>
  <si>
    <t>恒誉（充气水池）</t>
  </si>
  <si>
    <t>1009A</t>
  </si>
  <si>
    <t>2026.2.12收款1000元，余1000.44元</t>
  </si>
  <si>
    <t>5021-B</t>
  </si>
  <si>
    <t>星聚会广告灯箱</t>
  </si>
  <si>
    <t>手机虾（一楼屈臣氏门口）</t>
  </si>
  <si>
    <t>新增</t>
  </si>
  <si>
    <t>盒马快闪店</t>
  </si>
  <si>
    <t>A16</t>
  </si>
  <si>
    <t>餐车1（夜市位置）</t>
  </si>
  <si>
    <t>餐车2（3号门对面）</t>
  </si>
  <si>
    <t>水表103.36已平摊给夜市22户+餐车共23户</t>
  </si>
  <si>
    <t>水表194.56已平摊给夜市22户+餐车共23户</t>
  </si>
  <si>
    <t>DJ-QTB1-XCH-001</t>
  </si>
  <si>
    <t>2026.3.20</t>
  </si>
  <si>
    <t>南山大熊</t>
  </si>
  <si>
    <t>星聚汇KTV</t>
  </si>
  <si>
    <t>发发桌球广告灯箱</t>
  </si>
  <si>
    <t>发发桌球电梯前室</t>
  </si>
  <si>
    <t>1009B/1010</t>
  </si>
  <si>
    <t>几多全1</t>
  </si>
  <si>
    <t>几多全2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</si>
</sst>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/m/d;@"/>
    <numFmt numFmtId="178" formatCode="[$-F800]dddd\,\ mmmm\ dd\,\ yyyy"/>
    <numFmt numFmtId="179" formatCode="0.00;[Red]0.00"/>
    <numFmt numFmtId="180" formatCode="0_ "/>
    <numFmt numFmtId="181" formatCode="[$-409]yyyy\-mm\-dd;@"/>
    <numFmt numFmtId="182" formatCode="yyyy&quot;年&quot;m&quot;月&quot;;@"/>
  </numFmts>
  <fonts count="41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10"/>
      <color theme="0"/>
      <name val="宋体"/>
      <charset val="134"/>
    </font>
    <font>
      <sz val="10"/>
      <color theme="1" tint="0.25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000000"/>
      <name val="微软雅黑"/>
      <charset val="134"/>
    </font>
    <font>
      <sz val="11"/>
      <name val="宋体"/>
      <charset val="134"/>
    </font>
    <font>
      <sz val="10"/>
      <color rgb="FFFF0000"/>
      <name val="微软雅黑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1"/>
      <color theme="0"/>
      <name val="微软雅黑"/>
      <charset val="134"/>
    </font>
    <font>
      <sz val="11"/>
      <color indexed="8"/>
      <name val="宋体"/>
      <charset val="134"/>
    </font>
    <font>
      <b/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0"/>
    </font>
    <font>
      <sz val="11"/>
      <color rgb="FF1D2129"/>
      <name val="宋体"/>
      <charset val="134"/>
    </font>
    <font>
      <sz val="11"/>
      <color rgb="FF1D2129"/>
      <name val="Helvetica"/>
      <charset val="134"/>
    </font>
  </fonts>
  <fills count="45">
    <fill>
      <patternFill patternType="none"/>
    </fill>
    <fill>
      <patternFill patternType="gray125"/>
    </fill>
    <fill>
      <patternFill patternType="solid">
        <fgColor theme="3" tint="0.399853511154515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3" tint="0.39991000294685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6" borderId="15" applyNumberFormat="0" applyAlignment="0" applyProtection="0">
      <alignment vertical="center"/>
    </xf>
    <xf numFmtId="0" fontId="28" fillId="17" borderId="16" applyNumberFormat="0" applyAlignment="0" applyProtection="0">
      <alignment vertical="center"/>
    </xf>
    <xf numFmtId="0" fontId="29" fillId="17" borderId="15" applyNumberFormat="0" applyAlignment="0" applyProtection="0">
      <alignment vertical="center"/>
    </xf>
    <xf numFmtId="0" fontId="30" fillId="18" borderId="17" applyNumberFormat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9" applyNumberFormat="0" applyFill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0" borderId="0">
      <alignment vertical="center"/>
    </xf>
    <xf numFmtId="0" fontId="0" fillId="0" borderId="0">
      <alignment vertical="center"/>
    </xf>
    <xf numFmtId="0" fontId="0" fillId="0" borderId="0"/>
  </cellStyleXfs>
  <cellXfs count="334">
    <xf numFmtId="0" fontId="0" fillId="0" borderId="0" xfId="0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0" fontId="1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7" fontId="1" fillId="0" borderId="0" xfId="0" applyNumberFormat="1" applyFont="1" applyFill="1" applyBorder="1" applyAlignment="1">
      <alignment horizontal="center" vertical="center"/>
    </xf>
    <xf numFmtId="43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vertical="center"/>
    </xf>
    <xf numFmtId="178" fontId="3" fillId="0" borderId="0" xfId="0" applyNumberFormat="1" applyFont="1" applyFill="1" applyAlignment="1"/>
    <xf numFmtId="0" fontId="4" fillId="2" borderId="1" xfId="50" applyNumberFormat="1" applyFont="1" applyFill="1" applyBorder="1" applyAlignment="1">
      <alignment horizontal="center" vertical="center"/>
    </xf>
    <xf numFmtId="0" fontId="4" fillId="2" borderId="1" xfId="50" applyNumberFormat="1" applyFont="1" applyFill="1" applyBorder="1" applyAlignment="1">
      <alignment horizontal="center" vertical="center" wrapText="1"/>
    </xf>
    <xf numFmtId="49" fontId="4" fillId="2" borderId="1" xfId="5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57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 wrapText="1"/>
    </xf>
    <xf numFmtId="49" fontId="3" fillId="0" borderId="1" xfId="49" applyNumberFormat="1" applyFont="1" applyFill="1" applyBorder="1" applyAlignment="1">
      <alignment horizontal="center" vertical="center"/>
    </xf>
    <xf numFmtId="57" fontId="3" fillId="0" borderId="1" xfId="49" applyNumberFormat="1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left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left" vertical="center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 wrapText="1"/>
    </xf>
    <xf numFmtId="176" fontId="4" fillId="2" borderId="1" xfId="50" applyNumberFormat="1" applyFont="1" applyFill="1" applyBorder="1" applyAlignment="1">
      <alignment horizontal="center" vertical="center"/>
    </xf>
    <xf numFmtId="177" fontId="4" fillId="2" borderId="1" xfId="50" applyNumberFormat="1" applyFont="1" applyFill="1" applyBorder="1" applyAlignment="1">
      <alignment horizontal="center" vertical="center"/>
    </xf>
    <xf numFmtId="179" fontId="4" fillId="2" borderId="1" xfId="50" applyNumberFormat="1" applyFont="1" applyFill="1" applyBorder="1" applyAlignment="1">
      <alignment horizontal="center" vertical="center"/>
    </xf>
    <xf numFmtId="177" fontId="4" fillId="2" borderId="2" xfId="50" applyNumberFormat="1" applyFont="1" applyFill="1" applyBorder="1" applyAlignment="1">
      <alignment horizontal="center" vertical="center"/>
    </xf>
    <xf numFmtId="177" fontId="4" fillId="2" borderId="3" xfId="5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6" fontId="2" fillId="0" borderId="1" xfId="49" applyNumberFormat="1" applyFont="1" applyFill="1" applyBorder="1" applyAlignment="1">
      <alignment horizontal="center" vertical="center"/>
    </xf>
    <xf numFmtId="176" fontId="3" fillId="0" borderId="1" xfId="49" applyNumberFormat="1" applyFont="1" applyFill="1" applyBorder="1" applyAlignment="1">
      <alignment horizontal="center" vertical="center"/>
    </xf>
    <xf numFmtId="180" fontId="2" fillId="0" borderId="1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179" fontId="3" fillId="0" borderId="1" xfId="49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 wrapText="1"/>
    </xf>
    <xf numFmtId="179" fontId="2" fillId="0" borderId="1" xfId="49" applyNumberFormat="1" applyFont="1" applyFill="1" applyBorder="1" applyAlignment="1">
      <alignment horizontal="center" vertical="center"/>
    </xf>
    <xf numFmtId="43" fontId="4" fillId="2" borderId="1" xfId="50" applyNumberFormat="1" applyFont="1" applyFill="1" applyBorder="1" applyAlignment="1">
      <alignment horizontal="center" vertical="center"/>
    </xf>
    <xf numFmtId="43" fontId="1" fillId="0" borderId="1" xfId="0" applyNumberFormat="1" applyFont="1" applyFill="1" applyBorder="1" applyAlignment="1">
      <alignment horizontal="center" vertical="center"/>
    </xf>
    <xf numFmtId="43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 wrapText="1"/>
    </xf>
    <xf numFmtId="0" fontId="2" fillId="0" borderId="1" xfId="49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49" fontId="2" fillId="0" borderId="1" xfId="49" applyNumberFormat="1" applyFont="1" applyFill="1" applyBorder="1" applyAlignment="1">
      <alignment horizontal="center" vertical="center"/>
    </xf>
    <xf numFmtId="3" fontId="1" fillId="0" borderId="1" xfId="0" applyNumberFormat="1" applyFont="1" applyFill="1" applyBorder="1" applyAlignment="1">
      <alignment horizontal="left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vertical="center"/>
    </xf>
    <xf numFmtId="0" fontId="3" fillId="0" borderId="1" xfId="51" applyFont="1" applyFill="1" applyBorder="1" applyAlignment="1">
      <alignment horizontal="center" vertical="center"/>
    </xf>
    <xf numFmtId="49" fontId="6" fillId="0" borderId="1" xfId="51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3" fontId="3" fillId="0" borderId="1" xfId="49" applyNumberFormat="1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vertical="center"/>
    </xf>
    <xf numFmtId="179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0" fontId="6" fillId="0" borderId="1" xfId="0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 shrinkToFit="1"/>
    </xf>
    <xf numFmtId="0" fontId="1" fillId="5" borderId="1" xfId="0" applyFont="1" applyFill="1" applyBorder="1">
      <alignment vertical="center"/>
    </xf>
    <xf numFmtId="0" fontId="6" fillId="0" borderId="1" xfId="0" applyFont="1" applyFill="1" applyBorder="1" applyAlignment="1" applyProtection="1">
      <alignment vertical="center" wrapText="1"/>
    </xf>
    <xf numFmtId="57" fontId="1" fillId="0" borderId="1" xfId="0" applyNumberFormat="1" applyFont="1" applyFill="1" applyBorder="1" applyAlignment="1">
      <alignment horizontal="left" vertical="center"/>
    </xf>
    <xf numFmtId="0" fontId="1" fillId="0" borderId="3" xfId="0" applyNumberFormat="1" applyFont="1" applyFill="1" applyBorder="1" applyAlignment="1">
      <alignment horizontal="left" vertical="center"/>
    </xf>
    <xf numFmtId="0" fontId="8" fillId="6" borderId="4" xfId="0" applyFont="1" applyFill="1" applyBorder="1" applyAlignment="1" applyProtection="1">
      <alignment horizontal="center" vertical="center" wrapText="1"/>
    </xf>
    <xf numFmtId="0" fontId="8" fillId="6" borderId="4" xfId="0" applyFont="1" applyFill="1" applyBorder="1" applyAlignment="1" applyProtection="1">
      <alignment horizontal="left" vertical="center" wrapText="1"/>
    </xf>
    <xf numFmtId="0" fontId="8" fillId="6" borderId="5" xfId="0" applyFont="1" applyFill="1" applyBorder="1" applyAlignment="1" applyProtection="1">
      <alignment horizontal="left" vertical="center" wrapText="1"/>
    </xf>
    <xf numFmtId="0" fontId="8" fillId="0" borderId="5" xfId="0" applyFont="1" applyFill="1" applyBorder="1" applyAlignment="1" applyProtection="1">
      <alignment horizontal="left" vertical="center" wrapText="1"/>
    </xf>
    <xf numFmtId="0" fontId="8" fillId="0" borderId="4" xfId="0" applyFont="1" applyFill="1" applyBorder="1" applyAlignment="1" applyProtection="1">
      <alignment horizontal="center" vertical="center" wrapText="1"/>
    </xf>
    <xf numFmtId="0" fontId="8" fillId="0" borderId="4" xfId="0" applyFont="1" applyFill="1" applyBorder="1" applyAlignment="1" applyProtection="1">
      <alignment horizontal="left" vertical="center" wrapText="1"/>
    </xf>
    <xf numFmtId="0" fontId="9" fillId="0" borderId="1" xfId="49" applyFont="1" applyFill="1" applyBorder="1" applyAlignment="1">
      <alignment horizontal="left"/>
    </xf>
    <xf numFmtId="0" fontId="10" fillId="0" borderId="4" xfId="0" applyFont="1" applyFill="1" applyBorder="1" applyAlignment="1" applyProtection="1">
      <alignment horizontal="left" vertical="center" wrapText="1"/>
    </xf>
    <xf numFmtId="0" fontId="10" fillId="0" borderId="5" xfId="0" applyFont="1" applyFill="1" applyBorder="1" applyAlignment="1" applyProtection="1">
      <alignment horizontal="left" vertical="center" wrapText="1"/>
    </xf>
    <xf numFmtId="0" fontId="6" fillId="0" borderId="1" xfId="0" applyFont="1" applyFill="1" applyBorder="1" applyAlignment="1" applyProtection="1">
      <alignment horizontal="left" vertical="center" wrapText="1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0" fillId="0" borderId="0" xfId="0" applyFont="1">
      <alignment vertical="center"/>
    </xf>
    <xf numFmtId="0" fontId="0" fillId="0" borderId="0" xfId="49" applyFont="1" applyAlignment="1"/>
    <xf numFmtId="0" fontId="0" fillId="0" borderId="0" xfId="49" applyFont="1" applyFill="1" applyAlignment="1"/>
    <xf numFmtId="0" fontId="11" fillId="0" borderId="0" xfId="49" applyFont="1" applyFill="1" applyAlignment="1"/>
    <xf numFmtId="0" fontId="0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1" fillId="4" borderId="0" xfId="0" applyFont="1" applyFill="1">
      <alignment vertical="center"/>
    </xf>
    <xf numFmtId="0" fontId="0" fillId="0" borderId="0" xfId="0" applyFont="1" applyFill="1" applyBorder="1">
      <alignment vertical="center"/>
    </xf>
    <xf numFmtId="0" fontId="11" fillId="0" borderId="0" xfId="0" applyFont="1" applyFill="1" applyBorder="1">
      <alignment vertical="center"/>
    </xf>
    <xf numFmtId="0" fontId="11" fillId="4" borderId="0" xfId="49" applyFont="1" applyFill="1" applyAlignment="1"/>
    <xf numFmtId="0" fontId="0" fillId="4" borderId="0" xfId="0" applyFont="1" applyFill="1">
      <alignment vertical="center"/>
    </xf>
    <xf numFmtId="0" fontId="0" fillId="4" borderId="0" xfId="49" applyFont="1" applyFill="1" applyAlignment="1"/>
    <xf numFmtId="0" fontId="11" fillId="7" borderId="0" xfId="0" applyFont="1" applyFill="1">
      <alignment vertical="center"/>
    </xf>
    <xf numFmtId="0" fontId="9" fillId="0" borderId="0" xfId="0" applyFont="1" applyFill="1" applyAlignment="1"/>
    <xf numFmtId="0" fontId="0" fillId="5" borderId="0" xfId="0" applyFont="1" applyFill="1">
      <alignment vertical="center"/>
    </xf>
    <xf numFmtId="0" fontId="11" fillId="0" borderId="0" xfId="49" applyFont="1" applyFill="1" applyBorder="1" applyAlignment="1"/>
    <xf numFmtId="0" fontId="11" fillId="4" borderId="0" xfId="49" applyFont="1" applyFill="1" applyBorder="1" applyAlignment="1"/>
    <xf numFmtId="0" fontId="11" fillId="7" borderId="0" xfId="49" applyFont="1" applyFill="1" applyBorder="1" applyAlignment="1"/>
    <xf numFmtId="0" fontId="12" fillId="0" borderId="0" xfId="0" applyFont="1" applyFill="1" applyAlignment="1">
      <alignment vertical="center"/>
    </xf>
    <xf numFmtId="0" fontId="11" fillId="8" borderId="0" xfId="49" applyFont="1" applyFill="1" applyAlignment="1"/>
    <xf numFmtId="0" fontId="11" fillId="8" borderId="0" xfId="0" applyFont="1" applyFill="1">
      <alignment vertical="center"/>
    </xf>
    <xf numFmtId="0" fontId="0" fillId="8" borderId="0" xfId="0" applyFont="1" applyFill="1">
      <alignment vertical="center"/>
    </xf>
    <xf numFmtId="0" fontId="11" fillId="8" borderId="0" xfId="49" applyFont="1" applyFill="1" applyBorder="1" applyAlignment="1"/>
    <xf numFmtId="0" fontId="0" fillId="0" borderId="0" xfId="0" applyFont="1" applyAlignment="1">
      <alignment horizontal="left" vertical="center"/>
    </xf>
    <xf numFmtId="43" fontId="0" fillId="0" borderId="0" xfId="0" applyNumberFormat="1" applyFont="1">
      <alignment vertical="center"/>
    </xf>
    <xf numFmtId="0" fontId="13" fillId="9" borderId="1" xfId="50" applyFont="1" applyFill="1" applyBorder="1" applyAlignment="1">
      <alignment horizontal="center" vertical="center"/>
    </xf>
    <xf numFmtId="0" fontId="13" fillId="9" borderId="1" xfId="50" applyFont="1" applyFill="1" applyBorder="1" applyAlignment="1">
      <alignment horizontal="left" vertical="center"/>
    </xf>
    <xf numFmtId="57" fontId="0" fillId="0" borderId="1" xfId="0" applyNumberFormat="1" applyFont="1" applyFill="1" applyBorder="1" applyAlignment="1">
      <alignment horizontal="left" vertical="center"/>
    </xf>
    <xf numFmtId="0" fontId="0" fillId="0" borderId="1" xfId="49" applyFont="1" applyFill="1" applyBorder="1" applyAlignment="1"/>
    <xf numFmtId="0" fontId="0" fillId="0" borderId="1" xfId="49" applyFont="1" applyFill="1" applyBorder="1" applyAlignment="1">
      <alignment horizontal="left"/>
    </xf>
    <xf numFmtId="0" fontId="12" fillId="0" borderId="1" xfId="0" applyFont="1" applyFill="1" applyBorder="1" applyAlignment="1">
      <alignment vertical="center"/>
    </xf>
    <xf numFmtId="177" fontId="0" fillId="0" borderId="1" xfId="49" applyNumberFormat="1" applyFont="1" applyFill="1" applyBorder="1" applyAlignment="1"/>
    <xf numFmtId="0" fontId="9" fillId="0" borderId="1" xfId="49" applyFont="1" applyFill="1" applyBorder="1" applyAlignment="1"/>
    <xf numFmtId="177" fontId="9" fillId="0" borderId="1" xfId="49" applyNumberFormat="1" applyFont="1" applyFill="1" applyBorder="1" applyAlignment="1"/>
    <xf numFmtId="57" fontId="12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14" fontId="12" fillId="0" borderId="1" xfId="0" applyNumberFormat="1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vertical="center"/>
    </xf>
    <xf numFmtId="57" fontId="11" fillId="0" borderId="1" xfId="0" applyNumberFormat="1" applyFont="1" applyFill="1" applyBorder="1" applyAlignment="1">
      <alignment horizontal="left" vertical="center"/>
    </xf>
    <xf numFmtId="0" fontId="14" fillId="0" borderId="1" xfId="49" applyFont="1" applyFill="1" applyBorder="1" applyAlignment="1"/>
    <xf numFmtId="43" fontId="15" fillId="0" borderId="0" xfId="0" applyNumberFormat="1" applyFont="1">
      <alignment vertical="center"/>
    </xf>
    <xf numFmtId="176" fontId="0" fillId="0" borderId="0" xfId="0" applyNumberFormat="1" applyFont="1">
      <alignment vertical="center"/>
    </xf>
    <xf numFmtId="43" fontId="13" fillId="9" borderId="1" xfId="50" applyNumberFormat="1" applyFont="1" applyFill="1" applyBorder="1" applyAlignment="1">
      <alignment horizontal="center" vertical="center" wrapText="1"/>
    </xf>
    <xf numFmtId="43" fontId="13" fillId="9" borderId="1" xfId="50" applyNumberFormat="1" applyFont="1" applyFill="1" applyBorder="1" applyAlignment="1">
      <alignment horizontal="center" vertical="center"/>
    </xf>
    <xf numFmtId="0" fontId="9" fillId="0" borderId="2" xfId="50" applyFont="1" applyFill="1" applyBorder="1" applyAlignment="1">
      <alignment vertical="center"/>
    </xf>
    <xf numFmtId="0" fontId="0" fillId="0" borderId="1" xfId="49" applyFont="1" applyBorder="1" applyAlignment="1">
      <alignment horizontal="center" vertical="center"/>
    </xf>
    <xf numFmtId="43" fontId="0" fillId="0" borderId="1" xfId="49" applyNumberFormat="1" applyFont="1" applyFill="1" applyBorder="1" applyAlignment="1"/>
    <xf numFmtId="43" fontId="0" fillId="0" borderId="1" xfId="0" applyNumberFormat="1" applyFont="1" applyFill="1" applyBorder="1">
      <alignment vertical="center"/>
    </xf>
    <xf numFmtId="0" fontId="0" fillId="0" borderId="2" xfId="49" applyFont="1" applyFill="1" applyBorder="1" applyAlignment="1"/>
    <xf numFmtId="43" fontId="9" fillId="0" borderId="1" xfId="49" applyNumberFormat="1" applyFont="1" applyFill="1" applyBorder="1" applyAlignment="1">
      <alignment horizontal="right"/>
    </xf>
    <xf numFmtId="0" fontId="11" fillId="0" borderId="2" xfId="49" applyFont="1" applyFill="1" applyBorder="1" applyAlignment="1"/>
    <xf numFmtId="0" fontId="11" fillId="0" borderId="1" xfId="49" applyFont="1" applyFill="1" applyBorder="1" applyAlignment="1"/>
    <xf numFmtId="43" fontId="12" fillId="0" borderId="1" xfId="0" applyNumberFormat="1" applyFont="1" applyFill="1" applyBorder="1" applyAlignment="1">
      <alignment vertical="center"/>
    </xf>
    <xf numFmtId="0" fontId="12" fillId="0" borderId="2" xfId="0" applyFont="1" applyFill="1" applyBorder="1" applyAlignment="1">
      <alignment vertical="center"/>
    </xf>
    <xf numFmtId="0" fontId="0" fillId="0" borderId="1" xfId="0" applyFont="1" applyFill="1" applyBorder="1">
      <alignment vertical="center"/>
    </xf>
    <xf numFmtId="43" fontId="9" fillId="0" borderId="1" xfId="49" applyNumberFormat="1" applyFont="1" applyFill="1" applyBorder="1" applyAlignment="1"/>
    <xf numFmtId="0" fontId="11" fillId="0" borderId="2" xfId="0" applyFont="1" applyFill="1" applyBorder="1">
      <alignment vertical="center"/>
    </xf>
    <xf numFmtId="0" fontId="11" fillId="0" borderId="1" xfId="0" applyFont="1" applyFill="1" applyBorder="1">
      <alignment vertical="center"/>
    </xf>
    <xf numFmtId="0" fontId="11" fillId="10" borderId="1" xfId="49" applyNumberFormat="1" applyFont="1" applyFill="1" applyBorder="1" applyAlignment="1"/>
    <xf numFmtId="0" fontId="11" fillId="0" borderId="1" xfId="49" applyNumberFormat="1" applyFont="1" applyFill="1" applyBorder="1" applyAlignment="1"/>
    <xf numFmtId="43" fontId="0" fillId="4" borderId="1" xfId="0" applyNumberFormat="1" applyFont="1" applyFill="1" applyBorder="1">
      <alignment vertical="center"/>
    </xf>
    <xf numFmtId="57" fontId="11" fillId="4" borderId="1" xfId="0" applyNumberFormat="1" applyFont="1" applyFill="1" applyBorder="1" applyAlignment="1">
      <alignment horizontal="left" vertical="center"/>
    </xf>
    <xf numFmtId="0" fontId="9" fillId="4" borderId="1" xfId="49" applyFont="1" applyFill="1" applyBorder="1" applyAlignment="1"/>
    <xf numFmtId="0" fontId="9" fillId="4" borderId="1" xfId="49" applyFont="1" applyFill="1" applyBorder="1" applyAlignment="1">
      <alignment horizontal="left"/>
    </xf>
    <xf numFmtId="177" fontId="9" fillId="4" borderId="1" xfId="49" applyNumberFormat="1" applyFont="1" applyFill="1" applyBorder="1" applyAlignment="1"/>
    <xf numFmtId="0" fontId="12" fillId="4" borderId="1" xfId="0" applyNumberFormat="1" applyFont="1" applyFill="1" applyBorder="1" applyAlignment="1">
      <alignment vertical="center"/>
    </xf>
    <xf numFmtId="0" fontId="14" fillId="0" borderId="1" xfId="49" applyFont="1" applyFill="1" applyBorder="1" applyAlignment="1">
      <alignment horizontal="left"/>
    </xf>
    <xf numFmtId="177" fontId="14" fillId="0" borderId="1" xfId="49" applyNumberFormat="1" applyFont="1" applyFill="1" applyBorder="1" applyAlignment="1"/>
    <xf numFmtId="0" fontId="9" fillId="0" borderId="1" xfId="49" applyNumberFormat="1" applyFont="1" applyFill="1" applyBorder="1" applyAlignment="1"/>
    <xf numFmtId="43" fontId="9" fillId="0" borderId="1" xfId="49" applyNumberFormat="1" applyFont="1" applyFill="1" applyBorder="1" applyAlignment="1">
      <alignment horizontal="right" vertical="center"/>
    </xf>
    <xf numFmtId="43" fontId="11" fillId="0" borderId="1" xfId="49" applyNumberFormat="1" applyFont="1" applyFill="1" applyBorder="1" applyAlignment="1">
      <alignment horizontal="right"/>
    </xf>
    <xf numFmtId="0" fontId="11" fillId="0" borderId="2" xfId="0" applyNumberFormat="1" applyFont="1" applyFill="1" applyBorder="1">
      <alignment vertical="center"/>
    </xf>
    <xf numFmtId="43" fontId="9" fillId="4" borderId="1" xfId="49" applyNumberFormat="1" applyFont="1" applyFill="1" applyBorder="1" applyAlignment="1"/>
    <xf numFmtId="0" fontId="11" fillId="4" borderId="2" xfId="0" applyFont="1" applyFill="1" applyBorder="1">
      <alignment vertical="center"/>
    </xf>
    <xf numFmtId="0" fontId="11" fillId="4" borderId="1" xfId="0" applyFont="1" applyFill="1" applyBorder="1">
      <alignment vertical="center"/>
    </xf>
    <xf numFmtId="43" fontId="0" fillId="0" borderId="1" xfId="49" applyNumberFormat="1" applyFont="1" applyFill="1" applyBorder="1" applyAlignment="1">
      <alignment horizontal="right"/>
    </xf>
    <xf numFmtId="43" fontId="14" fillId="0" borderId="1" xfId="49" applyNumberFormat="1" applyFont="1" applyFill="1" applyBorder="1" applyAlignment="1">
      <alignment horizontal="right"/>
    </xf>
    <xf numFmtId="43" fontId="0" fillId="0" borderId="1" xfId="0" applyNumberFormat="1" applyFont="1" applyFill="1" applyBorder="1" applyAlignment="1">
      <alignment vertical="center"/>
    </xf>
    <xf numFmtId="0" fontId="12" fillId="10" borderId="2" xfId="0" applyFont="1" applyFill="1" applyBorder="1" applyAlignment="1">
      <alignment vertical="center"/>
    </xf>
    <xf numFmtId="177" fontId="0" fillId="0" borderId="1" xfId="49" applyNumberFormat="1" applyFont="1" applyFill="1" applyBorder="1" applyAlignment="1">
      <alignment horizontal="left"/>
    </xf>
    <xf numFmtId="177" fontId="11" fillId="0" borderId="1" xfId="49" applyNumberFormat="1" applyFont="1" applyFill="1" applyBorder="1" applyAlignment="1">
      <alignment horizontal="left"/>
    </xf>
    <xf numFmtId="0" fontId="11" fillId="0" borderId="1" xfId="0" applyFont="1" applyFill="1" applyBorder="1" applyAlignment="1">
      <alignment horizontal="left" vertical="center"/>
    </xf>
    <xf numFmtId="0" fontId="0" fillId="0" borderId="1" xfId="49" applyNumberFormat="1" applyFont="1" applyFill="1" applyBorder="1" applyAlignment="1"/>
    <xf numFmtId="0" fontId="9" fillId="0" borderId="1" xfId="49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0" fontId="9" fillId="0" borderId="8" xfId="49" applyFont="1" applyFill="1" applyBorder="1" applyAlignment="1"/>
    <xf numFmtId="0" fontId="0" fillId="0" borderId="8" xfId="49" applyFont="1" applyFill="1" applyBorder="1" applyAlignment="1"/>
    <xf numFmtId="0" fontId="0" fillId="0" borderId="0" xfId="49" applyFont="1" applyFill="1" applyBorder="1" applyAlignment="1"/>
    <xf numFmtId="43" fontId="0" fillId="0" borderId="8" xfId="49" applyNumberFormat="1" applyFont="1" applyFill="1" applyBorder="1" applyAlignment="1"/>
    <xf numFmtId="43" fontId="9" fillId="0" borderId="8" xfId="49" applyNumberFormat="1" applyFont="1" applyFill="1" applyBorder="1" applyAlignment="1"/>
    <xf numFmtId="49" fontId="11" fillId="0" borderId="1" xfId="0" applyNumberFormat="1" applyFont="1" applyFill="1" applyBorder="1">
      <alignment vertical="center"/>
    </xf>
    <xf numFmtId="0" fontId="0" fillId="11" borderId="1" xfId="49" applyFont="1" applyFill="1" applyBorder="1" applyAlignment="1"/>
    <xf numFmtId="0" fontId="11" fillId="11" borderId="1" xfId="49" applyFont="1" applyFill="1" applyBorder="1" applyAlignment="1"/>
    <xf numFmtId="0" fontId="17" fillId="0" borderId="1" xfId="49" applyFont="1" applyFill="1" applyBorder="1" applyAlignment="1"/>
    <xf numFmtId="43" fontId="0" fillId="4" borderId="1" xfId="49" applyNumberFormat="1" applyFont="1" applyFill="1" applyBorder="1" applyAlignment="1"/>
    <xf numFmtId="43" fontId="0" fillId="7" borderId="1" xfId="49" applyNumberFormat="1" applyFont="1" applyFill="1" applyBorder="1" applyAlignment="1"/>
    <xf numFmtId="43" fontId="9" fillId="7" borderId="1" xfId="49" applyNumberFormat="1" applyFont="1" applyFill="1" applyBorder="1" applyAlignment="1">
      <alignment horizontal="right"/>
    </xf>
    <xf numFmtId="43" fontId="12" fillId="7" borderId="1" xfId="0" applyNumberFormat="1" applyFont="1" applyFill="1" applyBorder="1" applyAlignment="1">
      <alignment vertical="center"/>
    </xf>
    <xf numFmtId="0" fontId="0" fillId="0" borderId="2" xfId="49" applyNumberFormat="1" applyFont="1" applyFill="1" applyBorder="1" applyAlignment="1"/>
    <xf numFmtId="0" fontId="17" fillId="0" borderId="1" xfId="49" applyFont="1" applyFill="1" applyBorder="1" applyAlignment="1">
      <alignment horizontal="center" vertical="center"/>
    </xf>
    <xf numFmtId="0" fontId="11" fillId="10" borderId="2" xfId="0" applyFont="1" applyFill="1" applyBorder="1">
      <alignment vertical="center"/>
    </xf>
    <xf numFmtId="0" fontId="11" fillId="0" borderId="1" xfId="0" applyNumberFormat="1" applyFont="1" applyFill="1" applyBorder="1">
      <alignment vertical="center"/>
    </xf>
    <xf numFmtId="0" fontId="11" fillId="0" borderId="1" xfId="0" applyNumberFormat="1" applyFont="1" applyFill="1" applyBorder="1" applyAlignment="1">
      <alignment vertical="center"/>
    </xf>
    <xf numFmtId="0" fontId="9" fillId="0" borderId="1" xfId="49" applyFont="1" applyFill="1" applyBorder="1" applyAlignment="1">
      <alignment horizontal="left" vertical="center"/>
    </xf>
    <xf numFmtId="43" fontId="11" fillId="0" borderId="1" xfId="0" applyNumberFormat="1" applyFont="1" applyFill="1" applyBorder="1">
      <alignment vertical="center"/>
    </xf>
    <xf numFmtId="0" fontId="0" fillId="4" borderId="1" xfId="0" applyFont="1" applyFill="1" applyBorder="1">
      <alignment vertical="center"/>
    </xf>
    <xf numFmtId="177" fontId="11" fillId="4" borderId="1" xfId="49" applyNumberFormat="1" applyFont="1" applyFill="1" applyBorder="1" applyAlignment="1">
      <alignment horizontal="left"/>
    </xf>
    <xf numFmtId="0" fontId="11" fillId="4" borderId="1" xfId="49" applyFont="1" applyFill="1" applyBorder="1" applyAlignment="1"/>
    <xf numFmtId="177" fontId="11" fillId="4" borderId="1" xfId="49" applyNumberFormat="1" applyFont="1" applyFill="1" applyBorder="1" applyAlignment="1">
      <alignment horizontal="left" vertical="center"/>
    </xf>
    <xf numFmtId="0" fontId="11" fillId="4" borderId="1" xfId="49" applyFont="1" applyFill="1" applyBorder="1" applyAlignment="1">
      <alignment vertical="center"/>
    </xf>
    <xf numFmtId="0" fontId="0" fillId="4" borderId="1" xfId="49" applyFont="1" applyFill="1" applyBorder="1" applyAlignment="1">
      <alignment vertical="center"/>
    </xf>
    <xf numFmtId="57" fontId="12" fillId="4" borderId="1" xfId="0" applyNumberFormat="1" applyFont="1" applyFill="1" applyBorder="1" applyAlignment="1">
      <alignment horizontal="left" vertical="center"/>
    </xf>
    <xf numFmtId="0" fontId="0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vertical="center"/>
    </xf>
    <xf numFmtId="0" fontId="0" fillId="4" borderId="1" xfId="49" applyFont="1" applyFill="1" applyBorder="1" applyAlignment="1"/>
    <xf numFmtId="57" fontId="0" fillId="4" borderId="1" xfId="0" applyNumberFormat="1" applyFont="1" applyFill="1" applyBorder="1" applyAlignment="1">
      <alignment horizontal="left" vertical="center"/>
    </xf>
    <xf numFmtId="0" fontId="0" fillId="4" borderId="1" xfId="49" applyFont="1" applyFill="1" applyBorder="1" applyAlignment="1">
      <alignment horizontal="left"/>
    </xf>
    <xf numFmtId="43" fontId="14" fillId="4" borderId="1" xfId="49" applyNumberFormat="1" applyFont="1" applyFill="1" applyBorder="1" applyAlignment="1">
      <alignment horizontal="right"/>
    </xf>
    <xf numFmtId="43" fontId="0" fillId="4" borderId="1" xfId="49" applyNumberFormat="1" applyFont="1" applyFill="1" applyBorder="1" applyAlignment="1">
      <alignment horizontal="right"/>
    </xf>
    <xf numFmtId="43" fontId="11" fillId="4" borderId="1" xfId="49" applyNumberFormat="1" applyFont="1" applyFill="1" applyBorder="1" applyAlignment="1">
      <alignment horizontal="right"/>
    </xf>
    <xf numFmtId="43" fontId="9" fillId="4" borderId="1" xfId="49" applyNumberFormat="1" applyFont="1" applyFill="1" applyBorder="1" applyAlignment="1">
      <alignment horizontal="right"/>
    </xf>
    <xf numFmtId="0" fontId="11" fillId="4" borderId="2" xfId="49" applyFont="1" applyFill="1" applyBorder="1" applyAlignment="1"/>
    <xf numFmtId="43" fontId="9" fillId="4" borderId="1" xfId="49" applyNumberFormat="1" applyFont="1" applyFill="1" applyBorder="1" applyAlignment="1">
      <alignment vertical="center"/>
    </xf>
    <xf numFmtId="43" fontId="11" fillId="4" borderId="1" xfId="49" applyNumberFormat="1" applyFont="1" applyFill="1" applyBorder="1" applyAlignment="1">
      <alignment horizontal="right" vertical="center"/>
    </xf>
    <xf numFmtId="43" fontId="0" fillId="4" borderId="0" xfId="0" applyNumberFormat="1" applyFont="1" applyFill="1">
      <alignment vertical="center"/>
    </xf>
    <xf numFmtId="0" fontId="12" fillId="4" borderId="1" xfId="0" applyFont="1" applyFill="1" applyBorder="1" applyAlignment="1">
      <alignment vertical="center" wrapText="1"/>
    </xf>
    <xf numFmtId="43" fontId="12" fillId="4" borderId="1" xfId="0" applyNumberFormat="1" applyFont="1" applyFill="1" applyBorder="1" applyAlignment="1">
      <alignment vertical="center"/>
    </xf>
    <xf numFmtId="176" fontId="0" fillId="4" borderId="2" xfId="49" applyNumberFormat="1" applyFont="1" applyFill="1" applyBorder="1" applyAlignment="1"/>
    <xf numFmtId="176" fontId="0" fillId="0" borderId="2" xfId="49" applyNumberFormat="1" applyFont="1" applyFill="1" applyBorder="1" applyAlignment="1"/>
    <xf numFmtId="0" fontId="0" fillId="0" borderId="1" xfId="0" applyNumberFormat="1" applyFont="1" applyFill="1" applyBorder="1">
      <alignment vertical="center"/>
    </xf>
    <xf numFmtId="49" fontId="0" fillId="0" borderId="1" xfId="0" applyNumberFormat="1" applyFont="1" applyFill="1" applyBorder="1">
      <alignment vertical="center"/>
    </xf>
    <xf numFmtId="0" fontId="11" fillId="0" borderId="2" xfId="49" applyNumberFormat="1" applyFont="1" applyFill="1" applyBorder="1" applyAlignment="1"/>
    <xf numFmtId="0" fontId="0" fillId="0" borderId="0" xfId="0" applyNumberFormat="1" applyFont="1" applyFill="1">
      <alignment vertical="center"/>
    </xf>
    <xf numFmtId="0" fontId="0" fillId="0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vertical="center"/>
    </xf>
    <xf numFmtId="0" fontId="0" fillId="0" borderId="9" xfId="49" applyFont="1" applyFill="1" applyBorder="1" applyAlignment="1"/>
    <xf numFmtId="0" fontId="0" fillId="4" borderId="2" xfId="49" applyFont="1" applyFill="1" applyBorder="1" applyAlignment="1"/>
    <xf numFmtId="43" fontId="0" fillId="0" borderId="8" xfId="0" applyNumberFormat="1" applyFont="1" applyFill="1" applyBorder="1">
      <alignment vertical="center"/>
    </xf>
    <xf numFmtId="43" fontId="12" fillId="0" borderId="8" xfId="0" applyNumberFormat="1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0" fillId="0" borderId="8" xfId="0" applyFont="1" applyFill="1" applyBorder="1">
      <alignment vertical="center"/>
    </xf>
    <xf numFmtId="177" fontId="0" fillId="0" borderId="0" xfId="49" applyNumberFormat="1" applyFont="1" applyFill="1" applyAlignment="1"/>
    <xf numFmtId="57" fontId="11" fillId="7" borderId="1" xfId="0" applyNumberFormat="1" applyFont="1" applyFill="1" applyBorder="1" applyAlignment="1">
      <alignment horizontal="left" vertical="center"/>
    </xf>
    <xf numFmtId="0" fontId="9" fillId="7" borderId="1" xfId="49" applyFont="1" applyFill="1" applyBorder="1" applyAlignment="1"/>
    <xf numFmtId="0" fontId="9" fillId="7" borderId="1" xfId="49" applyFont="1" applyFill="1" applyBorder="1" applyAlignment="1">
      <alignment horizontal="left"/>
    </xf>
    <xf numFmtId="177" fontId="14" fillId="7" borderId="1" xfId="49" applyNumberFormat="1" applyFont="1" applyFill="1" applyBorder="1" applyAlignment="1"/>
    <xf numFmtId="0" fontId="0" fillId="7" borderId="1" xfId="49" applyFont="1" applyFill="1" applyBorder="1" applyAlignment="1"/>
    <xf numFmtId="43" fontId="9" fillId="7" borderId="1" xfId="49" applyNumberFormat="1" applyFont="1" applyFill="1" applyBorder="1" applyAlignment="1"/>
    <xf numFmtId="43" fontId="0" fillId="7" borderId="1" xfId="0" applyNumberFormat="1" applyFont="1" applyFill="1" applyBorder="1">
      <alignment vertical="center"/>
    </xf>
    <xf numFmtId="0" fontId="11" fillId="7" borderId="1" xfId="0" applyFont="1" applyFill="1" applyBorder="1">
      <alignment vertical="center"/>
    </xf>
    <xf numFmtId="0" fontId="9" fillId="0" borderId="1" xfId="49" applyFont="1" applyFill="1" applyBorder="1" applyAlignment="1">
      <alignment vertical="center"/>
    </xf>
    <xf numFmtId="177" fontId="14" fillId="0" borderId="1" xfId="49" applyNumberFormat="1" applyFont="1" applyFill="1" applyBorder="1" applyAlignment="1">
      <alignment vertical="center"/>
    </xf>
    <xf numFmtId="0" fontId="12" fillId="10" borderId="1" xfId="0" applyFont="1" applyFill="1" applyBorder="1" applyAlignment="1">
      <alignment vertical="center"/>
    </xf>
    <xf numFmtId="0" fontId="9" fillId="0" borderId="1" xfId="0" applyFont="1" applyFill="1" applyBorder="1" applyAlignment="1"/>
    <xf numFmtId="43" fontId="9" fillId="0" borderId="1" xfId="49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0" fillId="0" borderId="1" xfId="49" applyFont="1" applyFill="1" applyBorder="1" applyAlignment="1">
      <alignment vertical="center"/>
    </xf>
    <xf numFmtId="0" fontId="0" fillId="0" borderId="1" xfId="49" applyFont="1" applyFill="1" applyBorder="1" applyAlignment="1">
      <alignment horizontal="left" vertical="center"/>
    </xf>
    <xf numFmtId="57" fontId="0" fillId="5" borderId="1" xfId="0" applyNumberFormat="1" applyFont="1" applyFill="1" applyBorder="1" applyAlignment="1">
      <alignment horizontal="left" vertical="center"/>
    </xf>
    <xf numFmtId="0" fontId="0" fillId="5" borderId="1" xfId="0" applyFont="1" applyFill="1" applyBorder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49" applyFont="1" applyFill="1" applyBorder="1" applyAlignment="1"/>
    <xf numFmtId="177" fontId="14" fillId="5" borderId="1" xfId="49" applyNumberFormat="1" applyFont="1" applyFill="1" applyBorder="1" applyAlignment="1"/>
    <xf numFmtId="0" fontId="9" fillId="5" borderId="1" xfId="49" applyFont="1" applyFill="1" applyBorder="1" applyAlignment="1"/>
    <xf numFmtId="0" fontId="0" fillId="0" borderId="8" xfId="49" applyFont="1" applyFill="1" applyBorder="1" applyAlignment="1">
      <alignment horizontal="center" vertical="center" wrapText="1"/>
    </xf>
    <xf numFmtId="0" fontId="0" fillId="0" borderId="10" xfId="49" applyFont="1" applyFill="1" applyBorder="1" applyAlignment="1">
      <alignment horizontal="center" vertical="center" wrapText="1"/>
    </xf>
    <xf numFmtId="0" fontId="0" fillId="0" borderId="11" xfId="49" applyFont="1" applyFill="1" applyBorder="1" applyAlignment="1">
      <alignment horizontal="center" vertical="center" wrapText="1"/>
    </xf>
    <xf numFmtId="43" fontId="11" fillId="0" borderId="1" xfId="49" applyNumberFormat="1" applyFont="1" applyFill="1" applyBorder="1" applyAlignment="1"/>
    <xf numFmtId="43" fontId="0" fillId="0" borderId="1" xfId="49" applyNumberFormat="1" applyFont="1" applyFill="1" applyBorder="1" applyAlignment="1">
      <alignment vertical="center"/>
    </xf>
    <xf numFmtId="0" fontId="0" fillId="0" borderId="1" xfId="49" applyFont="1" applyFill="1" applyBorder="1" applyAlignment="1">
      <alignment wrapText="1"/>
    </xf>
    <xf numFmtId="43" fontId="0" fillId="5" borderId="1" xfId="0" applyNumberFormat="1" applyFont="1" applyFill="1" applyBorder="1">
      <alignment vertical="center"/>
    </xf>
    <xf numFmtId="0" fontId="11" fillId="0" borderId="1" xfId="49" applyFont="1" applyFill="1" applyBorder="1" applyAlignment="1">
      <alignment horizontal="left"/>
    </xf>
    <xf numFmtId="0" fontId="11" fillId="4" borderId="1" xfId="49" applyFont="1" applyFill="1" applyBorder="1" applyAlignment="1">
      <alignment horizontal="left"/>
    </xf>
    <xf numFmtId="181" fontId="9" fillId="0" borderId="1" xfId="49" applyNumberFormat="1" applyFont="1" applyFill="1" applyBorder="1" applyAlignment="1">
      <alignment horizontal="left"/>
    </xf>
    <xf numFmtId="181" fontId="9" fillId="4" borderId="1" xfId="49" applyNumberFormat="1" applyFont="1" applyFill="1" applyBorder="1" applyAlignment="1">
      <alignment horizontal="left"/>
    </xf>
    <xf numFmtId="43" fontId="11" fillId="4" borderId="1" xfId="49" applyNumberFormat="1" applyFont="1" applyFill="1" applyBorder="1" applyAlignment="1"/>
    <xf numFmtId="0" fontId="11" fillId="4" borderId="1" xfId="49" applyNumberFormat="1" applyFont="1" applyFill="1" applyBorder="1" applyAlignment="1"/>
    <xf numFmtId="0" fontId="11" fillId="0" borderId="3" xfId="49" applyFont="1" applyFill="1" applyBorder="1" applyAlignment="1"/>
    <xf numFmtId="0" fontId="11" fillId="7" borderId="1" xfId="49" applyFont="1" applyFill="1" applyBorder="1" applyAlignment="1"/>
    <xf numFmtId="0" fontId="11" fillId="7" borderId="1" xfId="49" applyFont="1" applyFill="1" applyBorder="1" applyAlignment="1">
      <alignment horizontal="left"/>
    </xf>
    <xf numFmtId="177" fontId="9" fillId="7" borderId="1" xfId="49" applyNumberFormat="1" applyFont="1" applyFill="1" applyBorder="1" applyAlignment="1"/>
    <xf numFmtId="0" fontId="11" fillId="0" borderId="1" xfId="49" applyFont="1" applyFill="1" applyBorder="1" applyAlignment="1">
      <alignment vertical="center"/>
    </xf>
    <xf numFmtId="0" fontId="11" fillId="0" borderId="1" xfId="49" applyFont="1" applyFill="1" applyBorder="1" applyAlignment="1">
      <alignment horizontal="left" vertical="center"/>
    </xf>
    <xf numFmtId="177" fontId="9" fillId="0" borderId="1" xfId="49" applyNumberFormat="1" applyFont="1" applyFill="1" applyBorder="1" applyAlignment="1">
      <alignment vertical="center"/>
    </xf>
    <xf numFmtId="0" fontId="0" fillId="0" borderId="1" xfId="0" applyFont="1" applyBorder="1">
      <alignment vertical="center"/>
    </xf>
    <xf numFmtId="43" fontId="11" fillId="7" borderId="1" xfId="49" applyNumberFormat="1" applyFont="1" applyFill="1" applyBorder="1" applyAlignment="1"/>
    <xf numFmtId="0" fontId="11" fillId="7" borderId="1" xfId="49" applyNumberFormat="1" applyFont="1" applyFill="1" applyBorder="1" applyAlignment="1"/>
    <xf numFmtId="0" fontId="11" fillId="7" borderId="3" xfId="49" applyFont="1" applyFill="1" applyBorder="1" applyAlignment="1"/>
    <xf numFmtId="0" fontId="11" fillId="4" borderId="3" xfId="49" applyFont="1" applyFill="1" applyBorder="1" applyAlignment="1"/>
    <xf numFmtId="43" fontId="11" fillId="0" borderId="1" xfId="49" applyNumberFormat="1" applyFont="1" applyFill="1" applyBorder="1" applyAlignment="1">
      <alignment vertical="center"/>
    </xf>
    <xf numFmtId="0" fontId="11" fillId="4" borderId="1" xfId="49" applyNumberFormat="1" applyFont="1" applyFill="1" applyBorder="1" applyAlignment="1">
      <alignment wrapText="1"/>
    </xf>
    <xf numFmtId="0" fontId="11" fillId="0" borderId="11" xfId="49" applyNumberFormat="1" applyFont="1" applyFill="1" applyBorder="1" applyAlignment="1"/>
    <xf numFmtId="0" fontId="18" fillId="0" borderId="1" xfId="51" applyFont="1" applyFill="1" applyBorder="1" applyAlignment="1">
      <alignment horizontal="left" vertical="center"/>
    </xf>
    <xf numFmtId="0" fontId="11" fillId="0" borderId="1" xfId="51" applyFont="1" applyFill="1" applyBorder="1" applyAlignment="1">
      <alignment horizontal="left" vertical="center"/>
    </xf>
    <xf numFmtId="0" fontId="0" fillId="0" borderId="1" xfId="52" applyFont="1" applyFill="1" applyBorder="1"/>
    <xf numFmtId="0" fontId="11" fillId="0" borderId="3" xfId="0" applyFont="1" applyFill="1" applyBorder="1">
      <alignment vertical="center"/>
    </xf>
    <xf numFmtId="43" fontId="14" fillId="12" borderId="1" xfId="49" applyNumberFormat="1" applyFont="1" applyFill="1" applyBorder="1" applyAlignment="1">
      <alignment horizontal="right"/>
    </xf>
    <xf numFmtId="43" fontId="9" fillId="12" borderId="1" xfId="49" applyNumberFormat="1" applyFont="1" applyFill="1" applyBorder="1" applyAlignment="1"/>
    <xf numFmtId="43" fontId="0" fillId="0" borderId="1" xfId="0" applyNumberFormat="1" applyFont="1" applyBorder="1">
      <alignment vertical="center"/>
    </xf>
    <xf numFmtId="0" fontId="0" fillId="0" borderId="1" xfId="0" applyFont="1" applyFill="1" applyBorder="1" applyAlignment="1">
      <alignment vertical="center"/>
    </xf>
    <xf numFmtId="0" fontId="0" fillId="4" borderId="1" xfId="0" applyFont="1" applyFill="1" applyBorder="1" applyAlignment="1">
      <alignment vertical="center"/>
    </xf>
    <xf numFmtId="0" fontId="0" fillId="0" borderId="2" xfId="0" applyFont="1" applyBorder="1">
      <alignment vertical="center"/>
    </xf>
    <xf numFmtId="43" fontId="0" fillId="4" borderId="1" xfId="0" applyNumberFormat="1" applyFont="1" applyFill="1" applyBorder="1" applyAlignment="1">
      <alignment vertical="center"/>
    </xf>
    <xf numFmtId="0" fontId="0" fillId="4" borderId="2" xfId="0" applyFont="1" applyFill="1" applyBorder="1">
      <alignment vertical="center"/>
    </xf>
    <xf numFmtId="57" fontId="12" fillId="13" borderId="1" xfId="0" applyNumberFormat="1" applyFont="1" applyFill="1" applyBorder="1" applyAlignment="1">
      <alignment horizontal="left" vertical="center"/>
    </xf>
    <xf numFmtId="0" fontId="12" fillId="13" borderId="1" xfId="0" applyFont="1" applyFill="1" applyBorder="1" applyAlignment="1">
      <alignment vertical="center"/>
    </xf>
    <xf numFmtId="57" fontId="12" fillId="14" borderId="1" xfId="0" applyNumberFormat="1" applyFont="1" applyFill="1" applyBorder="1" applyAlignment="1">
      <alignment horizontal="left" vertical="center"/>
    </xf>
    <xf numFmtId="0" fontId="12" fillId="14" borderId="1" xfId="0" applyFont="1" applyFill="1" applyBorder="1" applyAlignment="1">
      <alignment vertical="center"/>
    </xf>
    <xf numFmtId="0" fontId="11" fillId="7" borderId="2" xfId="0" applyFont="1" applyFill="1" applyBorder="1">
      <alignment vertical="center"/>
    </xf>
    <xf numFmtId="43" fontId="12" fillId="13" borderId="1" xfId="0" applyNumberFormat="1" applyFont="1" applyFill="1" applyBorder="1" applyAlignment="1">
      <alignment vertical="center"/>
    </xf>
    <xf numFmtId="43" fontId="12" fillId="14" borderId="1" xfId="0" applyNumberFormat="1" applyFont="1" applyFill="1" applyBorder="1" applyAlignment="1">
      <alignment vertical="center"/>
    </xf>
    <xf numFmtId="43" fontId="0" fillId="0" borderId="1" xfId="0" applyNumberFormat="1" applyFont="1" applyBorder="1" applyAlignment="1">
      <alignment vertical="center"/>
    </xf>
    <xf numFmtId="0" fontId="0" fillId="4" borderId="1" xfId="0" applyFont="1" applyFill="1" applyBorder="1" applyAlignment="1">
      <alignment vertical="center" wrapText="1"/>
    </xf>
    <xf numFmtId="0" fontId="11" fillId="14" borderId="1" xfId="49" applyFont="1" applyFill="1" applyBorder="1" applyAlignment="1"/>
    <xf numFmtId="0" fontId="11" fillId="14" borderId="1" xfId="49" applyFont="1" applyFill="1" applyBorder="1" applyAlignment="1">
      <alignment horizontal="left"/>
    </xf>
    <xf numFmtId="0" fontId="9" fillId="14" borderId="1" xfId="49" applyFont="1" applyFill="1" applyBorder="1" applyAlignment="1"/>
    <xf numFmtId="0" fontId="11" fillId="4" borderId="1" xfId="0" applyFont="1" applyFill="1" applyBorder="1" applyAlignment="1">
      <alignment horizontal="left" vertical="center"/>
    </xf>
    <xf numFmtId="182" fontId="12" fillId="0" borderId="1" xfId="0" applyNumberFormat="1" applyFont="1" applyFill="1" applyBorder="1" applyAlignment="1">
      <alignment horizontal="left" vertical="center"/>
    </xf>
    <xf numFmtId="43" fontId="0" fillId="14" borderId="1" xfId="49" applyNumberFormat="1" applyFont="1" applyFill="1" applyBorder="1" applyAlignment="1"/>
    <xf numFmtId="176" fontId="9" fillId="14" borderId="1" xfId="49" applyNumberFormat="1" applyFont="1" applyFill="1" applyBorder="1" applyAlignment="1"/>
    <xf numFmtId="43" fontId="9" fillId="14" borderId="1" xfId="49" applyNumberFormat="1" applyFont="1" applyFill="1" applyBorder="1" applyAlignment="1"/>
    <xf numFmtId="43" fontId="0" fillId="4" borderId="8" xfId="0" applyNumberFormat="1" applyFont="1" applyFill="1" applyBorder="1">
      <alignment vertical="center"/>
    </xf>
    <xf numFmtId="0" fontId="0" fillId="4" borderId="8" xfId="0" applyFont="1" applyFill="1" applyBorder="1">
      <alignment vertical="center"/>
    </xf>
    <xf numFmtId="182" fontId="12" fillId="4" borderId="1" xfId="0" applyNumberFormat="1" applyFont="1" applyFill="1" applyBorder="1" applyAlignment="1">
      <alignment horizontal="left" vertical="center"/>
    </xf>
    <xf numFmtId="0" fontId="11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57" fontId="0" fillId="8" borderId="1" xfId="0" applyNumberFormat="1" applyFont="1" applyFill="1" applyBorder="1" applyAlignment="1">
      <alignment horizontal="left" vertical="center"/>
    </xf>
    <xf numFmtId="0" fontId="9" fillId="8" borderId="1" xfId="49" applyFont="1" applyFill="1" applyBorder="1" applyAlignment="1"/>
    <xf numFmtId="0" fontId="9" fillId="8" borderId="1" xfId="49" applyFont="1" applyFill="1" applyBorder="1" applyAlignment="1">
      <alignment horizontal="left"/>
    </xf>
    <xf numFmtId="177" fontId="14" fillId="8" borderId="1" xfId="49" applyNumberFormat="1" applyFont="1" applyFill="1" applyBorder="1" applyAlignment="1"/>
    <xf numFmtId="0" fontId="0" fillId="8" borderId="1" xfId="49" applyFont="1" applyFill="1" applyBorder="1" applyAlignment="1"/>
    <xf numFmtId="0" fontId="0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vertical="center"/>
    </xf>
    <xf numFmtId="57" fontId="11" fillId="8" borderId="1" xfId="0" applyNumberFormat="1" applyFont="1" applyFill="1" applyBorder="1" applyAlignment="1">
      <alignment horizontal="left" vertical="center"/>
    </xf>
    <xf numFmtId="0" fontId="11" fillId="8" borderId="1" xfId="49" applyFont="1" applyFill="1" applyBorder="1" applyAlignment="1"/>
    <xf numFmtId="0" fontId="11" fillId="8" borderId="1" xfId="49" applyFont="1" applyFill="1" applyBorder="1" applyAlignment="1">
      <alignment horizontal="left"/>
    </xf>
    <xf numFmtId="177" fontId="9" fillId="8" borderId="1" xfId="49" applyNumberFormat="1" applyFont="1" applyFill="1" applyBorder="1" applyAlignment="1"/>
    <xf numFmtId="57" fontId="0" fillId="0" borderId="1" xfId="0" applyNumberFormat="1" applyFont="1" applyBorder="1" applyAlignment="1">
      <alignment horizontal="left" vertical="center"/>
    </xf>
    <xf numFmtId="43" fontId="9" fillId="8" borderId="1" xfId="49" applyNumberFormat="1" applyFont="1" applyFill="1" applyBorder="1" applyAlignment="1">
      <alignment horizontal="right"/>
    </xf>
    <xf numFmtId="43" fontId="0" fillId="8" borderId="1" xfId="49" applyNumberFormat="1" applyFont="1" applyFill="1" applyBorder="1" applyAlignment="1"/>
    <xf numFmtId="43" fontId="0" fillId="8" borderId="1" xfId="0" applyNumberFormat="1" applyFont="1" applyFill="1" applyBorder="1">
      <alignment vertical="center"/>
    </xf>
    <xf numFmtId="0" fontId="0" fillId="8" borderId="1" xfId="0" applyFont="1" applyFill="1" applyBorder="1">
      <alignment vertical="center"/>
    </xf>
    <xf numFmtId="43" fontId="9" fillId="8" borderId="1" xfId="49" applyNumberFormat="1" applyFont="1" applyFill="1" applyBorder="1" applyAlignment="1"/>
    <xf numFmtId="0" fontId="11" fillId="8" borderId="1" xfId="0" applyFont="1" applyFill="1" applyBorder="1">
      <alignment vertical="center"/>
    </xf>
    <xf numFmtId="43" fontId="12" fillId="8" borderId="1" xfId="0" applyNumberFormat="1" applyFont="1" applyFill="1" applyBorder="1" applyAlignment="1">
      <alignment vertical="center"/>
    </xf>
    <xf numFmtId="43" fontId="11" fillId="8" borderId="1" xfId="49" applyNumberFormat="1" applyFont="1" applyFill="1" applyBorder="1" applyAlignment="1"/>
    <xf numFmtId="0" fontId="11" fillId="8" borderId="1" xfId="49" applyNumberFormat="1" applyFont="1" applyFill="1" applyBorder="1" applyAlignment="1"/>
    <xf numFmtId="0" fontId="11" fillId="8" borderId="3" xfId="49" applyFont="1" applyFill="1" applyBorder="1" applyAlignment="1"/>
    <xf numFmtId="14" fontId="0" fillId="0" borderId="1" xfId="0" applyNumberFormat="1" applyFont="1" applyBorder="1" applyAlignment="1">
      <alignment horizontal="left" vertical="center"/>
    </xf>
    <xf numFmtId="0" fontId="1" fillId="0" borderId="1" xfId="0" applyNumberFormat="1" applyFont="1" applyFill="1" applyBorder="1" applyAlignment="1" quotePrefix="1">
      <alignment horizontal="left" vertical="center"/>
    </xf>
    <xf numFmtId="0" fontId="8" fillId="0" borderId="4" xfId="0" applyFont="1" applyFill="1" applyBorder="1" applyAlignment="1" applyProtection="1" quotePrefix="1">
      <alignment horizontal="left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2" xfId="50"/>
    <cellStyle name="常规 11 10" xfId="51"/>
    <cellStyle name="常规 12 7" xf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112"/>
  <sheetViews>
    <sheetView tabSelected="1" zoomScale="90" zoomScaleNormal="90" workbookViewId="0">
      <selection activeCell="F1" sqref="F$1:F$1048576"/>
    </sheetView>
  </sheetViews>
  <sheetFormatPr defaultColWidth="9.025" defaultRowHeight="13.5"/>
  <cols>
    <col min="1" max="1" width="12.625" style="107" customWidth="1"/>
    <col min="2" max="2" width="6.525" style="84" customWidth="1"/>
    <col min="3" max="3" width="19.8583333333333" style="107" customWidth="1"/>
    <col min="4" max="4" width="35.275" style="84" customWidth="1"/>
    <col min="5" max="5" width="28.75" style="84" customWidth="1"/>
    <col min="6" max="6" width="15.1416666666667" style="107" customWidth="1"/>
    <col min="7" max="7" width="23.75" style="84" customWidth="1"/>
    <col min="8" max="8" width="16.125" style="84" customWidth="1"/>
    <col min="9" max="9" width="19.025" style="108" customWidth="1"/>
    <col min="10" max="10" width="12.3333333333333" style="108" customWidth="1"/>
    <col min="11" max="11" width="16.525" style="108" customWidth="1"/>
    <col min="12" max="12" width="15.1333333333333" style="108" customWidth="1"/>
    <col min="13" max="13" width="10.6916666666667" style="108" customWidth="1"/>
    <col min="14" max="14" width="14.725" style="108" customWidth="1"/>
    <col min="15" max="15" width="89.4416666666667" style="84" customWidth="1"/>
    <col min="16" max="16" width="23.6083333333333" style="84" customWidth="1"/>
    <col min="17" max="19" width="10.3833333333333" style="84" customWidth="1"/>
    <col min="20" max="20" width="11.5" style="84" customWidth="1"/>
    <col min="21" max="22" width="9.025" style="84" customWidth="1"/>
    <col min="23" max="16382" width="9.025" style="84"/>
  </cols>
  <sheetData>
    <row r="1" s="84" customFormat="1" ht="15" spans="1:16383">
      <c r="A1" s="107"/>
      <c r="C1" s="107"/>
      <c r="F1" s="107"/>
      <c r="I1" s="124">
        <f t="shared" ref="I1:N1" si="0">SUBTOTAL(9,I3:I7449)</f>
        <v>22098002.959</v>
      </c>
      <c r="J1" s="124">
        <f t="shared" si="0"/>
        <v>348009.4</v>
      </c>
      <c r="K1" s="124">
        <f t="shared" si="0"/>
        <v>21749993.559</v>
      </c>
      <c r="L1" s="124">
        <f t="shared" si="0"/>
        <v>21562862.889</v>
      </c>
      <c r="M1" s="124">
        <f t="shared" si="0"/>
        <v>2172.18</v>
      </c>
      <c r="N1" s="124">
        <f t="shared" si="0"/>
        <v>187130.67</v>
      </c>
      <c r="O1" s="125"/>
      <c r="XFC1"/>
    </row>
    <row r="2" s="85" customFormat="1" ht="38" customHeight="1" spans="1:16">
      <c r="A2" s="109" t="s">
        <v>0</v>
      </c>
      <c r="B2" s="109" t="s">
        <v>1</v>
      </c>
      <c r="C2" s="110" t="s">
        <v>2</v>
      </c>
      <c r="D2" s="109" t="s">
        <v>3</v>
      </c>
      <c r="E2" s="109" t="s">
        <v>4</v>
      </c>
      <c r="F2" s="109" t="s">
        <v>5</v>
      </c>
      <c r="G2" s="109" t="s">
        <v>6</v>
      </c>
      <c r="H2" s="109" t="s">
        <v>7</v>
      </c>
      <c r="I2" s="126" t="s">
        <v>8</v>
      </c>
      <c r="J2" s="126" t="s">
        <v>9</v>
      </c>
      <c r="K2" s="126" t="s">
        <v>10</v>
      </c>
      <c r="L2" s="127" t="s">
        <v>11</v>
      </c>
      <c r="M2" s="127" t="s">
        <v>12</v>
      </c>
      <c r="N2" s="127" t="s">
        <v>13</v>
      </c>
      <c r="O2" s="128" t="s">
        <v>14</v>
      </c>
      <c r="P2" s="129" t="s">
        <v>15</v>
      </c>
    </row>
    <row r="3" s="86" customFormat="1" spans="1:16">
      <c r="A3" s="111">
        <v>45839</v>
      </c>
      <c r="B3" s="112" t="s">
        <v>16</v>
      </c>
      <c r="C3" s="113" t="s">
        <v>17</v>
      </c>
      <c r="D3" s="112" t="s">
        <v>18</v>
      </c>
      <c r="E3" s="114" t="s">
        <v>19</v>
      </c>
      <c r="F3" s="115">
        <v>45824</v>
      </c>
      <c r="G3" s="112" t="s">
        <v>20</v>
      </c>
      <c r="H3" s="112" t="s">
        <v>21</v>
      </c>
      <c r="I3" s="130">
        <v>9780</v>
      </c>
      <c r="J3" s="130">
        <v>0</v>
      </c>
      <c r="K3" s="130">
        <v>9780</v>
      </c>
      <c r="L3" s="130">
        <v>9780</v>
      </c>
      <c r="M3" s="130"/>
      <c r="N3" s="131">
        <f t="shared" ref="N3:N66" si="1">K3-L3</f>
        <v>0</v>
      </c>
      <c r="O3" s="132" t="s">
        <v>22</v>
      </c>
      <c r="P3" s="112"/>
    </row>
    <row r="4" s="86" customFormat="1" spans="1:16">
      <c r="A4" s="111">
        <v>45839</v>
      </c>
      <c r="B4" s="112" t="s">
        <v>16</v>
      </c>
      <c r="C4" s="113" t="s">
        <v>17</v>
      </c>
      <c r="D4" s="112" t="s">
        <v>18</v>
      </c>
      <c r="E4" s="114" t="s">
        <v>19</v>
      </c>
      <c r="F4" s="115">
        <v>45824</v>
      </c>
      <c r="G4" s="112" t="s">
        <v>20</v>
      </c>
      <c r="H4" s="112" t="s">
        <v>23</v>
      </c>
      <c r="I4" s="130">
        <v>9780</v>
      </c>
      <c r="J4" s="130">
        <v>0</v>
      </c>
      <c r="K4" s="130">
        <v>9780</v>
      </c>
      <c r="L4" s="130">
        <v>9780</v>
      </c>
      <c r="M4" s="130"/>
      <c r="N4" s="131">
        <f t="shared" si="1"/>
        <v>0</v>
      </c>
      <c r="O4" s="132" t="s">
        <v>22</v>
      </c>
      <c r="P4" s="112"/>
    </row>
    <row r="5" s="87" customFormat="1" spans="1:16">
      <c r="A5" s="111">
        <v>45870</v>
      </c>
      <c r="B5" s="116" t="s">
        <v>16</v>
      </c>
      <c r="C5" s="78" t="s">
        <v>17</v>
      </c>
      <c r="D5" s="116" t="s">
        <v>18</v>
      </c>
      <c r="E5" s="114" t="s">
        <v>19</v>
      </c>
      <c r="F5" s="117">
        <v>45886</v>
      </c>
      <c r="G5" s="116" t="s">
        <v>24</v>
      </c>
      <c r="H5" s="116" t="s">
        <v>23</v>
      </c>
      <c r="I5" s="133">
        <v>9780</v>
      </c>
      <c r="J5" s="133">
        <v>0</v>
      </c>
      <c r="K5" s="133">
        <f>I5-J5</f>
        <v>9780</v>
      </c>
      <c r="L5" s="133">
        <v>9780</v>
      </c>
      <c r="M5" s="133"/>
      <c r="N5" s="131">
        <f t="shared" si="1"/>
        <v>0</v>
      </c>
      <c r="O5" s="134" t="s">
        <v>25</v>
      </c>
      <c r="P5" s="135"/>
    </row>
    <row r="6" s="87" customFormat="1" spans="1:16">
      <c r="A6" s="111">
        <v>45870</v>
      </c>
      <c r="B6" s="116" t="s">
        <v>16</v>
      </c>
      <c r="C6" s="78" t="s">
        <v>17</v>
      </c>
      <c r="D6" s="116" t="s">
        <v>18</v>
      </c>
      <c r="E6" s="114" t="s">
        <v>19</v>
      </c>
      <c r="F6" s="117">
        <v>45886</v>
      </c>
      <c r="G6" s="116" t="s">
        <v>24</v>
      </c>
      <c r="H6" s="116" t="s">
        <v>21</v>
      </c>
      <c r="I6" s="133">
        <v>9780</v>
      </c>
      <c r="J6" s="133">
        <v>0</v>
      </c>
      <c r="K6" s="133">
        <f>I6-J6</f>
        <v>9780</v>
      </c>
      <c r="L6" s="133">
        <v>9780</v>
      </c>
      <c r="M6" s="133"/>
      <c r="N6" s="131">
        <f t="shared" si="1"/>
        <v>0</v>
      </c>
      <c r="O6" s="134" t="s">
        <v>25</v>
      </c>
      <c r="P6" s="135"/>
    </row>
    <row r="7" s="88" customFormat="1" spans="1:16">
      <c r="A7" s="118">
        <v>45931</v>
      </c>
      <c r="B7" s="116" t="s">
        <v>16</v>
      </c>
      <c r="C7" s="119" t="s">
        <v>17</v>
      </c>
      <c r="D7" s="114" t="s">
        <v>18</v>
      </c>
      <c r="E7" s="114" t="s">
        <v>19</v>
      </c>
      <c r="F7" s="120">
        <v>45946</v>
      </c>
      <c r="G7" s="114" t="s">
        <v>26</v>
      </c>
      <c r="H7" s="114" t="s">
        <v>23</v>
      </c>
      <c r="I7" s="136">
        <v>4890</v>
      </c>
      <c r="J7" s="131"/>
      <c r="K7" s="136">
        <v>4890</v>
      </c>
      <c r="L7" s="136">
        <v>4890</v>
      </c>
      <c r="M7" s="136"/>
      <c r="N7" s="131">
        <f t="shared" si="1"/>
        <v>0</v>
      </c>
      <c r="O7" s="137" t="s">
        <v>27</v>
      </c>
      <c r="P7" s="138"/>
    </row>
    <row r="8" s="88" customFormat="1" spans="1:16">
      <c r="A8" s="118">
        <v>45931</v>
      </c>
      <c r="B8" s="116" t="s">
        <v>16</v>
      </c>
      <c r="C8" s="119" t="s">
        <v>17</v>
      </c>
      <c r="D8" s="114" t="s">
        <v>18</v>
      </c>
      <c r="E8" s="114" t="s">
        <v>19</v>
      </c>
      <c r="F8" s="120">
        <v>45946</v>
      </c>
      <c r="G8" s="114" t="s">
        <v>28</v>
      </c>
      <c r="H8" s="114" t="s">
        <v>23</v>
      </c>
      <c r="I8" s="136">
        <v>4890</v>
      </c>
      <c r="J8" s="131"/>
      <c r="K8" s="136">
        <v>4890</v>
      </c>
      <c r="L8" s="136">
        <v>4890</v>
      </c>
      <c r="M8" s="136"/>
      <c r="N8" s="131">
        <f t="shared" si="1"/>
        <v>0</v>
      </c>
      <c r="O8" s="137" t="s">
        <v>27</v>
      </c>
      <c r="P8" s="138"/>
    </row>
    <row r="9" s="88" customFormat="1" ht="14" customHeight="1" spans="1:16">
      <c r="A9" s="118">
        <v>45931</v>
      </c>
      <c r="B9" s="116" t="s">
        <v>16</v>
      </c>
      <c r="C9" s="119" t="s">
        <v>17</v>
      </c>
      <c r="D9" s="114" t="s">
        <v>18</v>
      </c>
      <c r="E9" s="114" t="s">
        <v>19</v>
      </c>
      <c r="F9" s="120">
        <v>45946</v>
      </c>
      <c r="G9" s="114" t="s">
        <v>26</v>
      </c>
      <c r="H9" s="114" t="s">
        <v>21</v>
      </c>
      <c r="I9" s="136">
        <v>5379</v>
      </c>
      <c r="J9" s="131"/>
      <c r="K9" s="136">
        <v>5379</v>
      </c>
      <c r="L9" s="136">
        <v>5379</v>
      </c>
      <c r="M9" s="136"/>
      <c r="N9" s="131">
        <f t="shared" si="1"/>
        <v>0</v>
      </c>
      <c r="O9" s="137" t="s">
        <v>27</v>
      </c>
      <c r="P9" s="138"/>
    </row>
    <row r="10" s="88" customFormat="1" spans="1:16">
      <c r="A10" s="118">
        <v>45931</v>
      </c>
      <c r="B10" s="116" t="s">
        <v>16</v>
      </c>
      <c r="C10" s="119" t="s">
        <v>17</v>
      </c>
      <c r="D10" s="114" t="s">
        <v>18</v>
      </c>
      <c r="E10" s="114" t="s">
        <v>19</v>
      </c>
      <c r="F10" s="120">
        <v>45946</v>
      </c>
      <c r="G10" s="114" t="s">
        <v>28</v>
      </c>
      <c r="H10" s="114" t="s">
        <v>21</v>
      </c>
      <c r="I10" s="136">
        <v>4993.16</v>
      </c>
      <c r="J10" s="131"/>
      <c r="K10" s="136">
        <v>4993.16</v>
      </c>
      <c r="L10" s="136">
        <v>4993.16</v>
      </c>
      <c r="M10" s="136"/>
      <c r="N10" s="131">
        <f t="shared" si="1"/>
        <v>0</v>
      </c>
      <c r="O10" s="137" t="s">
        <v>27</v>
      </c>
      <c r="P10" s="138"/>
    </row>
    <row r="11" s="88" customFormat="1" spans="1:16">
      <c r="A11" s="118">
        <v>45962</v>
      </c>
      <c r="B11" s="116" t="s">
        <v>16</v>
      </c>
      <c r="C11" s="119" t="s">
        <v>17</v>
      </c>
      <c r="D11" s="114" t="s">
        <v>18</v>
      </c>
      <c r="E11" s="114" t="s">
        <v>19</v>
      </c>
      <c r="F11" s="120">
        <v>45971</v>
      </c>
      <c r="G11" s="114" t="s">
        <v>29</v>
      </c>
      <c r="H11" s="121" t="s">
        <v>30</v>
      </c>
      <c r="I11" s="136">
        <v>250</v>
      </c>
      <c r="J11" s="131"/>
      <c r="K11" s="136">
        <v>250</v>
      </c>
      <c r="L11" s="136">
        <v>250</v>
      </c>
      <c r="M11" s="136"/>
      <c r="N11" s="131">
        <f t="shared" si="1"/>
        <v>0</v>
      </c>
      <c r="O11" s="137" t="s">
        <v>31</v>
      </c>
      <c r="P11" s="138"/>
    </row>
    <row r="12" s="88" customFormat="1" spans="1:16">
      <c r="A12" s="118">
        <v>45962</v>
      </c>
      <c r="B12" s="116" t="s">
        <v>16</v>
      </c>
      <c r="C12" s="119" t="s">
        <v>17</v>
      </c>
      <c r="D12" s="114" t="s">
        <v>18</v>
      </c>
      <c r="E12" s="114" t="s">
        <v>19</v>
      </c>
      <c r="F12" s="120">
        <v>45971</v>
      </c>
      <c r="G12" s="114" t="s">
        <v>32</v>
      </c>
      <c r="H12" s="121" t="s">
        <v>30</v>
      </c>
      <c r="I12" s="136">
        <v>250</v>
      </c>
      <c r="J12" s="131"/>
      <c r="K12" s="136">
        <v>250</v>
      </c>
      <c r="L12" s="136">
        <v>250</v>
      </c>
      <c r="M12" s="136"/>
      <c r="N12" s="131">
        <f t="shared" si="1"/>
        <v>0</v>
      </c>
      <c r="O12" s="137" t="s">
        <v>31</v>
      </c>
      <c r="P12" s="138"/>
    </row>
    <row r="13" s="88" customFormat="1" spans="1:16">
      <c r="A13" s="118">
        <v>45962</v>
      </c>
      <c r="B13" s="116" t="s">
        <v>16</v>
      </c>
      <c r="C13" s="119" t="s">
        <v>17</v>
      </c>
      <c r="D13" s="114" t="s">
        <v>18</v>
      </c>
      <c r="E13" s="114" t="s">
        <v>19</v>
      </c>
      <c r="F13" s="120">
        <v>45971</v>
      </c>
      <c r="G13" s="114" t="s">
        <v>33</v>
      </c>
      <c r="H13" s="121" t="s">
        <v>30</v>
      </c>
      <c r="I13" s="136">
        <v>250</v>
      </c>
      <c r="J13" s="131"/>
      <c r="K13" s="136">
        <v>250</v>
      </c>
      <c r="L13" s="136">
        <v>250</v>
      </c>
      <c r="M13" s="136"/>
      <c r="N13" s="131">
        <f t="shared" si="1"/>
        <v>0</v>
      </c>
      <c r="O13" s="137" t="s">
        <v>31</v>
      </c>
      <c r="P13" s="138"/>
    </row>
    <row r="14" s="88" customFormat="1" spans="1:16">
      <c r="A14" s="118">
        <v>45962</v>
      </c>
      <c r="B14" s="116" t="s">
        <v>16</v>
      </c>
      <c r="C14" s="119" t="s">
        <v>17</v>
      </c>
      <c r="D14" s="114" t="s">
        <v>18</v>
      </c>
      <c r="E14" s="114" t="s">
        <v>19</v>
      </c>
      <c r="F14" s="120">
        <v>45971</v>
      </c>
      <c r="G14" s="114" t="s">
        <v>34</v>
      </c>
      <c r="H14" s="121" t="s">
        <v>30</v>
      </c>
      <c r="I14" s="136">
        <v>250</v>
      </c>
      <c r="J14" s="131"/>
      <c r="K14" s="136">
        <v>250</v>
      </c>
      <c r="L14" s="136">
        <v>250</v>
      </c>
      <c r="M14" s="136"/>
      <c r="N14" s="131">
        <f t="shared" si="1"/>
        <v>0</v>
      </c>
      <c r="O14" s="137" t="s">
        <v>31</v>
      </c>
      <c r="P14" s="138"/>
    </row>
    <row r="15" s="88" customFormat="1" spans="1:16">
      <c r="A15" s="118">
        <v>45962</v>
      </c>
      <c r="B15" s="116" t="s">
        <v>16</v>
      </c>
      <c r="C15" s="119" t="s">
        <v>17</v>
      </c>
      <c r="D15" s="114" t="s">
        <v>18</v>
      </c>
      <c r="E15" s="114" t="s">
        <v>19</v>
      </c>
      <c r="F15" s="120">
        <v>45971</v>
      </c>
      <c r="G15" s="114" t="s">
        <v>35</v>
      </c>
      <c r="H15" s="121" t="s">
        <v>30</v>
      </c>
      <c r="I15" s="136">
        <v>250</v>
      </c>
      <c r="J15" s="131"/>
      <c r="K15" s="136">
        <v>250</v>
      </c>
      <c r="L15" s="136">
        <v>250</v>
      </c>
      <c r="M15" s="136"/>
      <c r="N15" s="131">
        <f t="shared" si="1"/>
        <v>0</v>
      </c>
      <c r="O15" s="137" t="s">
        <v>31</v>
      </c>
      <c r="P15" s="138"/>
    </row>
    <row r="16" s="88" customFormat="1" spans="1:16">
      <c r="A16" s="118">
        <v>45962</v>
      </c>
      <c r="B16" s="116" t="s">
        <v>16</v>
      </c>
      <c r="C16" s="119" t="s">
        <v>17</v>
      </c>
      <c r="D16" s="114" t="s">
        <v>18</v>
      </c>
      <c r="E16" s="114" t="s">
        <v>19</v>
      </c>
      <c r="F16" s="120">
        <v>45971</v>
      </c>
      <c r="G16" s="114" t="s">
        <v>36</v>
      </c>
      <c r="H16" s="121" t="s">
        <v>30</v>
      </c>
      <c r="I16" s="136">
        <v>250</v>
      </c>
      <c r="J16" s="131"/>
      <c r="K16" s="136">
        <v>250</v>
      </c>
      <c r="L16" s="136">
        <v>250</v>
      </c>
      <c r="M16" s="136"/>
      <c r="N16" s="131">
        <f t="shared" si="1"/>
        <v>0</v>
      </c>
      <c r="O16" s="137" t="s">
        <v>31</v>
      </c>
      <c r="P16" s="138"/>
    </row>
    <row r="17" s="88" customFormat="1" spans="1:16">
      <c r="A17" s="118">
        <v>45962</v>
      </c>
      <c r="B17" s="116" t="s">
        <v>16</v>
      </c>
      <c r="C17" s="119" t="s">
        <v>17</v>
      </c>
      <c r="D17" s="114" t="s">
        <v>18</v>
      </c>
      <c r="E17" s="114" t="s">
        <v>19</v>
      </c>
      <c r="F17" s="120">
        <v>45971</v>
      </c>
      <c r="G17" s="114" t="s">
        <v>37</v>
      </c>
      <c r="H17" s="121" t="s">
        <v>30</v>
      </c>
      <c r="I17" s="136">
        <v>250</v>
      </c>
      <c r="J17" s="131"/>
      <c r="K17" s="136">
        <v>250</v>
      </c>
      <c r="L17" s="136">
        <v>250</v>
      </c>
      <c r="M17" s="136"/>
      <c r="N17" s="131">
        <f t="shared" si="1"/>
        <v>0</v>
      </c>
      <c r="O17" s="137" t="s">
        <v>31</v>
      </c>
      <c r="P17" s="138"/>
    </row>
    <row r="18" s="88" customFormat="1" spans="1:16">
      <c r="A18" s="118">
        <v>45962</v>
      </c>
      <c r="B18" s="116" t="s">
        <v>16</v>
      </c>
      <c r="C18" s="119" t="s">
        <v>17</v>
      </c>
      <c r="D18" s="114" t="s">
        <v>18</v>
      </c>
      <c r="E18" s="114" t="s">
        <v>19</v>
      </c>
      <c r="F18" s="120">
        <v>45971</v>
      </c>
      <c r="G18" s="114" t="s">
        <v>38</v>
      </c>
      <c r="H18" s="121" t="s">
        <v>30</v>
      </c>
      <c r="I18" s="136">
        <v>250</v>
      </c>
      <c r="J18" s="131"/>
      <c r="K18" s="136">
        <v>250</v>
      </c>
      <c r="L18" s="136">
        <v>250</v>
      </c>
      <c r="M18" s="136"/>
      <c r="N18" s="131">
        <f t="shared" si="1"/>
        <v>0</v>
      </c>
      <c r="O18" s="137" t="s">
        <v>31</v>
      </c>
      <c r="P18" s="138"/>
    </row>
    <row r="19" s="88" customFormat="1" spans="1:16">
      <c r="A19" s="118">
        <v>45962</v>
      </c>
      <c r="B19" s="116" t="s">
        <v>16</v>
      </c>
      <c r="C19" s="119" t="s">
        <v>17</v>
      </c>
      <c r="D19" s="114" t="s">
        <v>18</v>
      </c>
      <c r="E19" s="114" t="s">
        <v>19</v>
      </c>
      <c r="F19" s="120">
        <v>45971</v>
      </c>
      <c r="G19" s="114" t="s">
        <v>39</v>
      </c>
      <c r="H19" s="121" t="s">
        <v>30</v>
      </c>
      <c r="I19" s="136">
        <v>250</v>
      </c>
      <c r="J19" s="131"/>
      <c r="K19" s="136">
        <v>250</v>
      </c>
      <c r="L19" s="136">
        <v>250</v>
      </c>
      <c r="M19" s="136"/>
      <c r="N19" s="131">
        <f t="shared" si="1"/>
        <v>0</v>
      </c>
      <c r="O19" s="137" t="s">
        <v>31</v>
      </c>
      <c r="P19" s="138"/>
    </row>
    <row r="20" s="88" customFormat="1" spans="1:16">
      <c r="A20" s="118">
        <v>45962</v>
      </c>
      <c r="B20" s="116" t="s">
        <v>16</v>
      </c>
      <c r="C20" s="119" t="s">
        <v>17</v>
      </c>
      <c r="D20" s="114" t="s">
        <v>18</v>
      </c>
      <c r="E20" s="114" t="s">
        <v>19</v>
      </c>
      <c r="F20" s="120">
        <v>45971</v>
      </c>
      <c r="G20" s="114" t="s">
        <v>40</v>
      </c>
      <c r="H20" s="121" t="s">
        <v>30</v>
      </c>
      <c r="I20" s="136">
        <v>250</v>
      </c>
      <c r="J20" s="131"/>
      <c r="K20" s="136">
        <v>250</v>
      </c>
      <c r="L20" s="136">
        <v>250</v>
      </c>
      <c r="M20" s="136"/>
      <c r="N20" s="131">
        <f t="shared" si="1"/>
        <v>0</v>
      </c>
      <c r="O20" s="137" t="s">
        <v>31</v>
      </c>
      <c r="P20" s="138"/>
    </row>
    <row r="21" s="88" customFormat="1" spans="1:16">
      <c r="A21" s="118">
        <v>45962</v>
      </c>
      <c r="B21" s="116" t="s">
        <v>16</v>
      </c>
      <c r="C21" s="119" t="s">
        <v>17</v>
      </c>
      <c r="D21" s="114" t="s">
        <v>18</v>
      </c>
      <c r="E21" s="114" t="s">
        <v>19</v>
      </c>
      <c r="F21" s="120">
        <v>45971</v>
      </c>
      <c r="G21" s="114" t="s">
        <v>41</v>
      </c>
      <c r="H21" s="121" t="s">
        <v>30</v>
      </c>
      <c r="I21" s="136">
        <v>250</v>
      </c>
      <c r="J21" s="131"/>
      <c r="K21" s="136">
        <v>250</v>
      </c>
      <c r="L21" s="136">
        <v>250</v>
      </c>
      <c r="M21" s="136"/>
      <c r="N21" s="131">
        <f t="shared" si="1"/>
        <v>0</v>
      </c>
      <c r="O21" s="137" t="s">
        <v>31</v>
      </c>
      <c r="P21" s="138"/>
    </row>
    <row r="22" s="88" customFormat="1" spans="1:16">
      <c r="A22" s="118">
        <v>45962</v>
      </c>
      <c r="B22" s="116" t="s">
        <v>16</v>
      </c>
      <c r="C22" s="119" t="s">
        <v>17</v>
      </c>
      <c r="D22" s="114" t="s">
        <v>18</v>
      </c>
      <c r="E22" s="114" t="s">
        <v>19</v>
      </c>
      <c r="F22" s="120">
        <v>45971</v>
      </c>
      <c r="G22" s="114" t="s">
        <v>42</v>
      </c>
      <c r="H22" s="121" t="s">
        <v>30</v>
      </c>
      <c r="I22" s="136">
        <v>250</v>
      </c>
      <c r="J22" s="131"/>
      <c r="K22" s="136">
        <v>250</v>
      </c>
      <c r="L22" s="136">
        <v>250</v>
      </c>
      <c r="M22" s="136"/>
      <c r="N22" s="131">
        <f t="shared" si="1"/>
        <v>0</v>
      </c>
      <c r="O22" s="137" t="s">
        <v>31</v>
      </c>
      <c r="P22" s="138"/>
    </row>
    <row r="23" s="86" customFormat="1" spans="1:16">
      <c r="A23" s="111">
        <v>45839</v>
      </c>
      <c r="B23" s="112" t="s">
        <v>16</v>
      </c>
      <c r="C23" s="113" t="s">
        <v>43</v>
      </c>
      <c r="D23" s="112" t="s">
        <v>44</v>
      </c>
      <c r="E23" s="112" t="s">
        <v>45</v>
      </c>
      <c r="F23" s="115">
        <v>45824</v>
      </c>
      <c r="G23" s="112" t="s">
        <v>46</v>
      </c>
      <c r="H23" s="112" t="s">
        <v>21</v>
      </c>
      <c r="I23" s="130">
        <v>56250</v>
      </c>
      <c r="J23" s="130">
        <v>0</v>
      </c>
      <c r="K23" s="130">
        <v>56250</v>
      </c>
      <c r="L23" s="130">
        <v>56250</v>
      </c>
      <c r="M23" s="130"/>
      <c r="N23" s="131">
        <f t="shared" si="1"/>
        <v>0</v>
      </c>
      <c r="O23" s="132" t="s">
        <v>47</v>
      </c>
      <c r="P23" s="112"/>
    </row>
    <row r="24" s="86" customFormat="1" spans="1:16">
      <c r="A24" s="111">
        <v>45839</v>
      </c>
      <c r="B24" s="112" t="s">
        <v>16</v>
      </c>
      <c r="C24" s="113" t="s">
        <v>43</v>
      </c>
      <c r="D24" s="112" t="s">
        <v>44</v>
      </c>
      <c r="E24" s="112" t="s">
        <v>45</v>
      </c>
      <c r="F24" s="115">
        <v>45824</v>
      </c>
      <c r="G24" s="112" t="s">
        <v>46</v>
      </c>
      <c r="H24" s="112" t="s">
        <v>23</v>
      </c>
      <c r="I24" s="130">
        <v>36000</v>
      </c>
      <c r="J24" s="130">
        <v>0</v>
      </c>
      <c r="K24" s="130">
        <v>36000</v>
      </c>
      <c r="L24" s="130">
        <f>6000+30000</f>
        <v>36000</v>
      </c>
      <c r="M24" s="130"/>
      <c r="N24" s="131">
        <f t="shared" si="1"/>
        <v>0</v>
      </c>
      <c r="O24" s="132" t="s">
        <v>48</v>
      </c>
      <c r="P24" s="112"/>
    </row>
    <row r="25" s="89" customFormat="1" spans="1:17">
      <c r="A25" s="122">
        <v>45901</v>
      </c>
      <c r="B25" s="116" t="s">
        <v>16</v>
      </c>
      <c r="C25" s="78" t="s">
        <v>43</v>
      </c>
      <c r="D25" s="116" t="s">
        <v>44</v>
      </c>
      <c r="E25" s="116" t="s">
        <v>45</v>
      </c>
      <c r="F25" s="117">
        <v>45916</v>
      </c>
      <c r="G25" s="116" t="s">
        <v>49</v>
      </c>
      <c r="H25" s="116" t="s">
        <v>23</v>
      </c>
      <c r="I25" s="139">
        <v>25578.08</v>
      </c>
      <c r="J25" s="139">
        <v>0</v>
      </c>
      <c r="K25" s="139">
        <f t="shared" ref="K25:K34" si="2">I25-J25</f>
        <v>25578.08</v>
      </c>
      <c r="L25" s="139">
        <v>25578.08</v>
      </c>
      <c r="M25" s="139"/>
      <c r="N25" s="131">
        <f t="shared" si="1"/>
        <v>0</v>
      </c>
      <c r="O25" s="140" t="s">
        <v>50</v>
      </c>
      <c r="P25" s="141"/>
      <c r="Q25" s="89" t="s">
        <v>51</v>
      </c>
    </row>
    <row r="26" s="89" customFormat="1" spans="1:17">
      <c r="A26" s="122">
        <v>45901</v>
      </c>
      <c r="B26" s="116" t="s">
        <v>16</v>
      </c>
      <c r="C26" s="78" t="s">
        <v>43</v>
      </c>
      <c r="D26" s="116" t="s">
        <v>44</v>
      </c>
      <c r="E26" s="116" t="s">
        <v>45</v>
      </c>
      <c r="F26" s="117">
        <v>45916</v>
      </c>
      <c r="G26" s="116" t="s">
        <v>49</v>
      </c>
      <c r="H26" s="116" t="s">
        <v>21</v>
      </c>
      <c r="I26" s="139">
        <v>39965.75</v>
      </c>
      <c r="J26" s="139">
        <v>0</v>
      </c>
      <c r="K26" s="139">
        <f t="shared" si="2"/>
        <v>39965.75</v>
      </c>
      <c r="L26" s="139">
        <v>39965.75</v>
      </c>
      <c r="M26" s="139"/>
      <c r="N26" s="131">
        <f t="shared" si="1"/>
        <v>0</v>
      </c>
      <c r="O26" s="140" t="s">
        <v>50</v>
      </c>
      <c r="P26" s="141"/>
      <c r="Q26" s="89" t="s">
        <v>51</v>
      </c>
    </row>
    <row r="27" s="86" customFormat="1" spans="1:16">
      <c r="A27" s="111">
        <v>45839</v>
      </c>
      <c r="B27" s="112" t="s">
        <v>16</v>
      </c>
      <c r="C27" s="113" t="s">
        <v>52</v>
      </c>
      <c r="D27" s="112" t="s">
        <v>53</v>
      </c>
      <c r="E27" s="114" t="s">
        <v>54</v>
      </c>
      <c r="F27" s="115">
        <v>45824</v>
      </c>
      <c r="G27" s="112" t="s">
        <v>55</v>
      </c>
      <c r="H27" s="112" t="s">
        <v>21</v>
      </c>
      <c r="I27" s="130">
        <v>7315</v>
      </c>
      <c r="J27" s="130">
        <v>0</v>
      </c>
      <c r="K27" s="130">
        <v>7315</v>
      </c>
      <c r="L27" s="130">
        <v>7315</v>
      </c>
      <c r="M27" s="130"/>
      <c r="N27" s="131">
        <f t="shared" si="1"/>
        <v>0</v>
      </c>
      <c r="O27" s="132" t="s">
        <v>47</v>
      </c>
      <c r="P27" s="112"/>
    </row>
    <row r="28" s="86" customFormat="1" spans="1:16">
      <c r="A28" s="111">
        <v>45839</v>
      </c>
      <c r="B28" s="112" t="s">
        <v>16</v>
      </c>
      <c r="C28" s="113" t="s">
        <v>52</v>
      </c>
      <c r="D28" s="112" t="s">
        <v>53</v>
      </c>
      <c r="E28" s="114" t="s">
        <v>54</v>
      </c>
      <c r="F28" s="115">
        <v>45824</v>
      </c>
      <c r="G28" s="112" t="s">
        <v>55</v>
      </c>
      <c r="H28" s="112" t="s">
        <v>23</v>
      </c>
      <c r="I28" s="130">
        <v>7315</v>
      </c>
      <c r="J28" s="130">
        <v>0</v>
      </c>
      <c r="K28" s="130">
        <v>7315</v>
      </c>
      <c r="L28" s="130">
        <v>7315</v>
      </c>
      <c r="M28" s="130"/>
      <c r="N28" s="131">
        <f t="shared" si="1"/>
        <v>0</v>
      </c>
      <c r="O28" s="132" t="s">
        <v>47</v>
      </c>
      <c r="P28" s="112"/>
    </row>
    <row r="29" s="86" customFormat="1" spans="1:16">
      <c r="A29" s="111">
        <v>45839</v>
      </c>
      <c r="B29" s="112" t="s">
        <v>16</v>
      </c>
      <c r="C29" s="113" t="s">
        <v>52</v>
      </c>
      <c r="D29" s="112" t="s">
        <v>53</v>
      </c>
      <c r="E29" s="114" t="s">
        <v>54</v>
      </c>
      <c r="F29" s="115">
        <v>45855</v>
      </c>
      <c r="G29" s="112" t="s">
        <v>56</v>
      </c>
      <c r="H29" s="112" t="s">
        <v>23</v>
      </c>
      <c r="I29" s="130">
        <v>7315</v>
      </c>
      <c r="J29" s="130">
        <v>0</v>
      </c>
      <c r="K29" s="130">
        <f t="shared" si="2"/>
        <v>7315</v>
      </c>
      <c r="L29" s="130">
        <v>7315</v>
      </c>
      <c r="M29" s="130"/>
      <c r="N29" s="131">
        <f t="shared" si="1"/>
        <v>0</v>
      </c>
      <c r="O29" s="132" t="s">
        <v>57</v>
      </c>
      <c r="P29" s="112"/>
    </row>
    <row r="30" s="86" customFormat="1" spans="1:16">
      <c r="A30" s="111">
        <v>45839</v>
      </c>
      <c r="B30" s="112" t="s">
        <v>16</v>
      </c>
      <c r="C30" s="113" t="s">
        <v>52</v>
      </c>
      <c r="D30" s="112" t="s">
        <v>53</v>
      </c>
      <c r="E30" s="114" t="s">
        <v>54</v>
      </c>
      <c r="F30" s="115">
        <v>45855</v>
      </c>
      <c r="G30" s="112" t="s">
        <v>56</v>
      </c>
      <c r="H30" s="112" t="s">
        <v>21</v>
      </c>
      <c r="I30" s="130">
        <v>7315</v>
      </c>
      <c r="J30" s="130">
        <v>0</v>
      </c>
      <c r="K30" s="130">
        <f t="shared" si="2"/>
        <v>7315</v>
      </c>
      <c r="L30" s="130">
        <v>7315</v>
      </c>
      <c r="M30" s="130"/>
      <c r="N30" s="131">
        <f t="shared" si="1"/>
        <v>0</v>
      </c>
      <c r="O30" s="132" t="s">
        <v>57</v>
      </c>
      <c r="P30" s="112"/>
    </row>
    <row r="31" s="87" customFormat="1" spans="1:16">
      <c r="A31" s="111">
        <v>45870</v>
      </c>
      <c r="B31" s="116" t="s">
        <v>16</v>
      </c>
      <c r="C31" s="78" t="s">
        <v>52</v>
      </c>
      <c r="D31" s="116" t="s">
        <v>53</v>
      </c>
      <c r="E31" s="114" t="s">
        <v>54</v>
      </c>
      <c r="F31" s="117">
        <v>45886</v>
      </c>
      <c r="G31" s="116" t="s">
        <v>58</v>
      </c>
      <c r="H31" s="116" t="s">
        <v>23</v>
      </c>
      <c r="I31" s="133">
        <v>7315</v>
      </c>
      <c r="J31" s="133">
        <v>0</v>
      </c>
      <c r="K31" s="133">
        <f t="shared" si="2"/>
        <v>7315</v>
      </c>
      <c r="L31" s="133">
        <v>7315</v>
      </c>
      <c r="M31" s="133"/>
      <c r="N31" s="131">
        <f t="shared" si="1"/>
        <v>0</v>
      </c>
      <c r="O31" s="134" t="s">
        <v>59</v>
      </c>
      <c r="P31" s="135"/>
    </row>
    <row r="32" s="87" customFormat="1" spans="1:16">
      <c r="A32" s="111">
        <v>45870</v>
      </c>
      <c r="B32" s="116" t="s">
        <v>16</v>
      </c>
      <c r="C32" s="78" t="s">
        <v>52</v>
      </c>
      <c r="D32" s="116" t="s">
        <v>53</v>
      </c>
      <c r="E32" s="114" t="s">
        <v>54</v>
      </c>
      <c r="F32" s="117">
        <v>45886</v>
      </c>
      <c r="G32" s="116" t="s">
        <v>58</v>
      </c>
      <c r="H32" s="116" t="s">
        <v>21</v>
      </c>
      <c r="I32" s="133">
        <v>7315</v>
      </c>
      <c r="J32" s="133">
        <v>0</v>
      </c>
      <c r="K32" s="133">
        <f t="shared" si="2"/>
        <v>7315</v>
      </c>
      <c r="L32" s="133">
        <v>7315</v>
      </c>
      <c r="M32" s="133"/>
      <c r="N32" s="131">
        <f t="shared" si="1"/>
        <v>0</v>
      </c>
      <c r="O32" s="134" t="s">
        <v>59</v>
      </c>
      <c r="P32" s="135"/>
    </row>
    <row r="33" s="89" customFormat="1" spans="1:17">
      <c r="A33" s="122">
        <v>45901</v>
      </c>
      <c r="B33" s="116" t="s">
        <v>16</v>
      </c>
      <c r="C33" s="78" t="s">
        <v>52</v>
      </c>
      <c r="D33" s="116" t="s">
        <v>53</v>
      </c>
      <c r="E33" s="114" t="s">
        <v>54</v>
      </c>
      <c r="F33" s="117">
        <v>45916</v>
      </c>
      <c r="G33" s="116" t="s">
        <v>60</v>
      </c>
      <c r="H33" s="116" t="s">
        <v>23</v>
      </c>
      <c r="I33" s="139">
        <v>7315</v>
      </c>
      <c r="J33" s="139">
        <v>0</v>
      </c>
      <c r="K33" s="139">
        <f t="shared" si="2"/>
        <v>7315</v>
      </c>
      <c r="L33" s="139">
        <v>7315</v>
      </c>
      <c r="M33" s="139"/>
      <c r="N33" s="131">
        <f t="shared" si="1"/>
        <v>0</v>
      </c>
      <c r="O33" s="140" t="s">
        <v>61</v>
      </c>
      <c r="P33" s="141"/>
      <c r="Q33" s="89" t="s">
        <v>51</v>
      </c>
    </row>
    <row r="34" s="89" customFormat="1" spans="1:17">
      <c r="A34" s="122">
        <v>45901</v>
      </c>
      <c r="B34" s="116" t="s">
        <v>16</v>
      </c>
      <c r="C34" s="78" t="s">
        <v>52</v>
      </c>
      <c r="D34" s="116" t="s">
        <v>53</v>
      </c>
      <c r="E34" s="114" t="s">
        <v>54</v>
      </c>
      <c r="F34" s="117">
        <v>45916</v>
      </c>
      <c r="G34" s="116" t="s">
        <v>60</v>
      </c>
      <c r="H34" s="116" t="s">
        <v>21</v>
      </c>
      <c r="I34" s="139">
        <v>7315</v>
      </c>
      <c r="J34" s="139">
        <v>0</v>
      </c>
      <c r="K34" s="139">
        <f t="shared" si="2"/>
        <v>7315</v>
      </c>
      <c r="L34" s="139">
        <v>7315</v>
      </c>
      <c r="M34" s="139"/>
      <c r="N34" s="131">
        <f t="shared" si="1"/>
        <v>0</v>
      </c>
      <c r="O34" s="140" t="s">
        <v>61</v>
      </c>
      <c r="P34" s="141"/>
      <c r="Q34" s="89" t="s">
        <v>51</v>
      </c>
    </row>
    <row r="35" s="88" customFormat="1" spans="1:16">
      <c r="A35" s="118">
        <v>45931</v>
      </c>
      <c r="B35" s="116" t="s">
        <v>16</v>
      </c>
      <c r="C35" s="119" t="s">
        <v>52</v>
      </c>
      <c r="D35" s="114" t="s">
        <v>53</v>
      </c>
      <c r="E35" s="114" t="s">
        <v>54</v>
      </c>
      <c r="F35" s="120">
        <v>45946</v>
      </c>
      <c r="G35" s="114" t="s">
        <v>28</v>
      </c>
      <c r="H35" s="114" t="s">
        <v>23</v>
      </c>
      <c r="I35" s="136">
        <v>7315</v>
      </c>
      <c r="J35" s="131"/>
      <c r="K35" s="136">
        <v>7315</v>
      </c>
      <c r="L35" s="136">
        <v>7315</v>
      </c>
      <c r="M35" s="136"/>
      <c r="N35" s="131">
        <f t="shared" si="1"/>
        <v>0</v>
      </c>
      <c r="O35" s="137" t="s">
        <v>62</v>
      </c>
      <c r="P35" s="138"/>
    </row>
    <row r="36" s="88" customFormat="1" spans="1:16">
      <c r="A36" s="118">
        <v>45931</v>
      </c>
      <c r="B36" s="116" t="s">
        <v>16</v>
      </c>
      <c r="C36" s="119" t="s">
        <v>52</v>
      </c>
      <c r="D36" s="114" t="s">
        <v>53</v>
      </c>
      <c r="E36" s="114" t="s">
        <v>54</v>
      </c>
      <c r="F36" s="120">
        <v>45946</v>
      </c>
      <c r="G36" s="114" t="s">
        <v>28</v>
      </c>
      <c r="H36" s="114" t="s">
        <v>21</v>
      </c>
      <c r="I36" s="136">
        <v>7432.39</v>
      </c>
      <c r="J36" s="131"/>
      <c r="K36" s="136">
        <v>7432.39</v>
      </c>
      <c r="L36" s="136">
        <f>7419.5+12.89</f>
        <v>7432.39</v>
      </c>
      <c r="M36" s="136"/>
      <c r="N36" s="131">
        <f t="shared" si="1"/>
        <v>0</v>
      </c>
      <c r="O36" s="137" t="s">
        <v>63</v>
      </c>
      <c r="P36" s="138"/>
    </row>
    <row r="37" s="88" customFormat="1" spans="1:16">
      <c r="A37" s="118">
        <v>45962</v>
      </c>
      <c r="B37" s="116" t="s">
        <v>16</v>
      </c>
      <c r="C37" s="119" t="s">
        <v>52</v>
      </c>
      <c r="D37" s="114" t="s">
        <v>53</v>
      </c>
      <c r="E37" s="114" t="s">
        <v>54</v>
      </c>
      <c r="F37" s="120">
        <v>45976</v>
      </c>
      <c r="G37" s="114" t="s">
        <v>26</v>
      </c>
      <c r="H37" s="114" t="s">
        <v>23</v>
      </c>
      <c r="I37" s="136">
        <v>7315</v>
      </c>
      <c r="J37" s="131"/>
      <c r="K37" s="136">
        <v>7315</v>
      </c>
      <c r="L37" s="136">
        <v>7315</v>
      </c>
      <c r="M37" s="136"/>
      <c r="N37" s="131">
        <f t="shared" si="1"/>
        <v>0</v>
      </c>
      <c r="O37" s="142" t="s">
        <v>64</v>
      </c>
      <c r="P37" s="138"/>
    </row>
    <row r="38" s="88" customFormat="1" spans="1:16">
      <c r="A38" s="118">
        <v>45962</v>
      </c>
      <c r="B38" s="116" t="s">
        <v>16</v>
      </c>
      <c r="C38" s="119" t="s">
        <v>52</v>
      </c>
      <c r="D38" s="114" t="s">
        <v>53</v>
      </c>
      <c r="E38" s="114" t="s">
        <v>54</v>
      </c>
      <c r="F38" s="120">
        <v>45974</v>
      </c>
      <c r="G38" s="114" t="s">
        <v>65</v>
      </c>
      <c r="H38" s="121" t="s">
        <v>30</v>
      </c>
      <c r="I38" s="136">
        <v>250</v>
      </c>
      <c r="J38" s="131"/>
      <c r="K38" s="136">
        <v>250</v>
      </c>
      <c r="L38" s="136">
        <v>250</v>
      </c>
      <c r="M38" s="136"/>
      <c r="N38" s="131">
        <f t="shared" si="1"/>
        <v>0</v>
      </c>
      <c r="O38" s="142" t="s">
        <v>64</v>
      </c>
      <c r="P38" s="138"/>
    </row>
    <row r="39" s="88" customFormat="1" spans="1:16">
      <c r="A39" s="118">
        <v>45962</v>
      </c>
      <c r="B39" s="116" t="s">
        <v>16</v>
      </c>
      <c r="C39" s="119" t="s">
        <v>52</v>
      </c>
      <c r="D39" s="114" t="s">
        <v>53</v>
      </c>
      <c r="E39" s="114" t="s">
        <v>54</v>
      </c>
      <c r="F39" s="120">
        <v>45974</v>
      </c>
      <c r="G39" s="114" t="s">
        <v>66</v>
      </c>
      <c r="H39" s="121" t="s">
        <v>30</v>
      </c>
      <c r="I39" s="136">
        <v>250</v>
      </c>
      <c r="J39" s="131"/>
      <c r="K39" s="136">
        <v>250</v>
      </c>
      <c r="L39" s="136">
        <v>250</v>
      </c>
      <c r="M39" s="136"/>
      <c r="N39" s="131">
        <f t="shared" si="1"/>
        <v>0</v>
      </c>
      <c r="O39" s="142" t="s">
        <v>64</v>
      </c>
      <c r="P39" s="138"/>
    </row>
    <row r="40" s="88" customFormat="1" spans="1:16">
      <c r="A40" s="118">
        <v>45962</v>
      </c>
      <c r="B40" s="116" t="s">
        <v>16</v>
      </c>
      <c r="C40" s="119" t="s">
        <v>52</v>
      </c>
      <c r="D40" s="114" t="s">
        <v>53</v>
      </c>
      <c r="E40" s="114" t="s">
        <v>54</v>
      </c>
      <c r="F40" s="120">
        <v>45974</v>
      </c>
      <c r="G40" s="114" t="s">
        <v>67</v>
      </c>
      <c r="H40" s="121" t="s">
        <v>30</v>
      </c>
      <c r="I40" s="136">
        <v>250</v>
      </c>
      <c r="J40" s="131"/>
      <c r="K40" s="136">
        <v>250</v>
      </c>
      <c r="L40" s="136">
        <v>250</v>
      </c>
      <c r="M40" s="136"/>
      <c r="N40" s="131">
        <f t="shared" si="1"/>
        <v>0</v>
      </c>
      <c r="O40" s="142" t="s">
        <v>64</v>
      </c>
      <c r="P40" s="138"/>
    </row>
    <row r="41" s="88" customFormat="1" spans="1:16">
      <c r="A41" s="118">
        <v>45962</v>
      </c>
      <c r="B41" s="116" t="s">
        <v>16</v>
      </c>
      <c r="C41" s="119" t="s">
        <v>52</v>
      </c>
      <c r="D41" s="114" t="s">
        <v>53</v>
      </c>
      <c r="E41" s="114" t="s">
        <v>54</v>
      </c>
      <c r="F41" s="120">
        <v>45974</v>
      </c>
      <c r="G41" s="114" t="s">
        <v>68</v>
      </c>
      <c r="H41" s="121" t="s">
        <v>30</v>
      </c>
      <c r="I41" s="136">
        <v>250</v>
      </c>
      <c r="J41" s="131"/>
      <c r="K41" s="136">
        <v>250</v>
      </c>
      <c r="L41" s="136">
        <v>250</v>
      </c>
      <c r="M41" s="136"/>
      <c r="N41" s="131">
        <f t="shared" si="1"/>
        <v>0</v>
      </c>
      <c r="O41" s="142" t="s">
        <v>64</v>
      </c>
      <c r="P41" s="138"/>
    </row>
    <row r="42" s="88" customFormat="1" spans="1:16">
      <c r="A42" s="118">
        <v>45962</v>
      </c>
      <c r="B42" s="116" t="s">
        <v>16</v>
      </c>
      <c r="C42" s="119" t="s">
        <v>52</v>
      </c>
      <c r="D42" s="114" t="s">
        <v>53</v>
      </c>
      <c r="E42" s="114" t="s">
        <v>54</v>
      </c>
      <c r="F42" s="120">
        <v>45974</v>
      </c>
      <c r="G42" s="114" t="s">
        <v>69</v>
      </c>
      <c r="H42" s="121" t="s">
        <v>30</v>
      </c>
      <c r="I42" s="136">
        <v>250</v>
      </c>
      <c r="J42" s="131"/>
      <c r="K42" s="136">
        <v>250</v>
      </c>
      <c r="L42" s="136">
        <v>250</v>
      </c>
      <c r="M42" s="136"/>
      <c r="N42" s="131">
        <f t="shared" si="1"/>
        <v>0</v>
      </c>
      <c r="O42" s="142" t="s">
        <v>64</v>
      </c>
      <c r="P42" s="138"/>
    </row>
    <row r="43" s="88" customFormat="1" spans="1:16">
      <c r="A43" s="118">
        <v>45962</v>
      </c>
      <c r="B43" s="116" t="s">
        <v>16</v>
      </c>
      <c r="C43" s="119" t="s">
        <v>52</v>
      </c>
      <c r="D43" s="114" t="s">
        <v>53</v>
      </c>
      <c r="E43" s="114" t="s">
        <v>54</v>
      </c>
      <c r="F43" s="120">
        <v>45974</v>
      </c>
      <c r="G43" s="114" t="s">
        <v>70</v>
      </c>
      <c r="H43" s="121" t="s">
        <v>30</v>
      </c>
      <c r="I43" s="136">
        <v>250</v>
      </c>
      <c r="J43" s="131"/>
      <c r="K43" s="136">
        <v>250</v>
      </c>
      <c r="L43" s="136">
        <v>250</v>
      </c>
      <c r="M43" s="136"/>
      <c r="N43" s="131">
        <f t="shared" si="1"/>
        <v>0</v>
      </c>
      <c r="O43" s="142" t="s">
        <v>64</v>
      </c>
      <c r="P43" s="138"/>
    </row>
    <row r="44" s="88" customFormat="1" spans="1:16">
      <c r="A44" s="118">
        <v>45962</v>
      </c>
      <c r="B44" s="116" t="s">
        <v>16</v>
      </c>
      <c r="C44" s="119" t="s">
        <v>52</v>
      </c>
      <c r="D44" s="114" t="s">
        <v>53</v>
      </c>
      <c r="E44" s="114" t="s">
        <v>54</v>
      </c>
      <c r="F44" s="120">
        <v>45974</v>
      </c>
      <c r="G44" s="114" t="s">
        <v>71</v>
      </c>
      <c r="H44" s="121" t="s">
        <v>30</v>
      </c>
      <c r="I44" s="136">
        <v>250</v>
      </c>
      <c r="J44" s="131"/>
      <c r="K44" s="136">
        <v>250</v>
      </c>
      <c r="L44" s="136">
        <v>250</v>
      </c>
      <c r="M44" s="136"/>
      <c r="N44" s="131">
        <f t="shared" si="1"/>
        <v>0</v>
      </c>
      <c r="O44" s="142" t="s">
        <v>64</v>
      </c>
      <c r="P44" s="138"/>
    </row>
    <row r="45" s="88" customFormat="1" spans="1:16">
      <c r="A45" s="118">
        <v>45962</v>
      </c>
      <c r="B45" s="116" t="s">
        <v>16</v>
      </c>
      <c r="C45" s="119" t="s">
        <v>52</v>
      </c>
      <c r="D45" s="114" t="s">
        <v>53</v>
      </c>
      <c r="E45" s="114" t="s">
        <v>54</v>
      </c>
      <c r="F45" s="120">
        <v>45974</v>
      </c>
      <c r="G45" s="114" t="s">
        <v>72</v>
      </c>
      <c r="H45" s="121" t="s">
        <v>30</v>
      </c>
      <c r="I45" s="136">
        <v>250</v>
      </c>
      <c r="J45" s="131"/>
      <c r="K45" s="136">
        <v>250</v>
      </c>
      <c r="L45" s="136">
        <v>250</v>
      </c>
      <c r="M45" s="136"/>
      <c r="N45" s="131">
        <f t="shared" si="1"/>
        <v>0</v>
      </c>
      <c r="O45" s="142" t="s">
        <v>64</v>
      </c>
      <c r="P45" s="138"/>
    </row>
    <row r="46" s="88" customFormat="1" spans="1:16">
      <c r="A46" s="118">
        <v>45962</v>
      </c>
      <c r="B46" s="116" t="s">
        <v>16</v>
      </c>
      <c r="C46" s="119" t="s">
        <v>52</v>
      </c>
      <c r="D46" s="114" t="s">
        <v>53</v>
      </c>
      <c r="E46" s="114" t="s">
        <v>54</v>
      </c>
      <c r="F46" s="120">
        <v>45974</v>
      </c>
      <c r="G46" s="114" t="s">
        <v>73</v>
      </c>
      <c r="H46" s="121" t="s">
        <v>30</v>
      </c>
      <c r="I46" s="136">
        <v>250</v>
      </c>
      <c r="J46" s="131"/>
      <c r="K46" s="136">
        <v>250</v>
      </c>
      <c r="L46" s="136">
        <v>250</v>
      </c>
      <c r="M46" s="136"/>
      <c r="N46" s="131">
        <f t="shared" si="1"/>
        <v>0</v>
      </c>
      <c r="O46" s="142" t="s">
        <v>64</v>
      </c>
      <c r="P46" s="138"/>
    </row>
    <row r="47" s="88" customFormat="1" spans="1:16">
      <c r="A47" s="118">
        <v>45962</v>
      </c>
      <c r="B47" s="116" t="s">
        <v>16</v>
      </c>
      <c r="C47" s="119" t="s">
        <v>52</v>
      </c>
      <c r="D47" s="114" t="s">
        <v>53</v>
      </c>
      <c r="E47" s="114" t="s">
        <v>54</v>
      </c>
      <c r="F47" s="120">
        <v>45974</v>
      </c>
      <c r="G47" s="114" t="s">
        <v>74</v>
      </c>
      <c r="H47" s="121" t="s">
        <v>30</v>
      </c>
      <c r="I47" s="136">
        <v>250</v>
      </c>
      <c r="J47" s="131"/>
      <c r="K47" s="136">
        <v>250</v>
      </c>
      <c r="L47" s="136">
        <v>250</v>
      </c>
      <c r="M47" s="136"/>
      <c r="N47" s="131">
        <f t="shared" si="1"/>
        <v>0</v>
      </c>
      <c r="O47" s="142" t="s">
        <v>64</v>
      </c>
      <c r="P47" s="138"/>
    </row>
    <row r="48" s="88" customFormat="1" spans="1:16">
      <c r="A48" s="118">
        <v>45962</v>
      </c>
      <c r="B48" s="116" t="s">
        <v>16</v>
      </c>
      <c r="C48" s="119" t="s">
        <v>52</v>
      </c>
      <c r="D48" s="114" t="s">
        <v>53</v>
      </c>
      <c r="E48" s="114" t="s">
        <v>54</v>
      </c>
      <c r="F48" s="120">
        <v>45974</v>
      </c>
      <c r="G48" s="114" t="s">
        <v>75</v>
      </c>
      <c r="H48" s="121" t="s">
        <v>30</v>
      </c>
      <c r="I48" s="136">
        <v>250</v>
      </c>
      <c r="J48" s="131"/>
      <c r="K48" s="136">
        <v>250</v>
      </c>
      <c r="L48" s="136">
        <v>250</v>
      </c>
      <c r="M48" s="136"/>
      <c r="N48" s="131">
        <f t="shared" si="1"/>
        <v>0</v>
      </c>
      <c r="O48" s="142" t="s">
        <v>64</v>
      </c>
      <c r="P48" s="138"/>
    </row>
    <row r="49" s="88" customFormat="1" spans="1:16">
      <c r="A49" s="118">
        <v>45962</v>
      </c>
      <c r="B49" s="116" t="s">
        <v>16</v>
      </c>
      <c r="C49" s="119" t="s">
        <v>52</v>
      </c>
      <c r="D49" s="114" t="s">
        <v>53</v>
      </c>
      <c r="E49" s="114" t="s">
        <v>54</v>
      </c>
      <c r="F49" s="120">
        <v>45974</v>
      </c>
      <c r="G49" s="114" t="s">
        <v>76</v>
      </c>
      <c r="H49" s="121" t="s">
        <v>30</v>
      </c>
      <c r="I49" s="136">
        <v>250</v>
      </c>
      <c r="J49" s="131"/>
      <c r="K49" s="136">
        <v>250</v>
      </c>
      <c r="L49" s="136">
        <v>250</v>
      </c>
      <c r="M49" s="136"/>
      <c r="N49" s="131">
        <f t="shared" si="1"/>
        <v>0</v>
      </c>
      <c r="O49" s="142" t="s">
        <v>64</v>
      </c>
      <c r="P49" s="138"/>
    </row>
    <row r="50" s="88" customFormat="1" spans="1:16">
      <c r="A50" s="118">
        <v>45962</v>
      </c>
      <c r="B50" s="116" t="s">
        <v>16</v>
      </c>
      <c r="C50" s="119" t="s">
        <v>52</v>
      </c>
      <c r="D50" s="114" t="s">
        <v>53</v>
      </c>
      <c r="E50" s="114" t="s">
        <v>54</v>
      </c>
      <c r="F50" s="120">
        <v>45976</v>
      </c>
      <c r="G50" s="114" t="s">
        <v>26</v>
      </c>
      <c r="H50" s="114" t="s">
        <v>21</v>
      </c>
      <c r="I50" s="131">
        <v>8360</v>
      </c>
      <c r="J50" s="131"/>
      <c r="K50" s="136">
        <v>8360</v>
      </c>
      <c r="L50" s="136">
        <v>8360</v>
      </c>
      <c r="M50" s="136"/>
      <c r="N50" s="131">
        <f t="shared" si="1"/>
        <v>0</v>
      </c>
      <c r="O50" s="142" t="s">
        <v>64</v>
      </c>
      <c r="P50" s="138"/>
    </row>
    <row r="51" s="86" customFormat="1" spans="1:16">
      <c r="A51" s="111">
        <v>45839</v>
      </c>
      <c r="B51" s="112" t="s">
        <v>16</v>
      </c>
      <c r="C51" s="113" t="s">
        <v>77</v>
      </c>
      <c r="D51" s="112" t="s">
        <v>78</v>
      </c>
      <c r="E51" s="123" t="s">
        <v>79</v>
      </c>
      <c r="F51" s="115">
        <v>45824</v>
      </c>
      <c r="G51" s="112" t="s">
        <v>46</v>
      </c>
      <c r="H51" s="112" t="s">
        <v>23</v>
      </c>
      <c r="I51" s="130">
        <v>8745</v>
      </c>
      <c r="J51" s="130">
        <v>0</v>
      </c>
      <c r="K51" s="130">
        <v>8745</v>
      </c>
      <c r="L51" s="130">
        <v>8745</v>
      </c>
      <c r="M51" s="130"/>
      <c r="N51" s="131">
        <f t="shared" si="1"/>
        <v>0</v>
      </c>
      <c r="O51" s="132" t="s">
        <v>80</v>
      </c>
      <c r="P51" s="112"/>
    </row>
    <row r="52" s="86" customFormat="1" spans="1:16">
      <c r="A52" s="111">
        <v>45839</v>
      </c>
      <c r="B52" s="112" t="s">
        <v>16</v>
      </c>
      <c r="C52" s="113" t="s">
        <v>77</v>
      </c>
      <c r="D52" s="112" t="s">
        <v>78</v>
      </c>
      <c r="E52" s="123" t="s">
        <v>79</v>
      </c>
      <c r="F52" s="115">
        <v>45824</v>
      </c>
      <c r="G52" s="112" t="s">
        <v>46</v>
      </c>
      <c r="H52" s="112" t="s">
        <v>21</v>
      </c>
      <c r="I52" s="130">
        <v>15616.54</v>
      </c>
      <c r="J52" s="130">
        <v>0</v>
      </c>
      <c r="K52" s="130">
        <v>15616.54</v>
      </c>
      <c r="L52" s="130">
        <f>6255+5000+4361.54</f>
        <v>15616.54</v>
      </c>
      <c r="M52" s="130"/>
      <c r="N52" s="131">
        <f t="shared" si="1"/>
        <v>0</v>
      </c>
      <c r="O52" s="132" t="s">
        <v>81</v>
      </c>
      <c r="P52" s="112"/>
    </row>
    <row r="53" s="86" customFormat="1" spans="1:16">
      <c r="A53" s="111">
        <v>45839</v>
      </c>
      <c r="B53" s="112" t="s">
        <v>16</v>
      </c>
      <c r="C53" s="113" t="s">
        <v>77</v>
      </c>
      <c r="D53" s="112" t="s">
        <v>78</v>
      </c>
      <c r="E53" s="123" t="s">
        <v>79</v>
      </c>
      <c r="F53" s="115">
        <v>45824</v>
      </c>
      <c r="G53" s="112" t="s">
        <v>82</v>
      </c>
      <c r="H53" s="112" t="s">
        <v>21</v>
      </c>
      <c r="I53" s="139">
        <v>669.11</v>
      </c>
      <c r="J53" s="139">
        <v>0</v>
      </c>
      <c r="K53" s="139">
        <v>669.11</v>
      </c>
      <c r="L53" s="139">
        <v>669.11</v>
      </c>
      <c r="M53" s="139"/>
      <c r="N53" s="131">
        <f t="shared" si="1"/>
        <v>0</v>
      </c>
      <c r="O53" s="132" t="s">
        <v>83</v>
      </c>
      <c r="P53" s="112"/>
    </row>
    <row r="54" s="86" customFormat="1" spans="1:16">
      <c r="A54" s="111">
        <v>45839</v>
      </c>
      <c r="B54" s="112" t="s">
        <v>16</v>
      </c>
      <c r="C54" s="113" t="s">
        <v>77</v>
      </c>
      <c r="D54" s="112" t="s">
        <v>78</v>
      </c>
      <c r="E54" s="123" t="s">
        <v>79</v>
      </c>
      <c r="F54" s="115">
        <v>45828</v>
      </c>
      <c r="G54" s="112" t="s">
        <v>84</v>
      </c>
      <c r="H54" s="121" t="s">
        <v>30</v>
      </c>
      <c r="I54" s="139">
        <v>3000</v>
      </c>
      <c r="J54" s="139">
        <v>0</v>
      </c>
      <c r="K54" s="139">
        <v>3000</v>
      </c>
      <c r="L54" s="139">
        <v>3000</v>
      </c>
      <c r="M54" s="139"/>
      <c r="N54" s="131">
        <f t="shared" si="1"/>
        <v>0</v>
      </c>
      <c r="O54" s="143" t="s">
        <v>85</v>
      </c>
      <c r="P54" s="112"/>
    </row>
    <row r="55" s="89" customFormat="1" spans="1:17">
      <c r="A55" s="122">
        <v>45901</v>
      </c>
      <c r="B55" s="116" t="s">
        <v>16</v>
      </c>
      <c r="C55" s="78" t="s">
        <v>77</v>
      </c>
      <c r="D55" s="116" t="s">
        <v>78</v>
      </c>
      <c r="E55" s="116" t="s">
        <v>79</v>
      </c>
      <c r="F55" s="117">
        <v>45916</v>
      </c>
      <c r="G55" s="116" t="s">
        <v>86</v>
      </c>
      <c r="H55" s="116" t="s">
        <v>23</v>
      </c>
      <c r="I55" s="139">
        <v>8745</v>
      </c>
      <c r="J55" s="139">
        <v>0</v>
      </c>
      <c r="K55" s="139">
        <f>I55-J55</f>
        <v>8745</v>
      </c>
      <c r="L55" s="139">
        <f>2915*2+2915</f>
        <v>8745</v>
      </c>
      <c r="M55" s="139"/>
      <c r="N55" s="144">
        <f t="shared" si="1"/>
        <v>0</v>
      </c>
      <c r="O55" s="132" t="s">
        <v>87</v>
      </c>
      <c r="P55" s="141"/>
      <c r="Q55" s="89" t="s">
        <v>51</v>
      </c>
    </row>
    <row r="56" s="89" customFormat="1" spans="1:17">
      <c r="A56" s="122">
        <v>45901</v>
      </c>
      <c r="B56" s="116" t="s">
        <v>16</v>
      </c>
      <c r="C56" s="78" t="s">
        <v>77</v>
      </c>
      <c r="D56" s="116" t="s">
        <v>78</v>
      </c>
      <c r="E56" s="116" t="s">
        <v>79</v>
      </c>
      <c r="F56" s="117">
        <v>45916</v>
      </c>
      <c r="G56" s="116" t="s">
        <v>86</v>
      </c>
      <c r="H56" s="116" t="s">
        <v>21</v>
      </c>
      <c r="I56" s="139">
        <v>16332.48</v>
      </c>
      <c r="J56" s="139">
        <v>0</v>
      </c>
      <c r="K56" s="139">
        <f>I56-J56</f>
        <v>16332.48</v>
      </c>
      <c r="L56" s="139">
        <f>2085*2+12054.35+108.13</f>
        <v>16332.48</v>
      </c>
      <c r="M56" s="139"/>
      <c r="N56" s="144">
        <f t="shared" si="1"/>
        <v>0</v>
      </c>
      <c r="O56" s="132" t="s">
        <v>88</v>
      </c>
      <c r="P56" s="141"/>
      <c r="Q56" s="89" t="s">
        <v>51</v>
      </c>
    </row>
    <row r="57" s="86" customFormat="1" spans="1:16">
      <c r="A57" s="111">
        <v>45839</v>
      </c>
      <c r="B57" s="112" t="s">
        <v>16</v>
      </c>
      <c r="C57" s="113" t="s">
        <v>89</v>
      </c>
      <c r="D57" s="112" t="s">
        <v>90</v>
      </c>
      <c r="E57" s="112" t="s">
        <v>91</v>
      </c>
      <c r="F57" s="115">
        <v>45824</v>
      </c>
      <c r="G57" s="112" t="s">
        <v>92</v>
      </c>
      <c r="H57" s="112" t="s">
        <v>21</v>
      </c>
      <c r="I57" s="130">
        <v>1349.75</v>
      </c>
      <c r="J57" s="130">
        <v>0</v>
      </c>
      <c r="K57" s="130">
        <v>1349.75</v>
      </c>
      <c r="L57" s="130">
        <v>1349.75</v>
      </c>
      <c r="M57" s="130"/>
      <c r="N57" s="131">
        <f t="shared" si="1"/>
        <v>0</v>
      </c>
      <c r="O57" s="132" t="s">
        <v>93</v>
      </c>
      <c r="P57" s="112"/>
    </row>
    <row r="58" s="86" customFormat="1" spans="1:16">
      <c r="A58" s="111">
        <v>45839</v>
      </c>
      <c r="B58" s="112" t="s">
        <v>16</v>
      </c>
      <c r="C58" s="113" t="s">
        <v>89</v>
      </c>
      <c r="D58" s="112" t="s">
        <v>90</v>
      </c>
      <c r="E58" s="112" t="s">
        <v>91</v>
      </c>
      <c r="F58" s="115">
        <v>45824</v>
      </c>
      <c r="G58" s="112" t="s">
        <v>92</v>
      </c>
      <c r="H58" s="112" t="s">
        <v>23</v>
      </c>
      <c r="I58" s="130">
        <v>1513.48</v>
      </c>
      <c r="J58" s="130">
        <v>0</v>
      </c>
      <c r="K58" s="130">
        <v>1513.48</v>
      </c>
      <c r="L58" s="130">
        <v>1513.48</v>
      </c>
      <c r="M58" s="130"/>
      <c r="N58" s="131">
        <f t="shared" si="1"/>
        <v>0</v>
      </c>
      <c r="O58" s="132" t="s">
        <v>93</v>
      </c>
      <c r="P58" s="112"/>
    </row>
    <row r="59" s="88" customFormat="1" spans="1:16">
      <c r="A59" s="118">
        <v>45962</v>
      </c>
      <c r="B59" s="112" t="s">
        <v>16</v>
      </c>
      <c r="C59" s="119" t="s">
        <v>89</v>
      </c>
      <c r="D59" s="114" t="s">
        <v>94</v>
      </c>
      <c r="E59" s="114" t="s">
        <v>95</v>
      </c>
      <c r="F59" s="120">
        <v>45976</v>
      </c>
      <c r="G59" s="114" t="s">
        <v>96</v>
      </c>
      <c r="H59" s="114" t="s">
        <v>23</v>
      </c>
      <c r="I59" s="136">
        <v>5115</v>
      </c>
      <c r="J59" s="131"/>
      <c r="K59" s="136">
        <v>5115</v>
      </c>
      <c r="L59" s="136">
        <v>5115</v>
      </c>
      <c r="M59" s="136"/>
      <c r="N59" s="131">
        <f t="shared" si="1"/>
        <v>0</v>
      </c>
      <c r="O59" s="137" t="s">
        <v>97</v>
      </c>
      <c r="P59" s="138"/>
    </row>
    <row r="60" s="88" customFormat="1" spans="1:16">
      <c r="A60" s="118">
        <v>45962</v>
      </c>
      <c r="B60" s="112" t="s">
        <v>16</v>
      </c>
      <c r="C60" s="119" t="s">
        <v>89</v>
      </c>
      <c r="D60" s="114" t="s">
        <v>94</v>
      </c>
      <c r="E60" s="114" t="s">
        <v>95</v>
      </c>
      <c r="F60" s="120">
        <v>45976</v>
      </c>
      <c r="G60" s="114" t="s">
        <v>98</v>
      </c>
      <c r="H60" s="114" t="s">
        <v>23</v>
      </c>
      <c r="I60" s="136">
        <v>5115</v>
      </c>
      <c r="J60" s="131"/>
      <c r="K60" s="136">
        <v>5115</v>
      </c>
      <c r="L60" s="136">
        <v>5115</v>
      </c>
      <c r="M60" s="136"/>
      <c r="N60" s="131">
        <f t="shared" si="1"/>
        <v>0</v>
      </c>
      <c r="O60" s="137" t="s">
        <v>97</v>
      </c>
      <c r="P60" s="138"/>
    </row>
    <row r="61" s="88" customFormat="1" spans="1:16">
      <c r="A61" s="118">
        <v>45962</v>
      </c>
      <c r="B61" s="112" t="s">
        <v>16</v>
      </c>
      <c r="C61" s="119" t="s">
        <v>89</v>
      </c>
      <c r="D61" s="114" t="s">
        <v>94</v>
      </c>
      <c r="E61" s="114" t="s">
        <v>95</v>
      </c>
      <c r="F61" s="120">
        <v>45976</v>
      </c>
      <c r="G61" s="114" t="s">
        <v>26</v>
      </c>
      <c r="H61" s="114" t="s">
        <v>23</v>
      </c>
      <c r="I61" s="136">
        <v>5115</v>
      </c>
      <c r="J61" s="131"/>
      <c r="K61" s="136">
        <v>5115</v>
      </c>
      <c r="L61" s="136">
        <v>5115</v>
      </c>
      <c r="M61" s="136"/>
      <c r="N61" s="131">
        <f t="shared" si="1"/>
        <v>0</v>
      </c>
      <c r="O61" s="137" t="s">
        <v>97</v>
      </c>
      <c r="P61" s="138"/>
    </row>
    <row r="62" s="88" customFormat="1" spans="1:16">
      <c r="A62" s="118">
        <v>45962</v>
      </c>
      <c r="B62" s="112" t="s">
        <v>16</v>
      </c>
      <c r="C62" s="119" t="s">
        <v>89</v>
      </c>
      <c r="D62" s="114" t="s">
        <v>94</v>
      </c>
      <c r="E62" s="114" t="s">
        <v>95</v>
      </c>
      <c r="F62" s="120">
        <v>45976</v>
      </c>
      <c r="G62" s="114" t="s">
        <v>96</v>
      </c>
      <c r="H62" s="114" t="s">
        <v>21</v>
      </c>
      <c r="I62" s="131">
        <v>8835</v>
      </c>
      <c r="J62" s="131"/>
      <c r="K62" s="136">
        <v>8835</v>
      </c>
      <c r="L62" s="136">
        <v>8835</v>
      </c>
      <c r="M62" s="136"/>
      <c r="N62" s="131">
        <f t="shared" si="1"/>
        <v>0</v>
      </c>
      <c r="O62" s="137" t="s">
        <v>97</v>
      </c>
      <c r="P62" s="138"/>
    </row>
    <row r="63" s="88" customFormat="1" spans="1:16">
      <c r="A63" s="118">
        <v>45962</v>
      </c>
      <c r="B63" s="112" t="s">
        <v>16</v>
      </c>
      <c r="C63" s="119" t="s">
        <v>89</v>
      </c>
      <c r="D63" s="114" t="s">
        <v>94</v>
      </c>
      <c r="E63" s="114" t="s">
        <v>95</v>
      </c>
      <c r="F63" s="120">
        <v>45976</v>
      </c>
      <c r="G63" s="114" t="s">
        <v>98</v>
      </c>
      <c r="H63" s="114" t="s">
        <v>21</v>
      </c>
      <c r="I63" s="131">
        <v>8835</v>
      </c>
      <c r="J63" s="131"/>
      <c r="K63" s="136">
        <v>8835</v>
      </c>
      <c r="L63" s="136">
        <v>8835</v>
      </c>
      <c r="M63" s="136"/>
      <c r="N63" s="131">
        <f t="shared" si="1"/>
        <v>0</v>
      </c>
      <c r="O63" s="137" t="s">
        <v>97</v>
      </c>
      <c r="P63" s="138"/>
    </row>
    <row r="64" s="88" customFormat="1" spans="1:16">
      <c r="A64" s="118">
        <v>45962</v>
      </c>
      <c r="B64" s="112" t="s">
        <v>16</v>
      </c>
      <c r="C64" s="119" t="s">
        <v>89</v>
      </c>
      <c r="D64" s="114" t="s">
        <v>94</v>
      </c>
      <c r="E64" s="114" t="s">
        <v>95</v>
      </c>
      <c r="F64" s="120">
        <v>45976</v>
      </c>
      <c r="G64" s="114" t="s">
        <v>26</v>
      </c>
      <c r="H64" s="114" t="s">
        <v>21</v>
      </c>
      <c r="I64" s="131">
        <v>8835</v>
      </c>
      <c r="J64" s="131"/>
      <c r="K64" s="136">
        <v>8835</v>
      </c>
      <c r="L64" s="136">
        <v>8835</v>
      </c>
      <c r="M64" s="136"/>
      <c r="N64" s="131">
        <f t="shared" si="1"/>
        <v>0</v>
      </c>
      <c r="O64" s="137" t="s">
        <v>97</v>
      </c>
      <c r="P64" s="138"/>
    </row>
    <row r="65" s="86" customFormat="1" spans="1:16">
      <c r="A65" s="111">
        <v>45839</v>
      </c>
      <c r="B65" s="112" t="s">
        <v>16</v>
      </c>
      <c r="C65" s="119" t="s">
        <v>99</v>
      </c>
      <c r="D65" s="112" t="s">
        <v>100</v>
      </c>
      <c r="E65" s="114" t="s">
        <v>101</v>
      </c>
      <c r="F65" s="115">
        <v>45856</v>
      </c>
      <c r="G65" s="112" t="s">
        <v>102</v>
      </c>
      <c r="H65" s="112" t="s">
        <v>23</v>
      </c>
      <c r="I65" s="130">
        <v>2860</v>
      </c>
      <c r="J65" s="130">
        <v>0</v>
      </c>
      <c r="K65" s="130">
        <f t="shared" ref="K65:K70" si="3">I65-J65</f>
        <v>2860</v>
      </c>
      <c r="L65" s="130">
        <v>2860</v>
      </c>
      <c r="M65" s="130"/>
      <c r="N65" s="131">
        <f t="shared" si="1"/>
        <v>0</v>
      </c>
      <c r="O65" s="132" t="s">
        <v>103</v>
      </c>
      <c r="P65" s="112"/>
    </row>
    <row r="66" s="86" customFormat="1" spans="1:16">
      <c r="A66" s="111">
        <v>45839</v>
      </c>
      <c r="B66" s="112" t="s">
        <v>16</v>
      </c>
      <c r="C66" s="119" t="s">
        <v>99</v>
      </c>
      <c r="D66" s="112" t="s">
        <v>100</v>
      </c>
      <c r="E66" s="114" t="s">
        <v>101</v>
      </c>
      <c r="F66" s="115">
        <v>45869</v>
      </c>
      <c r="G66" s="112" t="s">
        <v>102</v>
      </c>
      <c r="H66" s="112" t="s">
        <v>21</v>
      </c>
      <c r="I66" s="130">
        <v>18826.48</v>
      </c>
      <c r="J66" s="130">
        <v>0</v>
      </c>
      <c r="K66" s="130">
        <f t="shared" si="3"/>
        <v>18826.48</v>
      </c>
      <c r="L66" s="130">
        <v>18826.48</v>
      </c>
      <c r="M66" s="130"/>
      <c r="N66" s="131">
        <f t="shared" si="1"/>
        <v>0</v>
      </c>
      <c r="O66" s="132" t="s">
        <v>103</v>
      </c>
      <c r="P66" s="112"/>
    </row>
    <row r="67" s="87" customFormat="1" spans="1:16">
      <c r="A67" s="111">
        <v>45870</v>
      </c>
      <c r="B67" s="116" t="s">
        <v>16</v>
      </c>
      <c r="C67" s="119" t="s">
        <v>99</v>
      </c>
      <c r="D67" s="116" t="s">
        <v>100</v>
      </c>
      <c r="E67" s="114" t="s">
        <v>101</v>
      </c>
      <c r="F67" s="117">
        <v>45887</v>
      </c>
      <c r="G67" s="116" t="s">
        <v>55</v>
      </c>
      <c r="H67" s="116" t="s">
        <v>23</v>
      </c>
      <c r="I67" s="133">
        <v>2860</v>
      </c>
      <c r="J67" s="133">
        <v>0</v>
      </c>
      <c r="K67" s="133">
        <f t="shared" si="3"/>
        <v>2860</v>
      </c>
      <c r="L67" s="153">
        <v>2860</v>
      </c>
      <c r="M67" s="153"/>
      <c r="N67" s="131">
        <f t="shared" ref="N67:N130" si="4">K67-L67</f>
        <v>0</v>
      </c>
      <c r="O67" s="134" t="s">
        <v>104</v>
      </c>
      <c r="P67" s="135"/>
    </row>
    <row r="68" s="87" customFormat="1" spans="1:16">
      <c r="A68" s="111">
        <v>45870</v>
      </c>
      <c r="B68" s="116" t="s">
        <v>16</v>
      </c>
      <c r="C68" s="119" t="s">
        <v>99</v>
      </c>
      <c r="D68" s="135" t="s">
        <v>100</v>
      </c>
      <c r="E68" s="114" t="s">
        <v>101</v>
      </c>
      <c r="F68" s="117">
        <v>45900</v>
      </c>
      <c r="G68" s="135" t="s">
        <v>55</v>
      </c>
      <c r="H68" s="112" t="s">
        <v>21</v>
      </c>
      <c r="I68" s="154">
        <v>20093.64</v>
      </c>
      <c r="J68" s="154">
        <v>0</v>
      </c>
      <c r="K68" s="133">
        <f t="shared" si="3"/>
        <v>20093.64</v>
      </c>
      <c r="L68" s="153">
        <f>K68</f>
        <v>20093.64</v>
      </c>
      <c r="M68" s="153"/>
      <c r="N68" s="131">
        <f t="shared" si="4"/>
        <v>0</v>
      </c>
      <c r="O68" s="134" t="s">
        <v>104</v>
      </c>
      <c r="P68" s="135"/>
    </row>
    <row r="69" s="89" customFormat="1" spans="1:16">
      <c r="A69" s="122">
        <v>45901</v>
      </c>
      <c r="B69" s="116" t="s">
        <v>16</v>
      </c>
      <c r="C69" s="119" t="s">
        <v>99</v>
      </c>
      <c r="D69" s="116" t="s">
        <v>100</v>
      </c>
      <c r="E69" s="114" t="s">
        <v>101</v>
      </c>
      <c r="F69" s="117">
        <v>45918</v>
      </c>
      <c r="G69" s="116" t="s">
        <v>56</v>
      </c>
      <c r="H69" s="116" t="s">
        <v>23</v>
      </c>
      <c r="I69" s="139">
        <v>2860</v>
      </c>
      <c r="J69" s="139">
        <v>0</v>
      </c>
      <c r="K69" s="139">
        <f t="shared" si="3"/>
        <v>2860</v>
      </c>
      <c r="L69" s="139">
        <v>2860</v>
      </c>
      <c r="M69" s="139"/>
      <c r="N69" s="131">
        <f t="shared" si="4"/>
        <v>0</v>
      </c>
      <c r="O69" s="140" t="s">
        <v>50</v>
      </c>
      <c r="P69" s="141"/>
    </row>
    <row r="70" s="89" customFormat="1" spans="1:16">
      <c r="A70" s="122">
        <v>45901</v>
      </c>
      <c r="B70" s="116" t="s">
        <v>16</v>
      </c>
      <c r="C70" s="119" t="s">
        <v>99</v>
      </c>
      <c r="D70" s="135" t="s">
        <v>100</v>
      </c>
      <c r="E70" s="114" t="s">
        <v>101</v>
      </c>
      <c r="F70" s="117">
        <v>45930</v>
      </c>
      <c r="G70" s="135" t="s">
        <v>56</v>
      </c>
      <c r="H70" s="112" t="s">
        <v>21</v>
      </c>
      <c r="I70" s="139">
        <v>23154.33</v>
      </c>
      <c r="J70" s="139">
        <v>0</v>
      </c>
      <c r="K70" s="139">
        <f t="shared" si="3"/>
        <v>23154.33</v>
      </c>
      <c r="L70" s="139">
        <v>23154.33</v>
      </c>
      <c r="M70" s="139"/>
      <c r="N70" s="131">
        <f t="shared" si="4"/>
        <v>0</v>
      </c>
      <c r="O70" s="140" t="s">
        <v>50</v>
      </c>
      <c r="P70" s="141"/>
    </row>
    <row r="71" s="88" customFormat="1" spans="1:16">
      <c r="A71" s="118">
        <v>45931</v>
      </c>
      <c r="B71" s="116" t="s">
        <v>16</v>
      </c>
      <c r="C71" s="119" t="s">
        <v>99</v>
      </c>
      <c r="D71" s="114" t="s">
        <v>100</v>
      </c>
      <c r="E71" s="114" t="s">
        <v>101</v>
      </c>
      <c r="F71" s="120">
        <v>45950</v>
      </c>
      <c r="G71" s="114" t="s">
        <v>58</v>
      </c>
      <c r="H71" s="112" t="s">
        <v>21</v>
      </c>
      <c r="I71" s="136">
        <v>20948.34</v>
      </c>
      <c r="J71" s="131"/>
      <c r="K71" s="136">
        <v>20948.34</v>
      </c>
      <c r="L71" s="136">
        <v>20948.34</v>
      </c>
      <c r="M71" s="136"/>
      <c r="N71" s="131">
        <f t="shared" si="4"/>
        <v>0</v>
      </c>
      <c r="O71" s="137" t="s">
        <v>105</v>
      </c>
      <c r="P71" s="138"/>
    </row>
    <row r="72" s="88" customFormat="1" spans="1:16">
      <c r="A72" s="118">
        <v>45931</v>
      </c>
      <c r="B72" s="116" t="s">
        <v>16</v>
      </c>
      <c r="C72" s="119" t="s">
        <v>99</v>
      </c>
      <c r="D72" s="114" t="s">
        <v>100</v>
      </c>
      <c r="E72" s="114" t="s">
        <v>101</v>
      </c>
      <c r="F72" s="120">
        <v>45945</v>
      </c>
      <c r="G72" s="114" t="s">
        <v>58</v>
      </c>
      <c r="H72" s="114" t="s">
        <v>23</v>
      </c>
      <c r="I72" s="136">
        <v>2860</v>
      </c>
      <c r="J72" s="131"/>
      <c r="K72" s="136">
        <v>2860</v>
      </c>
      <c r="L72" s="136">
        <v>2860</v>
      </c>
      <c r="M72" s="136"/>
      <c r="N72" s="131">
        <f t="shared" si="4"/>
        <v>0</v>
      </c>
      <c r="O72" s="137" t="s">
        <v>105</v>
      </c>
      <c r="P72" s="138"/>
    </row>
    <row r="73" s="88" customFormat="1" spans="1:16">
      <c r="A73" s="118">
        <v>45962</v>
      </c>
      <c r="B73" s="116" t="s">
        <v>16</v>
      </c>
      <c r="C73" s="119" t="s">
        <v>99</v>
      </c>
      <c r="D73" s="114" t="s">
        <v>100</v>
      </c>
      <c r="E73" s="114" t="s">
        <v>101</v>
      </c>
      <c r="F73" s="120">
        <v>45976</v>
      </c>
      <c r="G73" s="114" t="s">
        <v>60</v>
      </c>
      <c r="H73" s="114" t="s">
        <v>23</v>
      </c>
      <c r="I73" s="136">
        <v>2860</v>
      </c>
      <c r="J73" s="131"/>
      <c r="K73" s="136">
        <v>2860</v>
      </c>
      <c r="L73" s="136">
        <v>2860</v>
      </c>
      <c r="M73" s="136"/>
      <c r="N73" s="131">
        <f t="shared" si="4"/>
        <v>0</v>
      </c>
      <c r="O73" s="137" t="s">
        <v>106</v>
      </c>
      <c r="P73" s="138"/>
    </row>
    <row r="74" s="88" customFormat="1" spans="1:16">
      <c r="A74" s="118">
        <v>45962</v>
      </c>
      <c r="B74" s="116" t="s">
        <v>16</v>
      </c>
      <c r="C74" s="119" t="s">
        <v>99</v>
      </c>
      <c r="D74" s="114" t="s">
        <v>100</v>
      </c>
      <c r="E74" s="114" t="s">
        <v>101</v>
      </c>
      <c r="F74" s="120">
        <v>45976</v>
      </c>
      <c r="G74" s="114" t="s">
        <v>60</v>
      </c>
      <c r="H74" s="112" t="s">
        <v>21</v>
      </c>
      <c r="I74" s="131">
        <v>26492.52</v>
      </c>
      <c r="J74" s="131"/>
      <c r="K74" s="136">
        <v>26492.52</v>
      </c>
      <c r="L74" s="136">
        <v>26492.52</v>
      </c>
      <c r="M74" s="136"/>
      <c r="N74" s="131">
        <f t="shared" si="4"/>
        <v>0</v>
      </c>
      <c r="O74" s="137" t="s">
        <v>106</v>
      </c>
      <c r="P74" s="138"/>
    </row>
    <row r="75" s="87" customFormat="1" spans="1:16">
      <c r="A75" s="111">
        <v>45870</v>
      </c>
      <c r="B75" s="116" t="s">
        <v>16</v>
      </c>
      <c r="C75" s="78" t="s">
        <v>107</v>
      </c>
      <c r="D75" s="116" t="s">
        <v>108</v>
      </c>
      <c r="E75" s="116" t="s">
        <v>109</v>
      </c>
      <c r="F75" s="117">
        <v>45900</v>
      </c>
      <c r="G75" s="116" t="s">
        <v>110</v>
      </c>
      <c r="H75" s="112" t="s">
        <v>21</v>
      </c>
      <c r="I75" s="133">
        <v>76234.19</v>
      </c>
      <c r="J75" s="133">
        <v>0</v>
      </c>
      <c r="K75" s="133">
        <f t="shared" ref="K75:K82" si="5">I75-J75</f>
        <v>76234.19</v>
      </c>
      <c r="L75" s="133">
        <v>76234.19</v>
      </c>
      <c r="M75" s="133"/>
      <c r="N75" s="131">
        <f t="shared" si="4"/>
        <v>0</v>
      </c>
      <c r="O75" s="134" t="s">
        <v>111</v>
      </c>
      <c r="P75" s="135"/>
    </row>
    <row r="76" s="87" customFormat="1" spans="1:16">
      <c r="A76" s="111">
        <v>45870</v>
      </c>
      <c r="B76" s="116" t="s">
        <v>16</v>
      </c>
      <c r="C76" s="78" t="s">
        <v>107</v>
      </c>
      <c r="D76" s="116" t="s">
        <v>108</v>
      </c>
      <c r="E76" s="116" t="s">
        <v>109</v>
      </c>
      <c r="F76" s="117">
        <v>45900</v>
      </c>
      <c r="G76" s="116" t="s">
        <v>110</v>
      </c>
      <c r="H76" s="116" t="s">
        <v>23</v>
      </c>
      <c r="I76" s="133">
        <v>20170.68</v>
      </c>
      <c r="J76" s="133">
        <v>0</v>
      </c>
      <c r="K76" s="133">
        <f t="shared" si="5"/>
        <v>20170.68</v>
      </c>
      <c r="L76" s="133">
        <v>20170.68</v>
      </c>
      <c r="M76" s="133"/>
      <c r="N76" s="131">
        <f t="shared" si="4"/>
        <v>0</v>
      </c>
      <c r="O76" s="134" t="s">
        <v>111</v>
      </c>
      <c r="P76" s="135"/>
    </row>
    <row r="77" s="86" customFormat="1" spans="1:16">
      <c r="A77" s="111">
        <v>45839</v>
      </c>
      <c r="B77" s="116" t="s">
        <v>16</v>
      </c>
      <c r="C77" s="113" t="s">
        <v>112</v>
      </c>
      <c r="D77" s="112" t="s">
        <v>113</v>
      </c>
      <c r="E77" s="112" t="s">
        <v>114</v>
      </c>
      <c r="F77" s="115">
        <v>45838</v>
      </c>
      <c r="G77" s="112" t="s">
        <v>115</v>
      </c>
      <c r="H77" s="112" t="s">
        <v>23</v>
      </c>
      <c r="I77" s="130">
        <v>2760</v>
      </c>
      <c r="J77" s="130">
        <v>0</v>
      </c>
      <c r="K77" s="130">
        <v>2760</v>
      </c>
      <c r="L77" s="130">
        <v>2760</v>
      </c>
      <c r="M77" s="130"/>
      <c r="N77" s="131">
        <f t="shared" si="4"/>
        <v>0</v>
      </c>
      <c r="O77" s="132" t="s">
        <v>116</v>
      </c>
      <c r="P77" s="112"/>
    </row>
    <row r="78" s="86" customFormat="1" spans="1:16">
      <c r="A78" s="111">
        <v>45839</v>
      </c>
      <c r="B78" s="116" t="s">
        <v>16</v>
      </c>
      <c r="C78" s="113" t="s">
        <v>112</v>
      </c>
      <c r="D78" s="112" t="s">
        <v>113</v>
      </c>
      <c r="E78" s="112" t="s">
        <v>114</v>
      </c>
      <c r="F78" s="115">
        <v>45868</v>
      </c>
      <c r="G78" s="112" t="s">
        <v>55</v>
      </c>
      <c r="H78" s="112" t="s">
        <v>23</v>
      </c>
      <c r="I78" s="130">
        <v>2760</v>
      </c>
      <c r="J78" s="130">
        <v>0</v>
      </c>
      <c r="K78" s="130">
        <f t="shared" si="5"/>
        <v>2760</v>
      </c>
      <c r="L78" s="130">
        <v>2760</v>
      </c>
      <c r="M78" s="130"/>
      <c r="N78" s="131">
        <f t="shared" si="4"/>
        <v>0</v>
      </c>
      <c r="O78" s="132" t="s">
        <v>104</v>
      </c>
      <c r="P78" s="112"/>
    </row>
    <row r="79" s="86" customFormat="1" spans="1:16">
      <c r="A79" s="111">
        <v>45839</v>
      </c>
      <c r="B79" s="116" t="s">
        <v>16</v>
      </c>
      <c r="C79" s="113" t="s">
        <v>112</v>
      </c>
      <c r="D79" s="112" t="s">
        <v>113</v>
      </c>
      <c r="E79" s="112" t="s">
        <v>114</v>
      </c>
      <c r="F79" s="115">
        <v>45869</v>
      </c>
      <c r="G79" s="112" t="s">
        <v>102</v>
      </c>
      <c r="H79" s="112" t="s">
        <v>21</v>
      </c>
      <c r="I79" s="130">
        <v>28010.26</v>
      </c>
      <c r="J79" s="130">
        <v>0</v>
      </c>
      <c r="K79" s="130">
        <f t="shared" si="5"/>
        <v>28010.26</v>
      </c>
      <c r="L79" s="130">
        <v>28010.26</v>
      </c>
      <c r="M79" s="130"/>
      <c r="N79" s="131">
        <f t="shared" si="4"/>
        <v>0</v>
      </c>
      <c r="O79" s="132" t="s">
        <v>104</v>
      </c>
      <c r="P79" s="112"/>
    </row>
    <row r="80" s="87" customFormat="1" spans="1:16">
      <c r="A80" s="111">
        <v>45870</v>
      </c>
      <c r="B80" s="116" t="s">
        <v>16</v>
      </c>
      <c r="C80" s="78" t="s">
        <v>112</v>
      </c>
      <c r="D80" s="116" t="s">
        <v>113</v>
      </c>
      <c r="E80" s="116" t="s">
        <v>114</v>
      </c>
      <c r="F80" s="117">
        <v>45899</v>
      </c>
      <c r="G80" s="116" t="s">
        <v>56</v>
      </c>
      <c r="H80" s="116" t="s">
        <v>23</v>
      </c>
      <c r="I80" s="133">
        <v>2760</v>
      </c>
      <c r="J80" s="133">
        <v>0</v>
      </c>
      <c r="K80" s="133">
        <f t="shared" si="5"/>
        <v>2760</v>
      </c>
      <c r="L80" s="133">
        <v>2760</v>
      </c>
      <c r="M80" s="133"/>
      <c r="N80" s="131">
        <f t="shared" si="4"/>
        <v>0</v>
      </c>
      <c r="O80" s="134" t="s">
        <v>104</v>
      </c>
      <c r="P80" s="135"/>
    </row>
    <row r="81" s="87" customFormat="1" spans="1:16">
      <c r="A81" s="111">
        <v>45870</v>
      </c>
      <c r="B81" s="116" t="s">
        <v>16</v>
      </c>
      <c r="C81" s="78" t="s">
        <v>112</v>
      </c>
      <c r="D81" s="135" t="s">
        <v>113</v>
      </c>
      <c r="E81" s="135" t="s">
        <v>114</v>
      </c>
      <c r="F81" s="117">
        <v>45900</v>
      </c>
      <c r="G81" s="135" t="s">
        <v>55</v>
      </c>
      <c r="H81" s="112" t="s">
        <v>21</v>
      </c>
      <c r="I81" s="154">
        <v>28494.25</v>
      </c>
      <c r="J81" s="154">
        <v>0</v>
      </c>
      <c r="K81" s="133">
        <f t="shared" si="5"/>
        <v>28494.25</v>
      </c>
      <c r="L81" s="133">
        <f>K81</f>
        <v>28494.25</v>
      </c>
      <c r="M81" s="133"/>
      <c r="N81" s="131">
        <f t="shared" si="4"/>
        <v>0</v>
      </c>
      <c r="O81" s="134" t="s">
        <v>104</v>
      </c>
      <c r="P81" s="135"/>
    </row>
    <row r="82" s="89" customFormat="1" spans="1:16">
      <c r="A82" s="122">
        <v>45901</v>
      </c>
      <c r="B82" s="116" t="s">
        <v>16</v>
      </c>
      <c r="C82" s="78" t="s">
        <v>112</v>
      </c>
      <c r="D82" s="116" t="s">
        <v>113</v>
      </c>
      <c r="E82" s="116" t="s">
        <v>114</v>
      </c>
      <c r="F82" s="117">
        <v>45930</v>
      </c>
      <c r="G82" s="116" t="s">
        <v>58</v>
      </c>
      <c r="H82" s="116" t="s">
        <v>23</v>
      </c>
      <c r="I82" s="139">
        <v>2760</v>
      </c>
      <c r="J82" s="139">
        <v>0</v>
      </c>
      <c r="K82" s="139">
        <f t="shared" si="5"/>
        <v>2760</v>
      </c>
      <c r="L82" s="139">
        <v>2760</v>
      </c>
      <c r="M82" s="139"/>
      <c r="N82" s="131">
        <f t="shared" si="4"/>
        <v>0</v>
      </c>
      <c r="O82" s="140" t="s">
        <v>25</v>
      </c>
      <c r="P82" s="141"/>
    </row>
    <row r="83" s="89" customFormat="1" spans="1:16">
      <c r="A83" s="122">
        <v>45901</v>
      </c>
      <c r="B83" s="116" t="s">
        <v>16</v>
      </c>
      <c r="C83" s="78" t="s">
        <v>112</v>
      </c>
      <c r="D83" s="135" t="s">
        <v>113</v>
      </c>
      <c r="E83" s="135" t="s">
        <v>114</v>
      </c>
      <c r="F83" s="117">
        <v>45930</v>
      </c>
      <c r="G83" s="135" t="s">
        <v>56</v>
      </c>
      <c r="H83" s="112" t="s">
        <v>21</v>
      </c>
      <c r="I83" s="139">
        <v>32512.16</v>
      </c>
      <c r="J83" s="139">
        <v>0</v>
      </c>
      <c r="K83" s="154">
        <f>I83</f>
        <v>32512.16</v>
      </c>
      <c r="L83" s="139">
        <v>32512.16</v>
      </c>
      <c r="M83" s="139"/>
      <c r="N83" s="131">
        <f t="shared" si="4"/>
        <v>0</v>
      </c>
      <c r="O83" s="155" t="s">
        <v>25</v>
      </c>
      <c r="P83" s="141"/>
    </row>
    <row r="84" s="88" customFormat="1" spans="1:16">
      <c r="A84" s="118">
        <v>45931</v>
      </c>
      <c r="B84" s="116" t="s">
        <v>16</v>
      </c>
      <c r="C84" s="119" t="s">
        <v>112</v>
      </c>
      <c r="D84" s="114" t="s">
        <v>113</v>
      </c>
      <c r="E84" s="114" t="s">
        <v>114</v>
      </c>
      <c r="F84" s="120">
        <v>45946</v>
      </c>
      <c r="G84" s="114" t="s">
        <v>58</v>
      </c>
      <c r="H84" s="112" t="s">
        <v>21</v>
      </c>
      <c r="I84" s="136">
        <v>23457.38</v>
      </c>
      <c r="J84" s="131"/>
      <c r="K84" s="136">
        <v>23457.38</v>
      </c>
      <c r="L84" s="136">
        <v>23457.38</v>
      </c>
      <c r="M84" s="136"/>
      <c r="N84" s="131">
        <f t="shared" si="4"/>
        <v>0</v>
      </c>
      <c r="O84" s="137" t="s">
        <v>105</v>
      </c>
      <c r="P84" s="138"/>
    </row>
    <row r="85" s="88" customFormat="1" spans="1:16">
      <c r="A85" s="118">
        <v>45931</v>
      </c>
      <c r="B85" s="116" t="s">
        <v>16</v>
      </c>
      <c r="C85" s="119" t="s">
        <v>112</v>
      </c>
      <c r="D85" s="114" t="s">
        <v>113</v>
      </c>
      <c r="E85" s="114" t="s">
        <v>114</v>
      </c>
      <c r="F85" s="120">
        <v>45946</v>
      </c>
      <c r="G85" s="114" t="s">
        <v>60</v>
      </c>
      <c r="H85" s="114" t="s">
        <v>23</v>
      </c>
      <c r="I85" s="136">
        <v>2760</v>
      </c>
      <c r="J85" s="131"/>
      <c r="K85" s="136">
        <v>2760</v>
      </c>
      <c r="L85" s="136">
        <v>2760</v>
      </c>
      <c r="M85" s="136"/>
      <c r="N85" s="131">
        <f t="shared" si="4"/>
        <v>0</v>
      </c>
      <c r="O85" s="137" t="s">
        <v>105</v>
      </c>
      <c r="P85" s="138"/>
    </row>
    <row r="86" s="88" customFormat="1" spans="1:16">
      <c r="A86" s="118">
        <v>45962</v>
      </c>
      <c r="B86" s="116" t="s">
        <v>16</v>
      </c>
      <c r="C86" s="119" t="s">
        <v>112</v>
      </c>
      <c r="D86" s="114" t="s">
        <v>113</v>
      </c>
      <c r="E86" s="114" t="s">
        <v>114</v>
      </c>
      <c r="F86" s="120">
        <v>45976</v>
      </c>
      <c r="G86" s="114" t="s">
        <v>28</v>
      </c>
      <c r="H86" s="114" t="s">
        <v>23</v>
      </c>
      <c r="I86" s="136">
        <v>2760</v>
      </c>
      <c r="J86" s="131"/>
      <c r="K86" s="136">
        <v>2760</v>
      </c>
      <c r="L86" s="136">
        <v>2760</v>
      </c>
      <c r="M86" s="136"/>
      <c r="N86" s="131">
        <f t="shared" si="4"/>
        <v>0</v>
      </c>
      <c r="O86" s="114" t="s">
        <v>117</v>
      </c>
      <c r="P86" s="138"/>
    </row>
    <row r="87" s="88" customFormat="1" spans="1:16">
      <c r="A87" s="118">
        <v>45962</v>
      </c>
      <c r="B87" s="116" t="s">
        <v>16</v>
      </c>
      <c r="C87" s="119" t="s">
        <v>112</v>
      </c>
      <c r="D87" s="114" t="s">
        <v>113</v>
      </c>
      <c r="E87" s="114" t="s">
        <v>114</v>
      </c>
      <c r="F87" s="120">
        <v>45976</v>
      </c>
      <c r="G87" s="114" t="s">
        <v>60</v>
      </c>
      <c r="H87" s="112" t="s">
        <v>21</v>
      </c>
      <c r="I87" s="131">
        <v>25763.44</v>
      </c>
      <c r="J87" s="131"/>
      <c r="K87" s="136">
        <v>25763.44</v>
      </c>
      <c r="L87" s="136">
        <v>25763.44</v>
      </c>
      <c r="M87" s="136"/>
      <c r="N87" s="131">
        <f t="shared" si="4"/>
        <v>0</v>
      </c>
      <c r="O87" s="114" t="s">
        <v>117</v>
      </c>
      <c r="P87" s="138"/>
    </row>
    <row r="88" s="86" customFormat="1" spans="1:16">
      <c r="A88" s="111">
        <v>45839</v>
      </c>
      <c r="B88" s="112" t="s">
        <v>16</v>
      </c>
      <c r="C88" s="113" t="s">
        <v>118</v>
      </c>
      <c r="D88" s="112" t="s">
        <v>119</v>
      </c>
      <c r="E88" s="112" t="s">
        <v>120</v>
      </c>
      <c r="F88" s="115">
        <v>45824</v>
      </c>
      <c r="G88" s="112" t="s">
        <v>46</v>
      </c>
      <c r="H88" s="112" t="s">
        <v>23</v>
      </c>
      <c r="I88" s="130">
        <v>9735</v>
      </c>
      <c r="J88" s="130">
        <v>0</v>
      </c>
      <c r="K88" s="130">
        <v>9735</v>
      </c>
      <c r="L88" s="130">
        <v>9735</v>
      </c>
      <c r="M88" s="130"/>
      <c r="N88" s="131">
        <f t="shared" si="4"/>
        <v>0</v>
      </c>
      <c r="O88" s="132" t="s">
        <v>22</v>
      </c>
      <c r="P88" s="112"/>
    </row>
    <row r="89" s="86" customFormat="1" spans="1:16">
      <c r="A89" s="111">
        <v>45839</v>
      </c>
      <c r="B89" s="112" t="s">
        <v>16</v>
      </c>
      <c r="C89" s="113" t="s">
        <v>118</v>
      </c>
      <c r="D89" s="112" t="s">
        <v>119</v>
      </c>
      <c r="E89" s="112" t="s">
        <v>120</v>
      </c>
      <c r="F89" s="115">
        <v>45824</v>
      </c>
      <c r="G89" s="112" t="s">
        <v>46</v>
      </c>
      <c r="H89" s="112" t="s">
        <v>21</v>
      </c>
      <c r="I89" s="130">
        <v>37170</v>
      </c>
      <c r="J89" s="130">
        <v>0</v>
      </c>
      <c r="K89" s="130">
        <v>37170</v>
      </c>
      <c r="L89" s="130">
        <v>37170</v>
      </c>
      <c r="M89" s="130"/>
      <c r="N89" s="131">
        <f t="shared" si="4"/>
        <v>0</v>
      </c>
      <c r="O89" s="112" t="s">
        <v>22</v>
      </c>
      <c r="P89" s="141" t="s">
        <v>121</v>
      </c>
    </row>
    <row r="90" s="89" customFormat="1" spans="1:17">
      <c r="A90" s="122">
        <v>45901</v>
      </c>
      <c r="B90" s="116" t="s">
        <v>16</v>
      </c>
      <c r="C90" s="78" t="s">
        <v>118</v>
      </c>
      <c r="D90" s="116" t="s">
        <v>119</v>
      </c>
      <c r="E90" s="116" t="s">
        <v>120</v>
      </c>
      <c r="F90" s="117">
        <v>45916</v>
      </c>
      <c r="G90" s="116" t="s">
        <v>86</v>
      </c>
      <c r="H90" s="116" t="s">
        <v>23</v>
      </c>
      <c r="I90" s="139">
        <v>9735</v>
      </c>
      <c r="J90" s="139">
        <v>0</v>
      </c>
      <c r="K90" s="139">
        <v>9735</v>
      </c>
      <c r="L90" s="139">
        <v>9735</v>
      </c>
      <c r="M90" s="139"/>
      <c r="N90" s="131">
        <f t="shared" si="4"/>
        <v>0</v>
      </c>
      <c r="O90" s="141" t="s">
        <v>50</v>
      </c>
      <c r="P90" s="141" t="s">
        <v>121</v>
      </c>
      <c r="Q90" s="89" t="s">
        <v>51</v>
      </c>
    </row>
    <row r="91" s="89" customFormat="1" spans="1:17">
      <c r="A91" s="122">
        <v>45901</v>
      </c>
      <c r="B91" s="116" t="s">
        <v>16</v>
      </c>
      <c r="C91" s="78" t="s">
        <v>118</v>
      </c>
      <c r="D91" s="116" t="s">
        <v>119</v>
      </c>
      <c r="E91" s="116" t="s">
        <v>120</v>
      </c>
      <c r="F91" s="117">
        <v>45916</v>
      </c>
      <c r="G91" s="116" t="s">
        <v>122</v>
      </c>
      <c r="H91" s="112" t="s">
        <v>21</v>
      </c>
      <c r="I91" s="139">
        <v>20537</v>
      </c>
      <c r="J91" s="139">
        <v>0</v>
      </c>
      <c r="K91" s="139">
        <v>20537</v>
      </c>
      <c r="L91" s="139">
        <v>20537</v>
      </c>
      <c r="M91" s="139"/>
      <c r="N91" s="131">
        <f t="shared" si="4"/>
        <v>0</v>
      </c>
      <c r="O91" s="141" t="s">
        <v>50</v>
      </c>
      <c r="P91" s="141" t="s">
        <v>121</v>
      </c>
      <c r="Q91" s="89" t="s">
        <v>51</v>
      </c>
    </row>
    <row r="92" s="89" customFormat="1" spans="1:17">
      <c r="A92" s="122">
        <v>45901</v>
      </c>
      <c r="B92" s="116" t="s">
        <v>16</v>
      </c>
      <c r="C92" s="78" t="s">
        <v>118</v>
      </c>
      <c r="D92" s="116" t="s">
        <v>119</v>
      </c>
      <c r="E92" s="116" t="s">
        <v>120</v>
      </c>
      <c r="F92" s="117">
        <v>45916</v>
      </c>
      <c r="G92" s="116" t="s">
        <v>123</v>
      </c>
      <c r="H92" s="112" t="s">
        <v>21</v>
      </c>
      <c r="I92" s="139">
        <v>17465</v>
      </c>
      <c r="J92" s="139">
        <v>0</v>
      </c>
      <c r="K92" s="139">
        <v>17465</v>
      </c>
      <c r="L92" s="139">
        <v>17465</v>
      </c>
      <c r="M92" s="139"/>
      <c r="N92" s="131">
        <f t="shared" si="4"/>
        <v>0</v>
      </c>
      <c r="O92" s="140" t="s">
        <v>50</v>
      </c>
      <c r="P92" s="141" t="s">
        <v>121</v>
      </c>
      <c r="Q92" s="89" t="s">
        <v>51</v>
      </c>
    </row>
    <row r="93" s="86" customFormat="1" spans="1:16">
      <c r="A93" s="111">
        <v>45839</v>
      </c>
      <c r="B93" s="112" t="s">
        <v>16</v>
      </c>
      <c r="C93" s="113" t="s">
        <v>124</v>
      </c>
      <c r="D93" s="112" t="s">
        <v>125</v>
      </c>
      <c r="E93" s="112" t="s">
        <v>126</v>
      </c>
      <c r="F93" s="115">
        <v>45824</v>
      </c>
      <c r="G93" s="112" t="s">
        <v>46</v>
      </c>
      <c r="H93" s="112" t="s">
        <v>23</v>
      </c>
      <c r="I93" s="130">
        <v>7260</v>
      </c>
      <c r="J93" s="130">
        <v>0</v>
      </c>
      <c r="K93" s="130">
        <v>7260</v>
      </c>
      <c r="L93" s="130">
        <v>7260</v>
      </c>
      <c r="M93" s="130"/>
      <c r="N93" s="131">
        <f t="shared" si="4"/>
        <v>0</v>
      </c>
      <c r="O93" s="132" t="s">
        <v>127</v>
      </c>
      <c r="P93" s="112"/>
    </row>
    <row r="94" s="86" customFormat="1" spans="1:16">
      <c r="A94" s="111">
        <v>45839</v>
      </c>
      <c r="B94" s="112" t="s">
        <v>16</v>
      </c>
      <c r="C94" s="113" t="s">
        <v>124</v>
      </c>
      <c r="D94" s="112" t="s">
        <v>125</v>
      </c>
      <c r="E94" s="112" t="s">
        <v>126</v>
      </c>
      <c r="F94" s="115">
        <v>45824</v>
      </c>
      <c r="G94" s="112" t="s">
        <v>46</v>
      </c>
      <c r="H94" s="112" t="s">
        <v>21</v>
      </c>
      <c r="I94" s="130">
        <v>46860</v>
      </c>
      <c r="J94" s="130">
        <v>0</v>
      </c>
      <c r="K94" s="130">
        <v>46860</v>
      </c>
      <c r="L94" s="130">
        <f>36860+10000</f>
        <v>46860</v>
      </c>
      <c r="M94" s="130"/>
      <c r="N94" s="131">
        <f t="shared" si="4"/>
        <v>0</v>
      </c>
      <c r="O94" s="132" t="s">
        <v>128</v>
      </c>
      <c r="P94" s="112"/>
    </row>
    <row r="95" s="89" customFormat="1" spans="1:17">
      <c r="A95" s="122">
        <v>45901</v>
      </c>
      <c r="B95" s="116" t="s">
        <v>16</v>
      </c>
      <c r="C95" s="78" t="s">
        <v>124</v>
      </c>
      <c r="D95" s="116" t="s">
        <v>125</v>
      </c>
      <c r="E95" s="116" t="s">
        <v>126</v>
      </c>
      <c r="F95" s="117">
        <v>45916</v>
      </c>
      <c r="G95" s="116" t="s">
        <v>86</v>
      </c>
      <c r="H95" s="116" t="s">
        <v>23</v>
      </c>
      <c r="I95" s="139">
        <v>7260</v>
      </c>
      <c r="J95" s="139">
        <v>0</v>
      </c>
      <c r="K95" s="139">
        <v>7260</v>
      </c>
      <c r="L95" s="139">
        <v>7260</v>
      </c>
      <c r="M95" s="139"/>
      <c r="N95" s="131">
        <f t="shared" si="4"/>
        <v>0</v>
      </c>
      <c r="O95" s="140" t="s">
        <v>129</v>
      </c>
      <c r="P95" s="141"/>
      <c r="Q95" s="89" t="s">
        <v>51</v>
      </c>
    </row>
    <row r="96" s="89" customFormat="1" spans="1:17">
      <c r="A96" s="122">
        <v>45901</v>
      </c>
      <c r="B96" s="116" t="s">
        <v>16</v>
      </c>
      <c r="C96" s="78" t="s">
        <v>124</v>
      </c>
      <c r="D96" s="116" t="s">
        <v>125</v>
      </c>
      <c r="E96" s="116" t="s">
        <v>126</v>
      </c>
      <c r="F96" s="117">
        <v>45916</v>
      </c>
      <c r="G96" s="116" t="s">
        <v>86</v>
      </c>
      <c r="H96" s="112" t="s">
        <v>21</v>
      </c>
      <c r="I96" s="139">
        <v>46860</v>
      </c>
      <c r="J96" s="139">
        <v>0</v>
      </c>
      <c r="K96" s="139">
        <v>46860</v>
      </c>
      <c r="L96" s="139">
        <v>46860</v>
      </c>
      <c r="M96" s="139"/>
      <c r="N96" s="131">
        <f t="shared" si="4"/>
        <v>0</v>
      </c>
      <c r="O96" s="140" t="s">
        <v>129</v>
      </c>
      <c r="P96" s="141"/>
      <c r="Q96" s="89" t="s">
        <v>51</v>
      </c>
    </row>
    <row r="97" s="86" customFormat="1" spans="1:16">
      <c r="A97" s="111">
        <v>45839</v>
      </c>
      <c r="B97" s="112" t="s">
        <v>16</v>
      </c>
      <c r="C97" s="113" t="s">
        <v>130</v>
      </c>
      <c r="D97" s="112" t="s">
        <v>131</v>
      </c>
      <c r="E97" s="112" t="s">
        <v>132</v>
      </c>
      <c r="F97" s="115">
        <v>45824</v>
      </c>
      <c r="G97" s="112" t="s">
        <v>46</v>
      </c>
      <c r="H97" s="112" t="s">
        <v>21</v>
      </c>
      <c r="I97" s="130">
        <v>45171</v>
      </c>
      <c r="J97" s="130">
        <v>0</v>
      </c>
      <c r="K97" s="130">
        <v>45171</v>
      </c>
      <c r="L97" s="130">
        <v>45171</v>
      </c>
      <c r="M97" s="130"/>
      <c r="N97" s="131">
        <f t="shared" si="4"/>
        <v>0</v>
      </c>
      <c r="O97" s="132" t="s">
        <v>133</v>
      </c>
      <c r="P97" s="112"/>
    </row>
    <row r="98" s="86" customFormat="1" spans="1:16">
      <c r="A98" s="111">
        <v>45839</v>
      </c>
      <c r="B98" s="112" t="s">
        <v>16</v>
      </c>
      <c r="C98" s="113" t="s">
        <v>130</v>
      </c>
      <c r="D98" s="112" t="s">
        <v>131</v>
      </c>
      <c r="E98" s="112" t="s">
        <v>132</v>
      </c>
      <c r="F98" s="115">
        <v>45824</v>
      </c>
      <c r="G98" s="112" t="s">
        <v>46</v>
      </c>
      <c r="H98" s="112" t="s">
        <v>23</v>
      </c>
      <c r="I98" s="130">
        <v>9900</v>
      </c>
      <c r="J98" s="130">
        <v>0</v>
      </c>
      <c r="K98" s="130">
        <v>9900</v>
      </c>
      <c r="L98" s="130">
        <v>9900</v>
      </c>
      <c r="M98" s="130"/>
      <c r="N98" s="131">
        <f t="shared" si="4"/>
        <v>0</v>
      </c>
      <c r="O98" s="132" t="s">
        <v>133</v>
      </c>
      <c r="P98" s="112"/>
    </row>
    <row r="99" s="89" customFormat="1" spans="1:17">
      <c r="A99" s="122">
        <v>45901</v>
      </c>
      <c r="B99" s="116" t="s">
        <v>16</v>
      </c>
      <c r="C99" s="78" t="s">
        <v>130</v>
      </c>
      <c r="D99" s="116" t="s">
        <v>131</v>
      </c>
      <c r="E99" s="116" t="s">
        <v>132</v>
      </c>
      <c r="F99" s="117">
        <v>45916</v>
      </c>
      <c r="G99" s="116" t="s">
        <v>86</v>
      </c>
      <c r="H99" s="112" t="s">
        <v>21</v>
      </c>
      <c r="I99" s="139">
        <v>47430</v>
      </c>
      <c r="J99" s="139">
        <v>0</v>
      </c>
      <c r="K99" s="139">
        <v>47430</v>
      </c>
      <c r="L99" s="139">
        <f>15810+1290+15000+3000+12330</f>
        <v>47430</v>
      </c>
      <c r="M99" s="139"/>
      <c r="N99" s="144">
        <f t="shared" si="4"/>
        <v>0</v>
      </c>
      <c r="O99" s="140" t="s">
        <v>134</v>
      </c>
      <c r="P99" s="141"/>
      <c r="Q99" s="89" t="s">
        <v>51</v>
      </c>
    </row>
    <row r="100" s="89" customFormat="1" spans="1:17">
      <c r="A100" s="122">
        <v>45901</v>
      </c>
      <c r="B100" s="116" t="s">
        <v>16</v>
      </c>
      <c r="C100" s="78" t="s">
        <v>130</v>
      </c>
      <c r="D100" s="116" t="s">
        <v>131</v>
      </c>
      <c r="E100" s="116" t="s">
        <v>132</v>
      </c>
      <c r="F100" s="117">
        <v>45916</v>
      </c>
      <c r="G100" s="116" t="s">
        <v>86</v>
      </c>
      <c r="H100" s="116" t="s">
        <v>23</v>
      </c>
      <c r="I100" s="139">
        <v>9900</v>
      </c>
      <c r="J100" s="139">
        <v>0</v>
      </c>
      <c r="K100" s="139">
        <v>9900</v>
      </c>
      <c r="L100" s="139">
        <v>9900</v>
      </c>
      <c r="M100" s="139"/>
      <c r="N100" s="144">
        <f t="shared" si="4"/>
        <v>0</v>
      </c>
      <c r="O100" s="140" t="s">
        <v>135</v>
      </c>
      <c r="P100" s="141"/>
      <c r="Q100" s="89" t="s">
        <v>51</v>
      </c>
    </row>
    <row r="101" s="90" customFormat="1" spans="1:17">
      <c r="A101" s="145">
        <v>45901</v>
      </c>
      <c r="B101" s="146" t="s">
        <v>16</v>
      </c>
      <c r="C101" s="147" t="s">
        <v>130</v>
      </c>
      <c r="D101" s="146" t="s">
        <v>131</v>
      </c>
      <c r="E101" s="146" t="s">
        <v>132</v>
      </c>
      <c r="F101" s="148">
        <v>45916</v>
      </c>
      <c r="G101" s="146" t="s">
        <v>136</v>
      </c>
      <c r="H101" s="149" t="s">
        <v>30</v>
      </c>
      <c r="I101" s="156">
        <v>863.01</v>
      </c>
      <c r="J101" s="156">
        <v>0</v>
      </c>
      <c r="K101" s="156">
        <v>863.01</v>
      </c>
      <c r="L101" s="156">
        <v>863.01</v>
      </c>
      <c r="M101" s="156"/>
      <c r="N101" s="131">
        <f t="shared" si="4"/>
        <v>0</v>
      </c>
      <c r="O101" s="157" t="s">
        <v>137</v>
      </c>
      <c r="P101" s="158"/>
      <c r="Q101" s="90" t="s">
        <v>51</v>
      </c>
    </row>
    <row r="102" s="86" customFormat="1" spans="1:16">
      <c r="A102" s="111">
        <v>45839</v>
      </c>
      <c r="B102" s="112" t="s">
        <v>16</v>
      </c>
      <c r="C102" s="113" t="s">
        <v>138</v>
      </c>
      <c r="D102" s="112" t="s">
        <v>53</v>
      </c>
      <c r="E102" s="112" t="s">
        <v>139</v>
      </c>
      <c r="F102" s="115">
        <v>45824</v>
      </c>
      <c r="G102" s="112" t="s">
        <v>46</v>
      </c>
      <c r="H102" s="112" t="s">
        <v>23</v>
      </c>
      <c r="I102" s="130">
        <v>9774</v>
      </c>
      <c r="J102" s="130">
        <v>0</v>
      </c>
      <c r="K102" s="130">
        <v>9774</v>
      </c>
      <c r="L102" s="130">
        <v>9774</v>
      </c>
      <c r="M102" s="130"/>
      <c r="N102" s="131">
        <f t="shared" si="4"/>
        <v>0</v>
      </c>
      <c r="O102" s="132" t="s">
        <v>47</v>
      </c>
      <c r="P102" s="112"/>
    </row>
    <row r="103" s="86" customFormat="1" spans="1:16">
      <c r="A103" s="111">
        <v>45839</v>
      </c>
      <c r="B103" s="112" t="s">
        <v>16</v>
      </c>
      <c r="C103" s="113" t="s">
        <v>138</v>
      </c>
      <c r="D103" s="112" t="s">
        <v>53</v>
      </c>
      <c r="E103" s="112" t="s">
        <v>139</v>
      </c>
      <c r="F103" s="115">
        <v>45869</v>
      </c>
      <c r="G103" s="112" t="s">
        <v>102</v>
      </c>
      <c r="H103" s="112" t="s">
        <v>21</v>
      </c>
      <c r="I103" s="130">
        <v>3658.7</v>
      </c>
      <c r="J103" s="130">
        <v>0</v>
      </c>
      <c r="K103" s="130">
        <f t="shared" ref="K103:K105" si="6">I103-J103</f>
        <v>3658.7</v>
      </c>
      <c r="L103" s="130">
        <v>3658.7</v>
      </c>
      <c r="M103" s="130"/>
      <c r="N103" s="131">
        <f t="shared" si="4"/>
        <v>0</v>
      </c>
      <c r="O103" s="132" t="s">
        <v>140</v>
      </c>
      <c r="P103" s="112"/>
    </row>
    <row r="104" s="86" customFormat="1" spans="1:16">
      <c r="A104" s="111">
        <v>45870</v>
      </c>
      <c r="B104" s="123" t="s">
        <v>16</v>
      </c>
      <c r="C104" s="150" t="s">
        <v>138</v>
      </c>
      <c r="D104" s="112" t="s">
        <v>53</v>
      </c>
      <c r="E104" s="112" t="s">
        <v>139</v>
      </c>
      <c r="F104" s="151">
        <v>45900</v>
      </c>
      <c r="G104" s="112" t="s">
        <v>55</v>
      </c>
      <c r="H104" s="112" t="s">
        <v>21</v>
      </c>
      <c r="I104" s="159">
        <v>2565</v>
      </c>
      <c r="J104" s="159">
        <v>0</v>
      </c>
      <c r="K104" s="133">
        <f t="shared" si="6"/>
        <v>2565</v>
      </c>
      <c r="L104" s="160">
        <v>2565</v>
      </c>
      <c r="M104" s="160"/>
      <c r="N104" s="131">
        <f t="shared" si="4"/>
        <v>0</v>
      </c>
      <c r="O104" s="134" t="s">
        <v>59</v>
      </c>
      <c r="P104" s="112"/>
    </row>
    <row r="105" s="89" customFormat="1" spans="1:17">
      <c r="A105" s="122">
        <v>45901</v>
      </c>
      <c r="B105" s="116" t="s">
        <v>16</v>
      </c>
      <c r="C105" s="78" t="s">
        <v>138</v>
      </c>
      <c r="D105" s="116" t="s">
        <v>53</v>
      </c>
      <c r="E105" s="135" t="s">
        <v>139</v>
      </c>
      <c r="F105" s="117">
        <v>45916</v>
      </c>
      <c r="G105" s="116" t="s">
        <v>122</v>
      </c>
      <c r="H105" s="116" t="s">
        <v>23</v>
      </c>
      <c r="I105" s="139">
        <v>5400.25</v>
      </c>
      <c r="J105" s="139">
        <v>0</v>
      </c>
      <c r="K105" s="139">
        <f t="shared" si="6"/>
        <v>5400.25</v>
      </c>
      <c r="L105" s="139">
        <v>5400.25</v>
      </c>
      <c r="M105" s="139"/>
      <c r="N105" s="131">
        <f t="shared" si="4"/>
        <v>0</v>
      </c>
      <c r="O105" s="140" t="s">
        <v>61</v>
      </c>
      <c r="P105" s="141"/>
      <c r="Q105" s="89" t="s">
        <v>51</v>
      </c>
    </row>
    <row r="106" s="89" customFormat="1" spans="1:16">
      <c r="A106" s="122">
        <v>45901</v>
      </c>
      <c r="B106" s="116" t="s">
        <v>16</v>
      </c>
      <c r="C106" s="78" t="s">
        <v>138</v>
      </c>
      <c r="D106" s="135" t="s">
        <v>53</v>
      </c>
      <c r="E106" s="135" t="s">
        <v>139</v>
      </c>
      <c r="F106" s="117">
        <v>45930</v>
      </c>
      <c r="G106" s="135" t="s">
        <v>56</v>
      </c>
      <c r="H106" s="112" t="s">
        <v>21</v>
      </c>
      <c r="I106" s="139">
        <v>2725.1</v>
      </c>
      <c r="J106" s="139">
        <v>0</v>
      </c>
      <c r="K106" s="154">
        <f>I106</f>
        <v>2725.1</v>
      </c>
      <c r="L106" s="139">
        <v>2725.1</v>
      </c>
      <c r="M106" s="139"/>
      <c r="N106" s="131">
        <f t="shared" si="4"/>
        <v>0</v>
      </c>
      <c r="O106" s="140" t="s">
        <v>61</v>
      </c>
      <c r="P106" s="141"/>
    </row>
    <row r="107" s="88" customFormat="1" spans="1:16">
      <c r="A107" s="118">
        <v>45931</v>
      </c>
      <c r="B107" s="116" t="s">
        <v>16</v>
      </c>
      <c r="C107" s="119" t="s">
        <v>138</v>
      </c>
      <c r="D107" s="114" t="s">
        <v>53</v>
      </c>
      <c r="E107" s="114" t="s">
        <v>139</v>
      </c>
      <c r="F107" s="120">
        <v>45946</v>
      </c>
      <c r="G107" s="114" t="s">
        <v>58</v>
      </c>
      <c r="H107" s="112" t="s">
        <v>21</v>
      </c>
      <c r="I107" s="136">
        <v>2848.85</v>
      </c>
      <c r="J107" s="131"/>
      <c r="K107" s="136">
        <v>2848.85</v>
      </c>
      <c r="L107" s="136">
        <v>2848.85</v>
      </c>
      <c r="M107" s="136"/>
      <c r="N107" s="131">
        <f t="shared" si="4"/>
        <v>0</v>
      </c>
      <c r="O107" s="137" t="s">
        <v>62</v>
      </c>
      <c r="P107" s="138"/>
    </row>
    <row r="108" s="88" customFormat="1" spans="1:16">
      <c r="A108" s="118">
        <v>45962</v>
      </c>
      <c r="B108" s="116" t="s">
        <v>16</v>
      </c>
      <c r="C108" s="119" t="s">
        <v>138</v>
      </c>
      <c r="D108" s="114" t="s">
        <v>53</v>
      </c>
      <c r="E108" s="114" t="s">
        <v>139</v>
      </c>
      <c r="F108" s="120">
        <v>45976</v>
      </c>
      <c r="G108" s="114" t="s">
        <v>60</v>
      </c>
      <c r="H108" s="112" t="s">
        <v>21</v>
      </c>
      <c r="I108" s="161">
        <v>4321.7</v>
      </c>
      <c r="J108" s="131">
        <v>0</v>
      </c>
      <c r="K108" s="161">
        <v>4321.7</v>
      </c>
      <c r="L108" s="136">
        <v>4321.7</v>
      </c>
      <c r="M108" s="136"/>
      <c r="N108" s="131">
        <f t="shared" si="4"/>
        <v>0</v>
      </c>
      <c r="O108" s="162" t="s">
        <v>64</v>
      </c>
      <c r="P108" s="138"/>
    </row>
    <row r="109" s="86" customFormat="1" spans="1:16">
      <c r="A109" s="111">
        <v>45839</v>
      </c>
      <c r="B109" s="116" t="s">
        <v>16</v>
      </c>
      <c r="C109" s="113" t="s">
        <v>141</v>
      </c>
      <c r="D109" s="112" t="s">
        <v>142</v>
      </c>
      <c r="E109" s="112" t="s">
        <v>143</v>
      </c>
      <c r="F109" s="115">
        <v>45824</v>
      </c>
      <c r="G109" s="112" t="s">
        <v>46</v>
      </c>
      <c r="H109" s="112" t="s">
        <v>21</v>
      </c>
      <c r="I109" s="130">
        <v>4321.7</v>
      </c>
      <c r="J109" s="130">
        <v>0</v>
      </c>
      <c r="K109" s="130">
        <v>4321.7</v>
      </c>
      <c r="L109" s="130">
        <v>4321.7</v>
      </c>
      <c r="M109" s="130"/>
      <c r="N109" s="131">
        <f t="shared" si="4"/>
        <v>0</v>
      </c>
      <c r="O109" s="132" t="s">
        <v>93</v>
      </c>
      <c r="P109" s="112"/>
    </row>
    <row r="110" s="86" customFormat="1" spans="1:16">
      <c r="A110" s="111">
        <v>45839</v>
      </c>
      <c r="B110" s="116" t="s">
        <v>16</v>
      </c>
      <c r="C110" s="113" t="s">
        <v>141</v>
      </c>
      <c r="D110" s="112" t="s">
        <v>142</v>
      </c>
      <c r="E110" s="112" t="s">
        <v>143</v>
      </c>
      <c r="F110" s="115">
        <v>45824</v>
      </c>
      <c r="G110" s="112" t="s">
        <v>46</v>
      </c>
      <c r="H110" s="112" t="s">
        <v>23</v>
      </c>
      <c r="I110" s="130">
        <v>14355</v>
      </c>
      <c r="J110" s="130">
        <v>0</v>
      </c>
      <c r="K110" s="130">
        <v>14355</v>
      </c>
      <c r="L110" s="130">
        <v>14355</v>
      </c>
      <c r="M110" s="130"/>
      <c r="N110" s="131">
        <f t="shared" si="4"/>
        <v>0</v>
      </c>
      <c r="O110" s="132" t="s">
        <v>93</v>
      </c>
      <c r="P110" s="112"/>
    </row>
    <row r="111" s="89" customFormat="1" spans="1:17">
      <c r="A111" s="122">
        <v>45901</v>
      </c>
      <c r="B111" s="116" t="s">
        <v>16</v>
      </c>
      <c r="C111" s="78" t="s">
        <v>141</v>
      </c>
      <c r="D111" s="116" t="s">
        <v>142</v>
      </c>
      <c r="E111" s="116" t="s">
        <v>143</v>
      </c>
      <c r="F111" s="117">
        <v>45916</v>
      </c>
      <c r="G111" s="116" t="s">
        <v>60</v>
      </c>
      <c r="H111" s="112" t="s">
        <v>21</v>
      </c>
      <c r="I111" s="139">
        <v>18705</v>
      </c>
      <c r="J111" s="139">
        <v>0</v>
      </c>
      <c r="K111" s="139">
        <v>18705</v>
      </c>
      <c r="L111" s="139">
        <f>17705+1000</f>
        <v>18705</v>
      </c>
      <c r="M111" s="139"/>
      <c r="N111" s="131">
        <f t="shared" si="4"/>
        <v>0</v>
      </c>
      <c r="O111" s="140" t="s">
        <v>144</v>
      </c>
      <c r="P111" s="141"/>
      <c r="Q111" s="89" t="s">
        <v>51</v>
      </c>
    </row>
    <row r="112" s="89" customFormat="1" spans="1:17">
      <c r="A112" s="122">
        <v>45901</v>
      </c>
      <c r="B112" s="116" t="s">
        <v>16</v>
      </c>
      <c r="C112" s="78" t="s">
        <v>141</v>
      </c>
      <c r="D112" s="116" t="s">
        <v>142</v>
      </c>
      <c r="E112" s="116" t="s">
        <v>143</v>
      </c>
      <c r="F112" s="117">
        <v>45916</v>
      </c>
      <c r="G112" s="116" t="s">
        <v>60</v>
      </c>
      <c r="H112" s="116" t="s">
        <v>23</v>
      </c>
      <c r="I112" s="139">
        <v>4785</v>
      </c>
      <c r="J112" s="139">
        <v>0</v>
      </c>
      <c r="K112" s="139">
        <v>4785</v>
      </c>
      <c r="L112" s="139">
        <v>4785</v>
      </c>
      <c r="M112" s="139"/>
      <c r="N112" s="131">
        <f t="shared" si="4"/>
        <v>0</v>
      </c>
      <c r="O112" s="140" t="s">
        <v>145</v>
      </c>
      <c r="P112" s="141"/>
      <c r="Q112" s="89" t="s">
        <v>51</v>
      </c>
    </row>
    <row r="113" s="88" customFormat="1" spans="1:16">
      <c r="A113" s="118">
        <v>45931</v>
      </c>
      <c r="B113" s="116" t="s">
        <v>16</v>
      </c>
      <c r="C113" s="119" t="s">
        <v>141</v>
      </c>
      <c r="D113" s="114" t="s">
        <v>142</v>
      </c>
      <c r="E113" s="114" t="s">
        <v>143</v>
      </c>
      <c r="F113" s="120">
        <v>45946</v>
      </c>
      <c r="G113" s="114" t="s">
        <v>146</v>
      </c>
      <c r="H113" s="112" t="s">
        <v>21</v>
      </c>
      <c r="I113" s="136">
        <v>56115</v>
      </c>
      <c r="J113" s="131"/>
      <c r="K113" s="136">
        <v>56115</v>
      </c>
      <c r="L113" s="136">
        <v>56115</v>
      </c>
      <c r="M113" s="136"/>
      <c r="N113" s="131">
        <f t="shared" si="4"/>
        <v>0</v>
      </c>
      <c r="O113" s="137" t="s">
        <v>117</v>
      </c>
      <c r="P113" s="138"/>
    </row>
    <row r="114" s="88" customFormat="1" spans="1:16">
      <c r="A114" s="118">
        <v>45931</v>
      </c>
      <c r="B114" s="116" t="s">
        <v>16</v>
      </c>
      <c r="C114" s="119" t="s">
        <v>141</v>
      </c>
      <c r="D114" s="114" t="s">
        <v>142</v>
      </c>
      <c r="E114" s="114" t="s">
        <v>143</v>
      </c>
      <c r="F114" s="120">
        <v>45946</v>
      </c>
      <c r="G114" s="114" t="s">
        <v>146</v>
      </c>
      <c r="H114" s="114" t="s">
        <v>23</v>
      </c>
      <c r="I114" s="136">
        <v>14355</v>
      </c>
      <c r="J114" s="131"/>
      <c r="K114" s="136">
        <v>14355</v>
      </c>
      <c r="L114" s="136">
        <v>14355</v>
      </c>
      <c r="M114" s="136"/>
      <c r="N114" s="131">
        <f t="shared" si="4"/>
        <v>0</v>
      </c>
      <c r="O114" s="137" t="s">
        <v>117</v>
      </c>
      <c r="P114" s="138"/>
    </row>
    <row r="115" s="88" customFormat="1" spans="1:16">
      <c r="A115" s="118">
        <v>45931</v>
      </c>
      <c r="B115" s="116" t="s">
        <v>16</v>
      </c>
      <c r="C115" s="119" t="s">
        <v>141</v>
      </c>
      <c r="D115" s="114" t="s">
        <v>142</v>
      </c>
      <c r="E115" s="114" t="s">
        <v>143</v>
      </c>
      <c r="F115" s="120">
        <v>45946</v>
      </c>
      <c r="G115" s="114" t="s">
        <v>147</v>
      </c>
      <c r="H115" s="121" t="s">
        <v>30</v>
      </c>
      <c r="I115" s="136">
        <v>3000</v>
      </c>
      <c r="J115" s="131"/>
      <c r="K115" s="136">
        <v>3000</v>
      </c>
      <c r="L115" s="136">
        <v>3000</v>
      </c>
      <c r="M115" s="136"/>
      <c r="N115" s="131">
        <f t="shared" si="4"/>
        <v>0</v>
      </c>
      <c r="O115" s="137" t="s">
        <v>117</v>
      </c>
      <c r="P115" s="138"/>
    </row>
    <row r="116" s="86" customFormat="1" spans="1:16">
      <c r="A116" s="111">
        <v>45839</v>
      </c>
      <c r="B116" s="116" t="s">
        <v>16</v>
      </c>
      <c r="C116" s="119" t="s">
        <v>148</v>
      </c>
      <c r="D116" s="112" t="s">
        <v>149</v>
      </c>
      <c r="E116" s="114" t="s">
        <v>150</v>
      </c>
      <c r="F116" s="115">
        <v>45838</v>
      </c>
      <c r="G116" s="112" t="s">
        <v>115</v>
      </c>
      <c r="H116" s="112" t="s">
        <v>23</v>
      </c>
      <c r="I116" s="130">
        <v>4155</v>
      </c>
      <c r="J116" s="130">
        <v>0</v>
      </c>
      <c r="K116" s="130">
        <v>4155</v>
      </c>
      <c r="L116" s="130">
        <v>4155</v>
      </c>
      <c r="M116" s="130"/>
      <c r="N116" s="131">
        <f t="shared" si="4"/>
        <v>0</v>
      </c>
      <c r="O116" s="132" t="s">
        <v>22</v>
      </c>
      <c r="P116" s="112"/>
    </row>
    <row r="117" s="86" customFormat="1" spans="1:16">
      <c r="A117" s="111">
        <v>45839</v>
      </c>
      <c r="B117" s="116" t="s">
        <v>16</v>
      </c>
      <c r="C117" s="119" t="s">
        <v>148</v>
      </c>
      <c r="D117" s="112" t="s">
        <v>149</v>
      </c>
      <c r="E117" s="114" t="s">
        <v>150</v>
      </c>
      <c r="F117" s="115">
        <v>45869</v>
      </c>
      <c r="G117" s="112" t="s">
        <v>102</v>
      </c>
      <c r="H117" s="112" t="s">
        <v>21</v>
      </c>
      <c r="I117" s="130">
        <v>19318.03</v>
      </c>
      <c r="J117" s="130">
        <v>0</v>
      </c>
      <c r="K117" s="130">
        <f t="shared" ref="K117:K122" si="7">I117-J117</f>
        <v>19318.03</v>
      </c>
      <c r="L117" s="130">
        <v>19318.03</v>
      </c>
      <c r="M117" s="130"/>
      <c r="N117" s="131">
        <f t="shared" si="4"/>
        <v>0</v>
      </c>
      <c r="O117" s="132" t="s">
        <v>104</v>
      </c>
      <c r="P117" s="112"/>
    </row>
    <row r="118" s="86" customFormat="1" spans="1:16">
      <c r="A118" s="111">
        <v>45839</v>
      </c>
      <c r="B118" s="116" t="s">
        <v>16</v>
      </c>
      <c r="C118" s="119" t="s">
        <v>148</v>
      </c>
      <c r="D118" s="112" t="s">
        <v>149</v>
      </c>
      <c r="E118" s="114" t="s">
        <v>150</v>
      </c>
      <c r="F118" s="115">
        <v>45868</v>
      </c>
      <c r="G118" s="112" t="s">
        <v>55</v>
      </c>
      <c r="H118" s="112" t="s">
        <v>23</v>
      </c>
      <c r="I118" s="130">
        <v>4155</v>
      </c>
      <c r="J118" s="130">
        <v>0</v>
      </c>
      <c r="K118" s="130">
        <f t="shared" si="7"/>
        <v>4155</v>
      </c>
      <c r="L118" s="130">
        <v>4155</v>
      </c>
      <c r="M118" s="130"/>
      <c r="N118" s="131">
        <f t="shared" si="4"/>
        <v>0</v>
      </c>
      <c r="O118" s="132" t="s">
        <v>104</v>
      </c>
      <c r="P118" s="112"/>
    </row>
    <row r="119" s="87" customFormat="1" spans="1:16">
      <c r="A119" s="111">
        <v>45870</v>
      </c>
      <c r="B119" s="116" t="s">
        <v>16</v>
      </c>
      <c r="C119" s="119" t="s">
        <v>148</v>
      </c>
      <c r="D119" s="116" t="s">
        <v>149</v>
      </c>
      <c r="E119" s="114" t="s">
        <v>150</v>
      </c>
      <c r="F119" s="117">
        <v>45899</v>
      </c>
      <c r="G119" s="116" t="s">
        <v>56</v>
      </c>
      <c r="H119" s="116" t="s">
        <v>23</v>
      </c>
      <c r="I119" s="133">
        <v>4155</v>
      </c>
      <c r="J119" s="133">
        <v>0</v>
      </c>
      <c r="K119" s="133">
        <f t="shared" si="7"/>
        <v>4155</v>
      </c>
      <c r="L119" s="133">
        <v>4155</v>
      </c>
      <c r="M119" s="133"/>
      <c r="N119" s="131">
        <f t="shared" si="4"/>
        <v>0</v>
      </c>
      <c r="O119" s="134" t="s">
        <v>104</v>
      </c>
      <c r="P119" s="135"/>
    </row>
    <row r="120" s="87" customFormat="1" spans="1:16">
      <c r="A120" s="111">
        <v>45870</v>
      </c>
      <c r="B120" s="116" t="s">
        <v>16</v>
      </c>
      <c r="C120" s="119" t="s">
        <v>148</v>
      </c>
      <c r="D120" s="135" t="s">
        <v>149</v>
      </c>
      <c r="E120" s="114" t="s">
        <v>150</v>
      </c>
      <c r="F120" s="117">
        <v>45900</v>
      </c>
      <c r="G120" s="135" t="s">
        <v>55</v>
      </c>
      <c r="H120" s="112" t="s">
        <v>21</v>
      </c>
      <c r="I120" s="154">
        <v>23938.81</v>
      </c>
      <c r="J120" s="154">
        <v>0</v>
      </c>
      <c r="K120" s="133">
        <f t="shared" si="7"/>
        <v>23938.81</v>
      </c>
      <c r="L120" s="133">
        <f>K120</f>
        <v>23938.81</v>
      </c>
      <c r="M120" s="133"/>
      <c r="N120" s="131">
        <f t="shared" si="4"/>
        <v>0</v>
      </c>
      <c r="O120" s="134" t="s">
        <v>104</v>
      </c>
      <c r="P120" s="135"/>
    </row>
    <row r="121" s="89" customFormat="1" spans="1:16">
      <c r="A121" s="122">
        <v>45901</v>
      </c>
      <c r="B121" s="116" t="s">
        <v>16</v>
      </c>
      <c r="C121" s="119" t="s">
        <v>148</v>
      </c>
      <c r="D121" s="116" t="s">
        <v>149</v>
      </c>
      <c r="E121" s="114" t="s">
        <v>150</v>
      </c>
      <c r="F121" s="117">
        <v>45930</v>
      </c>
      <c r="G121" s="152" t="s">
        <v>58</v>
      </c>
      <c r="H121" s="116" t="s">
        <v>23</v>
      </c>
      <c r="I121" s="139">
        <v>4155</v>
      </c>
      <c r="J121" s="139">
        <v>0</v>
      </c>
      <c r="K121" s="139">
        <f t="shared" si="7"/>
        <v>4155</v>
      </c>
      <c r="L121" s="139">
        <v>4155</v>
      </c>
      <c r="M121" s="139"/>
      <c r="N121" s="131">
        <f t="shared" si="4"/>
        <v>0</v>
      </c>
      <c r="O121" s="140" t="s">
        <v>25</v>
      </c>
      <c r="P121" s="141"/>
    </row>
    <row r="122" s="89" customFormat="1" spans="1:16">
      <c r="A122" s="122">
        <v>45901</v>
      </c>
      <c r="B122" s="116" t="s">
        <v>16</v>
      </c>
      <c r="C122" s="119" t="s">
        <v>148</v>
      </c>
      <c r="D122" s="135" t="s">
        <v>149</v>
      </c>
      <c r="E122" s="114" t="s">
        <v>150</v>
      </c>
      <c r="F122" s="117">
        <v>45930</v>
      </c>
      <c r="G122" s="135" t="s">
        <v>56</v>
      </c>
      <c r="H122" s="112" t="s">
        <v>21</v>
      </c>
      <c r="I122" s="139">
        <v>23405.99</v>
      </c>
      <c r="J122" s="139">
        <v>0</v>
      </c>
      <c r="K122" s="154">
        <f t="shared" si="7"/>
        <v>23405.99</v>
      </c>
      <c r="L122" s="139">
        <v>23405.99</v>
      </c>
      <c r="M122" s="139"/>
      <c r="N122" s="131">
        <f t="shared" si="4"/>
        <v>0</v>
      </c>
      <c r="O122" s="140" t="s">
        <v>25</v>
      </c>
      <c r="P122" s="141"/>
    </row>
    <row r="123" s="88" customFormat="1" spans="1:16">
      <c r="A123" s="118">
        <v>45931</v>
      </c>
      <c r="B123" s="116" t="s">
        <v>16</v>
      </c>
      <c r="C123" s="119" t="s">
        <v>148</v>
      </c>
      <c r="D123" s="114" t="s">
        <v>149</v>
      </c>
      <c r="E123" s="114" t="s">
        <v>150</v>
      </c>
      <c r="F123" s="120">
        <v>45946</v>
      </c>
      <c r="G123" s="114" t="s">
        <v>58</v>
      </c>
      <c r="H123" s="112" t="s">
        <v>21</v>
      </c>
      <c r="I123" s="136">
        <v>14266.94</v>
      </c>
      <c r="J123" s="131"/>
      <c r="K123" s="136">
        <v>14266.94</v>
      </c>
      <c r="L123" s="136">
        <v>14266.94</v>
      </c>
      <c r="M123" s="136"/>
      <c r="N123" s="131">
        <f t="shared" si="4"/>
        <v>0</v>
      </c>
      <c r="O123" s="137" t="s">
        <v>151</v>
      </c>
      <c r="P123" s="138"/>
    </row>
    <row r="124" s="88" customFormat="1" spans="1:16">
      <c r="A124" s="118">
        <v>45931</v>
      </c>
      <c r="B124" s="116" t="s">
        <v>16</v>
      </c>
      <c r="C124" s="119" t="s">
        <v>148</v>
      </c>
      <c r="D124" s="114" t="s">
        <v>149</v>
      </c>
      <c r="E124" s="114" t="s">
        <v>150</v>
      </c>
      <c r="F124" s="120">
        <v>45946</v>
      </c>
      <c r="G124" s="114" t="s">
        <v>60</v>
      </c>
      <c r="H124" s="114" t="s">
        <v>23</v>
      </c>
      <c r="I124" s="136">
        <v>4155</v>
      </c>
      <c r="J124" s="131"/>
      <c r="K124" s="136">
        <v>4155</v>
      </c>
      <c r="L124" s="136">
        <v>4155</v>
      </c>
      <c r="M124" s="136"/>
      <c r="N124" s="131">
        <f t="shared" si="4"/>
        <v>0</v>
      </c>
      <c r="O124" s="137" t="s">
        <v>151</v>
      </c>
      <c r="P124" s="138"/>
    </row>
    <row r="125" s="88" customFormat="1" spans="1:16">
      <c r="A125" s="118">
        <v>45962</v>
      </c>
      <c r="B125" s="116" t="s">
        <v>16</v>
      </c>
      <c r="C125" s="119" t="s">
        <v>148</v>
      </c>
      <c r="D125" s="114" t="s">
        <v>149</v>
      </c>
      <c r="E125" s="114" t="s">
        <v>150</v>
      </c>
      <c r="F125" s="120">
        <v>45976</v>
      </c>
      <c r="G125" s="114" t="s">
        <v>28</v>
      </c>
      <c r="H125" s="114" t="s">
        <v>23</v>
      </c>
      <c r="I125" s="136">
        <v>4155</v>
      </c>
      <c r="J125" s="131"/>
      <c r="K125" s="136">
        <v>4155</v>
      </c>
      <c r="L125" s="136">
        <v>4155</v>
      </c>
      <c r="M125" s="136"/>
      <c r="N125" s="131">
        <f t="shared" si="4"/>
        <v>0</v>
      </c>
      <c r="O125" s="137" t="s">
        <v>152</v>
      </c>
      <c r="P125" s="138"/>
    </row>
    <row r="126" s="88" customFormat="1" spans="1:16">
      <c r="A126" s="118">
        <v>45962</v>
      </c>
      <c r="B126" s="116" t="s">
        <v>16</v>
      </c>
      <c r="C126" s="119" t="s">
        <v>148</v>
      </c>
      <c r="D126" s="114" t="s">
        <v>149</v>
      </c>
      <c r="E126" s="114" t="s">
        <v>150</v>
      </c>
      <c r="F126" s="120">
        <v>45976</v>
      </c>
      <c r="G126" s="114" t="s">
        <v>60</v>
      </c>
      <c r="H126" s="112" t="s">
        <v>21</v>
      </c>
      <c r="I126" s="136">
        <v>19404.24</v>
      </c>
      <c r="J126" s="131"/>
      <c r="K126" s="136">
        <v>19404.24</v>
      </c>
      <c r="L126" s="136">
        <v>19404.24</v>
      </c>
      <c r="M126" s="136"/>
      <c r="N126" s="131">
        <f t="shared" si="4"/>
        <v>0</v>
      </c>
      <c r="O126" s="137" t="s">
        <v>152</v>
      </c>
      <c r="P126" s="138"/>
    </row>
    <row r="127" s="86" customFormat="1" spans="1:16">
      <c r="A127" s="111">
        <v>45839</v>
      </c>
      <c r="B127" s="116" t="s">
        <v>16</v>
      </c>
      <c r="C127" s="113" t="s">
        <v>153</v>
      </c>
      <c r="D127" s="112" t="s">
        <v>154</v>
      </c>
      <c r="E127" s="112" t="s">
        <v>155</v>
      </c>
      <c r="F127" s="115">
        <v>45824</v>
      </c>
      <c r="G127" s="112" t="s">
        <v>46</v>
      </c>
      <c r="H127" s="112" t="s">
        <v>21</v>
      </c>
      <c r="I127" s="130">
        <v>38313</v>
      </c>
      <c r="J127" s="130">
        <v>0</v>
      </c>
      <c r="K127" s="130">
        <v>38313</v>
      </c>
      <c r="L127" s="130">
        <v>38313</v>
      </c>
      <c r="M127" s="130"/>
      <c r="N127" s="131">
        <f t="shared" si="4"/>
        <v>0</v>
      </c>
      <c r="O127" s="132" t="s">
        <v>93</v>
      </c>
      <c r="P127" s="112"/>
    </row>
    <row r="128" s="86" customFormat="1" spans="1:16">
      <c r="A128" s="111">
        <v>45839</v>
      </c>
      <c r="B128" s="116" t="s">
        <v>16</v>
      </c>
      <c r="C128" s="113" t="s">
        <v>153</v>
      </c>
      <c r="D128" s="112" t="s">
        <v>154</v>
      </c>
      <c r="E128" s="112" t="s">
        <v>155</v>
      </c>
      <c r="F128" s="115">
        <v>45824</v>
      </c>
      <c r="G128" s="112" t="s">
        <v>46</v>
      </c>
      <c r="H128" s="112" t="s">
        <v>23</v>
      </c>
      <c r="I128" s="130">
        <v>5445</v>
      </c>
      <c r="J128" s="130">
        <v>0</v>
      </c>
      <c r="K128" s="130">
        <v>5445</v>
      </c>
      <c r="L128" s="130">
        <v>5445</v>
      </c>
      <c r="M128" s="130"/>
      <c r="N128" s="131">
        <f t="shared" si="4"/>
        <v>0</v>
      </c>
      <c r="O128" s="132" t="s">
        <v>93</v>
      </c>
      <c r="P128" s="112"/>
    </row>
    <row r="129" s="89" customFormat="1" spans="1:17">
      <c r="A129" s="122">
        <v>45901</v>
      </c>
      <c r="B129" s="116" t="s">
        <v>16</v>
      </c>
      <c r="C129" s="78" t="s">
        <v>153</v>
      </c>
      <c r="D129" s="116" t="s">
        <v>154</v>
      </c>
      <c r="E129" s="116" t="s">
        <v>155</v>
      </c>
      <c r="F129" s="117">
        <v>45916</v>
      </c>
      <c r="G129" s="116" t="s">
        <v>86</v>
      </c>
      <c r="H129" s="116" t="s">
        <v>23</v>
      </c>
      <c r="I129" s="139">
        <v>5445</v>
      </c>
      <c r="J129" s="139">
        <v>0</v>
      </c>
      <c r="K129" s="139">
        <f t="shared" ref="K129:K132" si="8">I129-J129</f>
        <v>5445</v>
      </c>
      <c r="L129" s="139">
        <v>5445</v>
      </c>
      <c r="M129" s="139"/>
      <c r="N129" s="131">
        <f t="shared" si="4"/>
        <v>0</v>
      </c>
      <c r="O129" s="140" t="s">
        <v>156</v>
      </c>
      <c r="P129" s="141"/>
      <c r="Q129" s="89" t="s">
        <v>51</v>
      </c>
    </row>
    <row r="130" s="89" customFormat="1" spans="1:17">
      <c r="A130" s="122">
        <v>45901</v>
      </c>
      <c r="B130" s="116" t="s">
        <v>16</v>
      </c>
      <c r="C130" s="78" t="s">
        <v>153</v>
      </c>
      <c r="D130" s="116" t="s">
        <v>154</v>
      </c>
      <c r="E130" s="116" t="s">
        <v>155</v>
      </c>
      <c r="F130" s="117">
        <v>45916</v>
      </c>
      <c r="G130" s="116" t="s">
        <v>86</v>
      </c>
      <c r="H130" s="112" t="s">
        <v>21</v>
      </c>
      <c r="I130" s="139">
        <v>38313</v>
      </c>
      <c r="J130" s="139">
        <v>0</v>
      </c>
      <c r="K130" s="139">
        <f t="shared" si="8"/>
        <v>38313</v>
      </c>
      <c r="L130" s="139">
        <v>38313</v>
      </c>
      <c r="M130" s="139"/>
      <c r="N130" s="131">
        <f t="shared" si="4"/>
        <v>0</v>
      </c>
      <c r="O130" s="140" t="s">
        <v>156</v>
      </c>
      <c r="P130" s="141"/>
      <c r="Q130" s="89" t="s">
        <v>51</v>
      </c>
    </row>
    <row r="131" s="86" customFormat="1" spans="1:16">
      <c r="A131" s="111">
        <v>45839</v>
      </c>
      <c r="B131" s="116" t="s">
        <v>16</v>
      </c>
      <c r="C131" s="163" t="s">
        <v>157</v>
      </c>
      <c r="D131" s="112" t="s">
        <v>158</v>
      </c>
      <c r="E131" s="112" t="s">
        <v>159</v>
      </c>
      <c r="F131" s="115">
        <v>45869</v>
      </c>
      <c r="G131" s="112" t="s">
        <v>102</v>
      </c>
      <c r="H131" s="112" t="s">
        <v>21</v>
      </c>
      <c r="I131" s="130">
        <v>8333.52</v>
      </c>
      <c r="J131" s="130">
        <v>0</v>
      </c>
      <c r="K131" s="130">
        <f t="shared" si="8"/>
        <v>8333.52</v>
      </c>
      <c r="L131" s="130">
        <v>8333.52</v>
      </c>
      <c r="M131" s="130"/>
      <c r="N131" s="131">
        <f t="shared" ref="N131:N194" si="9">K131-L131</f>
        <v>0</v>
      </c>
      <c r="O131" s="132" t="s">
        <v>160</v>
      </c>
      <c r="P131" s="112"/>
    </row>
    <row r="132" s="86" customFormat="1" spans="1:16">
      <c r="A132" s="111">
        <v>45870</v>
      </c>
      <c r="B132" s="116" t="s">
        <v>16</v>
      </c>
      <c r="C132" s="163" t="s">
        <v>157</v>
      </c>
      <c r="D132" s="112" t="s">
        <v>158</v>
      </c>
      <c r="E132" s="112" t="s">
        <v>159</v>
      </c>
      <c r="F132" s="151">
        <v>45900</v>
      </c>
      <c r="G132" s="112" t="s">
        <v>55</v>
      </c>
      <c r="H132" s="112" t="s">
        <v>21</v>
      </c>
      <c r="I132" s="159">
        <v>6986.52</v>
      </c>
      <c r="J132" s="159">
        <v>0</v>
      </c>
      <c r="K132" s="133">
        <f t="shared" si="8"/>
        <v>6986.52</v>
      </c>
      <c r="L132" s="160">
        <f>4886.52</f>
        <v>4886.52</v>
      </c>
      <c r="M132" s="160"/>
      <c r="N132" s="131">
        <f t="shared" si="9"/>
        <v>2100</v>
      </c>
      <c r="O132" s="132" t="s">
        <v>104</v>
      </c>
      <c r="P132" s="112"/>
    </row>
    <row r="133" s="89" customFormat="1" spans="1:16">
      <c r="A133" s="122">
        <v>45901</v>
      </c>
      <c r="B133" s="116" t="s">
        <v>16</v>
      </c>
      <c r="C133" s="164" t="s">
        <v>157</v>
      </c>
      <c r="D133" s="135" t="s">
        <v>158</v>
      </c>
      <c r="E133" s="135" t="s">
        <v>159</v>
      </c>
      <c r="F133" s="151">
        <v>45930</v>
      </c>
      <c r="G133" s="135" t="s">
        <v>56</v>
      </c>
      <c r="H133" s="112" t="s">
        <v>21</v>
      </c>
      <c r="I133" s="139">
        <v>5030.76</v>
      </c>
      <c r="J133" s="139">
        <v>0</v>
      </c>
      <c r="K133" s="154">
        <f>I133</f>
        <v>5030.76</v>
      </c>
      <c r="L133" s="139">
        <v>5030.76</v>
      </c>
      <c r="M133" s="139"/>
      <c r="N133" s="131">
        <f t="shared" si="9"/>
        <v>0</v>
      </c>
      <c r="O133" s="140" t="s">
        <v>156</v>
      </c>
      <c r="P133" s="141"/>
    </row>
    <row r="134" s="88" customFormat="1" spans="1:16">
      <c r="A134" s="118">
        <v>45931</v>
      </c>
      <c r="B134" s="116" t="s">
        <v>16</v>
      </c>
      <c r="C134" s="119" t="s">
        <v>157</v>
      </c>
      <c r="D134" s="114" t="s">
        <v>158</v>
      </c>
      <c r="E134" s="114" t="s">
        <v>159</v>
      </c>
      <c r="F134" s="151">
        <v>45946</v>
      </c>
      <c r="G134" s="114" t="s">
        <v>58</v>
      </c>
      <c r="H134" s="112" t="s">
        <v>21</v>
      </c>
      <c r="I134" s="131">
        <v>11695.68</v>
      </c>
      <c r="J134" s="131"/>
      <c r="K134" s="136">
        <v>11695.68</v>
      </c>
      <c r="L134" s="136">
        <v>11695.68</v>
      </c>
      <c r="M134" s="136"/>
      <c r="N134" s="131">
        <f t="shared" si="9"/>
        <v>0</v>
      </c>
      <c r="O134" s="137" t="s">
        <v>105</v>
      </c>
      <c r="P134" s="138"/>
    </row>
    <row r="135" s="88" customFormat="1" spans="1:16">
      <c r="A135" s="118">
        <v>45962</v>
      </c>
      <c r="B135" s="116" t="s">
        <v>16</v>
      </c>
      <c r="C135" s="119" t="s">
        <v>157</v>
      </c>
      <c r="D135" s="114" t="s">
        <v>158</v>
      </c>
      <c r="E135" s="114" t="s">
        <v>159</v>
      </c>
      <c r="F135" s="151">
        <v>45976</v>
      </c>
      <c r="G135" s="114" t="s">
        <v>60</v>
      </c>
      <c r="H135" s="112" t="s">
        <v>21</v>
      </c>
      <c r="I135" s="131">
        <v>11180.52</v>
      </c>
      <c r="J135" s="131"/>
      <c r="K135" s="136">
        <v>11180.52</v>
      </c>
      <c r="L135" s="136">
        <v>11180.52</v>
      </c>
      <c r="M135" s="136"/>
      <c r="N135" s="131">
        <f t="shared" si="9"/>
        <v>0</v>
      </c>
      <c r="O135" s="137" t="s">
        <v>161</v>
      </c>
      <c r="P135" s="138"/>
    </row>
    <row r="136" s="89" customFormat="1" spans="1:16">
      <c r="A136" s="122">
        <v>45901</v>
      </c>
      <c r="B136" s="116" t="s">
        <v>16</v>
      </c>
      <c r="C136" s="165" t="s">
        <v>162</v>
      </c>
      <c r="D136" s="141" t="s">
        <v>163</v>
      </c>
      <c r="E136" s="141" t="s">
        <v>164</v>
      </c>
      <c r="F136" s="151">
        <v>45916</v>
      </c>
      <c r="G136" s="141" t="s">
        <v>165</v>
      </c>
      <c r="H136" s="141" t="s">
        <v>23</v>
      </c>
      <c r="I136" s="139">
        <v>12540</v>
      </c>
      <c r="J136" s="139">
        <v>0</v>
      </c>
      <c r="K136" s="139">
        <v>12540</v>
      </c>
      <c r="L136" s="139">
        <v>12540</v>
      </c>
      <c r="M136" s="139"/>
      <c r="N136" s="131">
        <f t="shared" si="9"/>
        <v>0</v>
      </c>
      <c r="O136" s="140" t="s">
        <v>166</v>
      </c>
      <c r="P136" s="167" t="s">
        <v>167</v>
      </c>
    </row>
    <row r="137" s="89" customFormat="1" spans="1:16">
      <c r="A137" s="122">
        <v>45901</v>
      </c>
      <c r="B137" s="116" t="s">
        <v>16</v>
      </c>
      <c r="C137" s="165" t="s">
        <v>162</v>
      </c>
      <c r="D137" s="141" t="s">
        <v>163</v>
      </c>
      <c r="E137" s="141" t="s">
        <v>164</v>
      </c>
      <c r="F137" s="151">
        <v>45916</v>
      </c>
      <c r="G137" s="141" t="s">
        <v>165</v>
      </c>
      <c r="H137" s="112" t="s">
        <v>21</v>
      </c>
      <c r="I137" s="139">
        <v>13292.4</v>
      </c>
      <c r="J137" s="139">
        <v>0</v>
      </c>
      <c r="K137" s="139">
        <v>13292.4</v>
      </c>
      <c r="L137" s="139">
        <v>13292.4</v>
      </c>
      <c r="M137" s="139"/>
      <c r="N137" s="131">
        <f t="shared" si="9"/>
        <v>0</v>
      </c>
      <c r="O137" s="140" t="s">
        <v>166</v>
      </c>
      <c r="P137" s="167" t="s">
        <v>167</v>
      </c>
    </row>
    <row r="138" s="89" customFormat="1" spans="1:16">
      <c r="A138" s="122">
        <v>45901</v>
      </c>
      <c r="B138" s="116" t="s">
        <v>16</v>
      </c>
      <c r="C138" s="165" t="s">
        <v>162</v>
      </c>
      <c r="D138" s="141" t="s">
        <v>163</v>
      </c>
      <c r="E138" s="141" t="s">
        <v>164</v>
      </c>
      <c r="F138" s="151">
        <v>45916</v>
      </c>
      <c r="G138" s="141" t="s">
        <v>168</v>
      </c>
      <c r="H138" s="121" t="s">
        <v>30</v>
      </c>
      <c r="I138" s="139">
        <v>3000</v>
      </c>
      <c r="J138" s="139">
        <v>0</v>
      </c>
      <c r="K138" s="139">
        <v>3000</v>
      </c>
      <c r="L138" s="139">
        <v>3000</v>
      </c>
      <c r="M138" s="139"/>
      <c r="N138" s="131">
        <f t="shared" si="9"/>
        <v>0</v>
      </c>
      <c r="O138" s="140" t="s">
        <v>166</v>
      </c>
      <c r="P138" s="167" t="s">
        <v>167</v>
      </c>
    </row>
    <row r="139" s="89" customFormat="1" spans="1:16">
      <c r="A139" s="122">
        <v>45901</v>
      </c>
      <c r="B139" s="116" t="s">
        <v>16</v>
      </c>
      <c r="C139" s="165" t="s">
        <v>162</v>
      </c>
      <c r="D139" s="141" t="s">
        <v>163</v>
      </c>
      <c r="E139" s="141" t="s">
        <v>164</v>
      </c>
      <c r="F139" s="151">
        <v>45916</v>
      </c>
      <c r="G139" s="141" t="s">
        <v>169</v>
      </c>
      <c r="H139" s="141" t="s">
        <v>23</v>
      </c>
      <c r="I139" s="139">
        <v>12540</v>
      </c>
      <c r="J139" s="139">
        <v>0</v>
      </c>
      <c r="K139" s="139">
        <v>12540</v>
      </c>
      <c r="L139" s="139">
        <v>12540</v>
      </c>
      <c r="M139" s="139"/>
      <c r="N139" s="131">
        <f t="shared" si="9"/>
        <v>0</v>
      </c>
      <c r="O139" s="140" t="s">
        <v>166</v>
      </c>
      <c r="P139" s="167"/>
    </row>
    <row r="140" s="89" customFormat="1" spans="1:16">
      <c r="A140" s="122">
        <v>45901</v>
      </c>
      <c r="B140" s="116" t="s">
        <v>16</v>
      </c>
      <c r="C140" s="165" t="s">
        <v>162</v>
      </c>
      <c r="D140" s="141" t="s">
        <v>163</v>
      </c>
      <c r="E140" s="141" t="s">
        <v>164</v>
      </c>
      <c r="F140" s="151">
        <v>45916</v>
      </c>
      <c r="G140" s="141" t="s">
        <v>169</v>
      </c>
      <c r="H140" s="112" t="s">
        <v>21</v>
      </c>
      <c r="I140" s="139">
        <v>13292.4</v>
      </c>
      <c r="J140" s="139">
        <v>0</v>
      </c>
      <c r="K140" s="139">
        <v>13292.4</v>
      </c>
      <c r="L140" s="139">
        <v>13292.4</v>
      </c>
      <c r="M140" s="139"/>
      <c r="N140" s="131">
        <f t="shared" si="9"/>
        <v>0</v>
      </c>
      <c r="O140" s="140" t="s">
        <v>166</v>
      </c>
      <c r="P140" s="167"/>
    </row>
    <row r="141" s="88" customFormat="1" spans="1:16">
      <c r="A141" s="118">
        <v>45962</v>
      </c>
      <c r="B141" s="116" t="s">
        <v>16</v>
      </c>
      <c r="C141" s="119" t="s">
        <v>162</v>
      </c>
      <c r="D141" s="114" t="s">
        <v>163</v>
      </c>
      <c r="E141" s="114" t="s">
        <v>164</v>
      </c>
      <c r="F141" s="151">
        <v>45991</v>
      </c>
      <c r="G141" s="114" t="s">
        <v>170</v>
      </c>
      <c r="H141" s="114" t="s">
        <v>23</v>
      </c>
      <c r="I141" s="131">
        <v>4180</v>
      </c>
      <c r="J141" s="131"/>
      <c r="K141" s="136">
        <v>4180</v>
      </c>
      <c r="L141" s="136">
        <v>4180</v>
      </c>
      <c r="M141" s="136"/>
      <c r="N141" s="131">
        <f t="shared" si="9"/>
        <v>0</v>
      </c>
      <c r="O141" s="137" t="s">
        <v>171</v>
      </c>
      <c r="P141" s="138"/>
    </row>
    <row r="142" s="88" customFormat="1" spans="1:16">
      <c r="A142" s="118">
        <v>45962</v>
      </c>
      <c r="B142" s="116" t="s">
        <v>16</v>
      </c>
      <c r="C142" s="119" t="s">
        <v>162</v>
      </c>
      <c r="D142" s="114" t="s">
        <v>163</v>
      </c>
      <c r="E142" s="114" t="s">
        <v>164</v>
      </c>
      <c r="F142" s="151">
        <v>45991</v>
      </c>
      <c r="G142" s="114" t="s">
        <v>172</v>
      </c>
      <c r="H142" s="114" t="s">
        <v>23</v>
      </c>
      <c r="I142" s="131">
        <v>4180</v>
      </c>
      <c r="J142" s="131"/>
      <c r="K142" s="136">
        <v>4180</v>
      </c>
      <c r="L142" s="136">
        <v>4180</v>
      </c>
      <c r="M142" s="136"/>
      <c r="N142" s="131">
        <f t="shared" si="9"/>
        <v>0</v>
      </c>
      <c r="O142" s="137" t="s">
        <v>171</v>
      </c>
      <c r="P142" s="138"/>
    </row>
    <row r="143" s="88" customFormat="1" spans="1:16">
      <c r="A143" s="118">
        <v>45962</v>
      </c>
      <c r="B143" s="116" t="s">
        <v>16</v>
      </c>
      <c r="C143" s="119" t="s">
        <v>162</v>
      </c>
      <c r="D143" s="114" t="s">
        <v>163</v>
      </c>
      <c r="E143" s="114" t="s">
        <v>164</v>
      </c>
      <c r="F143" s="151">
        <v>45991</v>
      </c>
      <c r="G143" s="114" t="s">
        <v>173</v>
      </c>
      <c r="H143" s="114" t="s">
        <v>23</v>
      </c>
      <c r="I143" s="131">
        <v>4180</v>
      </c>
      <c r="J143" s="131"/>
      <c r="K143" s="136">
        <v>4180</v>
      </c>
      <c r="L143" s="136">
        <v>4180</v>
      </c>
      <c r="M143" s="136"/>
      <c r="N143" s="131">
        <f t="shared" si="9"/>
        <v>0</v>
      </c>
      <c r="O143" s="137" t="s">
        <v>171</v>
      </c>
      <c r="P143" s="138"/>
    </row>
    <row r="144" s="88" customFormat="1" spans="1:16">
      <c r="A144" s="118">
        <v>45962</v>
      </c>
      <c r="B144" s="116" t="s">
        <v>16</v>
      </c>
      <c r="C144" s="119" t="s">
        <v>162</v>
      </c>
      <c r="D144" s="114" t="s">
        <v>163</v>
      </c>
      <c r="E144" s="114" t="s">
        <v>164</v>
      </c>
      <c r="F144" s="151">
        <v>45991</v>
      </c>
      <c r="G144" s="114" t="s">
        <v>170</v>
      </c>
      <c r="H144" s="112" t="s">
        <v>21</v>
      </c>
      <c r="I144" s="136">
        <v>4430.8</v>
      </c>
      <c r="J144" s="131"/>
      <c r="K144" s="136">
        <v>4430.8</v>
      </c>
      <c r="L144" s="136">
        <v>4430.8</v>
      </c>
      <c r="M144" s="136"/>
      <c r="N144" s="131">
        <f t="shared" si="9"/>
        <v>0</v>
      </c>
      <c r="O144" s="137" t="s">
        <v>171</v>
      </c>
      <c r="P144" s="138"/>
    </row>
    <row r="145" s="88" customFormat="1" spans="1:16">
      <c r="A145" s="118">
        <v>45962</v>
      </c>
      <c r="B145" s="116" t="s">
        <v>16</v>
      </c>
      <c r="C145" s="119" t="s">
        <v>162</v>
      </c>
      <c r="D145" s="114" t="s">
        <v>163</v>
      </c>
      <c r="E145" s="114" t="s">
        <v>164</v>
      </c>
      <c r="F145" s="151">
        <v>45991</v>
      </c>
      <c r="G145" s="114" t="s">
        <v>172</v>
      </c>
      <c r="H145" s="112" t="s">
        <v>21</v>
      </c>
      <c r="I145" s="136">
        <v>4430.8</v>
      </c>
      <c r="J145" s="131"/>
      <c r="K145" s="136">
        <v>4430.8</v>
      </c>
      <c r="L145" s="136">
        <v>4430.8</v>
      </c>
      <c r="M145" s="136"/>
      <c r="N145" s="131">
        <f t="shared" si="9"/>
        <v>0</v>
      </c>
      <c r="O145" s="137" t="s">
        <v>171</v>
      </c>
      <c r="P145" s="138"/>
    </row>
    <row r="146" s="88" customFormat="1" spans="1:16">
      <c r="A146" s="118">
        <v>45962</v>
      </c>
      <c r="B146" s="116" t="s">
        <v>16</v>
      </c>
      <c r="C146" s="119" t="s">
        <v>162</v>
      </c>
      <c r="D146" s="114" t="s">
        <v>163</v>
      </c>
      <c r="E146" s="114" t="s">
        <v>164</v>
      </c>
      <c r="F146" s="151">
        <v>45991</v>
      </c>
      <c r="G146" s="114" t="s">
        <v>173</v>
      </c>
      <c r="H146" s="112" t="s">
        <v>21</v>
      </c>
      <c r="I146" s="136">
        <v>4430.8</v>
      </c>
      <c r="J146" s="131"/>
      <c r="K146" s="136">
        <v>4430.8</v>
      </c>
      <c r="L146" s="136">
        <v>4430.8</v>
      </c>
      <c r="M146" s="136"/>
      <c r="N146" s="131">
        <f t="shared" si="9"/>
        <v>0</v>
      </c>
      <c r="O146" s="137" t="s">
        <v>171</v>
      </c>
      <c r="P146" s="138"/>
    </row>
    <row r="147" s="86" customFormat="1" spans="1:16">
      <c r="A147" s="111">
        <v>45839</v>
      </c>
      <c r="B147" s="116" t="s">
        <v>16</v>
      </c>
      <c r="C147" s="113" t="s">
        <v>174</v>
      </c>
      <c r="D147" s="112" t="s">
        <v>175</v>
      </c>
      <c r="E147" s="112" t="s">
        <v>176</v>
      </c>
      <c r="F147" s="151">
        <v>45824</v>
      </c>
      <c r="G147" s="112" t="s">
        <v>46</v>
      </c>
      <c r="H147" s="112" t="s">
        <v>23</v>
      </c>
      <c r="I147" s="130">
        <v>26070</v>
      </c>
      <c r="J147" s="130">
        <v>0</v>
      </c>
      <c r="K147" s="130">
        <v>26070</v>
      </c>
      <c r="L147" s="130">
        <v>26070</v>
      </c>
      <c r="M147" s="130"/>
      <c r="N147" s="131">
        <f t="shared" si="9"/>
        <v>0</v>
      </c>
      <c r="O147" s="132" t="s">
        <v>177</v>
      </c>
      <c r="P147" s="112"/>
    </row>
    <row r="148" s="86" customFormat="1" spans="1:16">
      <c r="A148" s="111">
        <v>45839</v>
      </c>
      <c r="B148" s="116" t="s">
        <v>16</v>
      </c>
      <c r="C148" s="113" t="s">
        <v>174</v>
      </c>
      <c r="D148" s="112" t="s">
        <v>175</v>
      </c>
      <c r="E148" s="112" t="s">
        <v>176</v>
      </c>
      <c r="F148" s="151">
        <v>45824</v>
      </c>
      <c r="G148" s="112" t="s">
        <v>46</v>
      </c>
      <c r="H148" s="112" t="s">
        <v>21</v>
      </c>
      <c r="I148" s="130">
        <v>39816</v>
      </c>
      <c r="J148" s="130">
        <v>0</v>
      </c>
      <c r="K148" s="130">
        <v>39816</v>
      </c>
      <c r="L148" s="130">
        <v>39816</v>
      </c>
      <c r="M148" s="130"/>
      <c r="N148" s="131">
        <f t="shared" si="9"/>
        <v>0</v>
      </c>
      <c r="O148" s="132" t="s">
        <v>177</v>
      </c>
      <c r="P148" s="112"/>
    </row>
    <row r="149" s="89" customFormat="1" spans="1:17">
      <c r="A149" s="122">
        <v>45901</v>
      </c>
      <c r="B149" s="116" t="s">
        <v>16</v>
      </c>
      <c r="C149" s="78" t="s">
        <v>174</v>
      </c>
      <c r="D149" s="116" t="s">
        <v>175</v>
      </c>
      <c r="E149" s="116" t="s">
        <v>176</v>
      </c>
      <c r="F149" s="151">
        <v>45916</v>
      </c>
      <c r="G149" s="116" t="s">
        <v>122</v>
      </c>
      <c r="H149" s="116" t="s">
        <v>23</v>
      </c>
      <c r="I149" s="139">
        <v>14403.97</v>
      </c>
      <c r="J149" s="139">
        <v>0</v>
      </c>
      <c r="K149" s="139">
        <f>I149-J149</f>
        <v>14403.97</v>
      </c>
      <c r="L149" s="139">
        <v>14403.97</v>
      </c>
      <c r="M149" s="139"/>
      <c r="N149" s="131">
        <f t="shared" si="9"/>
        <v>0</v>
      </c>
      <c r="O149" s="140" t="s">
        <v>178</v>
      </c>
      <c r="P149" s="141"/>
      <c r="Q149" s="89" t="s">
        <v>51</v>
      </c>
    </row>
    <row r="150" s="89" customFormat="1" spans="1:17">
      <c r="A150" s="122">
        <v>45901</v>
      </c>
      <c r="B150" s="116" t="s">
        <v>16</v>
      </c>
      <c r="C150" s="78" t="s">
        <v>174</v>
      </c>
      <c r="D150" s="116" t="s">
        <v>175</v>
      </c>
      <c r="E150" s="116" t="s">
        <v>176</v>
      </c>
      <c r="F150" s="151">
        <v>45916</v>
      </c>
      <c r="G150" s="116" t="s">
        <v>122</v>
      </c>
      <c r="H150" s="112" t="s">
        <v>21</v>
      </c>
      <c r="I150" s="139">
        <v>21998.79</v>
      </c>
      <c r="J150" s="139">
        <v>0</v>
      </c>
      <c r="K150" s="139">
        <f>I150-J150</f>
        <v>21998.79</v>
      </c>
      <c r="L150" s="139">
        <v>21998.79</v>
      </c>
      <c r="M150" s="139"/>
      <c r="N150" s="131">
        <f t="shared" si="9"/>
        <v>0</v>
      </c>
      <c r="O150" s="140" t="s">
        <v>178</v>
      </c>
      <c r="P150" s="141"/>
      <c r="Q150" s="89" t="s">
        <v>51</v>
      </c>
    </row>
    <row r="151" s="89" customFormat="1" spans="1:16">
      <c r="A151" s="122">
        <v>45901</v>
      </c>
      <c r="B151" s="116" t="s">
        <v>16</v>
      </c>
      <c r="C151" s="165" t="s">
        <v>179</v>
      </c>
      <c r="D151" s="141" t="s">
        <v>180</v>
      </c>
      <c r="E151" s="141" t="s">
        <v>181</v>
      </c>
      <c r="F151" s="151">
        <v>45916</v>
      </c>
      <c r="G151" s="141" t="s">
        <v>24</v>
      </c>
      <c r="H151" s="141" t="s">
        <v>23</v>
      </c>
      <c r="I151" s="139">
        <v>3900</v>
      </c>
      <c r="J151" s="139">
        <v>0</v>
      </c>
      <c r="K151" s="139">
        <v>3900</v>
      </c>
      <c r="L151" s="139">
        <v>3900</v>
      </c>
      <c r="M151" s="139"/>
      <c r="N151" s="131">
        <f t="shared" si="9"/>
        <v>0</v>
      </c>
      <c r="O151" s="140" t="s">
        <v>182</v>
      </c>
      <c r="P151" s="168" t="s">
        <v>183</v>
      </c>
    </row>
    <row r="152" s="89" customFormat="1" spans="1:16">
      <c r="A152" s="122">
        <v>45901</v>
      </c>
      <c r="B152" s="116" t="s">
        <v>16</v>
      </c>
      <c r="C152" s="165" t="s">
        <v>179</v>
      </c>
      <c r="D152" s="141" t="s">
        <v>180</v>
      </c>
      <c r="E152" s="141" t="s">
        <v>181</v>
      </c>
      <c r="F152" s="151">
        <v>45916</v>
      </c>
      <c r="G152" s="141" t="s">
        <v>24</v>
      </c>
      <c r="H152" s="112" t="s">
        <v>21</v>
      </c>
      <c r="I152" s="139">
        <v>3900</v>
      </c>
      <c r="J152" s="139">
        <v>0</v>
      </c>
      <c r="K152" s="139">
        <v>3900</v>
      </c>
      <c r="L152" s="139">
        <v>3900</v>
      </c>
      <c r="M152" s="139"/>
      <c r="N152" s="131">
        <f t="shared" si="9"/>
        <v>0</v>
      </c>
      <c r="O152" s="140" t="s">
        <v>182</v>
      </c>
      <c r="P152" s="168" t="s">
        <v>183</v>
      </c>
    </row>
    <row r="153" s="88" customFormat="1" spans="1:16">
      <c r="A153" s="118">
        <v>45931</v>
      </c>
      <c r="B153" s="116" t="s">
        <v>16</v>
      </c>
      <c r="C153" s="119" t="s">
        <v>179</v>
      </c>
      <c r="D153" s="114" t="s">
        <v>180</v>
      </c>
      <c r="E153" s="114" t="s">
        <v>181</v>
      </c>
      <c r="F153" s="151">
        <v>45946</v>
      </c>
      <c r="G153" s="114" t="s">
        <v>28</v>
      </c>
      <c r="H153" s="114" t="s">
        <v>23</v>
      </c>
      <c r="I153" s="136">
        <v>2600</v>
      </c>
      <c r="J153" s="131"/>
      <c r="K153" s="136">
        <v>2600</v>
      </c>
      <c r="L153" s="136">
        <v>2600</v>
      </c>
      <c r="M153" s="136"/>
      <c r="N153" s="131">
        <f t="shared" si="9"/>
        <v>0</v>
      </c>
      <c r="O153" s="137" t="s">
        <v>184</v>
      </c>
      <c r="P153" s="138"/>
    </row>
    <row r="154" s="88" customFormat="1" spans="1:16">
      <c r="A154" s="118">
        <v>45931</v>
      </c>
      <c r="B154" s="116" t="s">
        <v>16</v>
      </c>
      <c r="C154" s="119" t="s">
        <v>179</v>
      </c>
      <c r="D154" s="114" t="s">
        <v>180</v>
      </c>
      <c r="E154" s="114" t="s">
        <v>181</v>
      </c>
      <c r="F154" s="151">
        <v>45946</v>
      </c>
      <c r="G154" s="114" t="s">
        <v>28</v>
      </c>
      <c r="H154" s="112" t="s">
        <v>21</v>
      </c>
      <c r="I154" s="136">
        <v>2600</v>
      </c>
      <c r="J154" s="131"/>
      <c r="K154" s="136">
        <v>2600</v>
      </c>
      <c r="L154" s="136">
        <v>2600</v>
      </c>
      <c r="M154" s="136"/>
      <c r="N154" s="131">
        <f t="shared" si="9"/>
        <v>0</v>
      </c>
      <c r="O154" s="137" t="s">
        <v>184</v>
      </c>
      <c r="P154" s="138"/>
    </row>
    <row r="155" s="88" customFormat="1" spans="1:16">
      <c r="A155" s="118">
        <v>45962</v>
      </c>
      <c r="B155" s="116" t="s">
        <v>16</v>
      </c>
      <c r="C155" s="119" t="s">
        <v>179</v>
      </c>
      <c r="D155" s="114" t="s">
        <v>180</v>
      </c>
      <c r="E155" s="114" t="s">
        <v>181</v>
      </c>
      <c r="F155" s="151">
        <v>45976</v>
      </c>
      <c r="G155" s="114" t="s">
        <v>26</v>
      </c>
      <c r="H155" s="114" t="s">
        <v>23</v>
      </c>
      <c r="I155" s="136">
        <v>2600</v>
      </c>
      <c r="J155" s="131"/>
      <c r="K155" s="136">
        <v>2600</v>
      </c>
      <c r="L155" s="136">
        <v>2600</v>
      </c>
      <c r="M155" s="136"/>
      <c r="N155" s="131">
        <f t="shared" si="9"/>
        <v>0</v>
      </c>
      <c r="O155" s="137" t="s">
        <v>184</v>
      </c>
      <c r="P155" s="138"/>
    </row>
    <row r="156" s="88" customFormat="1" spans="1:16">
      <c r="A156" s="118">
        <v>45962</v>
      </c>
      <c r="B156" s="116" t="s">
        <v>16</v>
      </c>
      <c r="C156" s="119" t="s">
        <v>179</v>
      </c>
      <c r="D156" s="114" t="s">
        <v>180</v>
      </c>
      <c r="E156" s="114" t="s">
        <v>181</v>
      </c>
      <c r="F156" s="151">
        <v>45976</v>
      </c>
      <c r="G156" s="114" t="s">
        <v>26</v>
      </c>
      <c r="H156" s="112" t="s">
        <v>21</v>
      </c>
      <c r="I156" s="139">
        <v>2600</v>
      </c>
      <c r="J156" s="131"/>
      <c r="K156" s="136">
        <v>2600</v>
      </c>
      <c r="L156" s="136">
        <f>2400+200</f>
        <v>2600</v>
      </c>
      <c r="M156" s="136"/>
      <c r="N156" s="131">
        <f t="shared" si="9"/>
        <v>0</v>
      </c>
      <c r="O156" s="137" t="s">
        <v>185</v>
      </c>
      <c r="P156" s="138"/>
    </row>
    <row r="157" s="86" customFormat="1" spans="1:16">
      <c r="A157" s="111">
        <v>45839</v>
      </c>
      <c r="B157" s="116" t="s">
        <v>16</v>
      </c>
      <c r="C157" s="113" t="s">
        <v>186</v>
      </c>
      <c r="D157" s="112" t="s">
        <v>187</v>
      </c>
      <c r="E157" s="112" t="s">
        <v>188</v>
      </c>
      <c r="F157" s="151">
        <v>45819</v>
      </c>
      <c r="G157" s="112" t="s">
        <v>55</v>
      </c>
      <c r="H157" s="112" t="s">
        <v>23</v>
      </c>
      <c r="I157" s="130">
        <v>11880</v>
      </c>
      <c r="J157" s="130">
        <v>0</v>
      </c>
      <c r="K157" s="130">
        <v>11880</v>
      </c>
      <c r="L157" s="130">
        <v>11880</v>
      </c>
      <c r="M157" s="130"/>
      <c r="N157" s="131">
        <f t="shared" si="9"/>
        <v>0</v>
      </c>
      <c r="O157" s="132" t="s">
        <v>127</v>
      </c>
      <c r="P157" s="112"/>
    </row>
    <row r="158" s="86" customFormat="1" spans="1:16">
      <c r="A158" s="111">
        <v>45839</v>
      </c>
      <c r="B158" s="116" t="s">
        <v>16</v>
      </c>
      <c r="C158" s="113" t="s">
        <v>186</v>
      </c>
      <c r="D158" s="112" t="s">
        <v>187</v>
      </c>
      <c r="E158" s="112" t="s">
        <v>188</v>
      </c>
      <c r="F158" s="151">
        <v>45819</v>
      </c>
      <c r="G158" s="112" t="s">
        <v>55</v>
      </c>
      <c r="H158" s="112" t="s">
        <v>21</v>
      </c>
      <c r="I158" s="130">
        <v>5400</v>
      </c>
      <c r="J158" s="130">
        <v>0</v>
      </c>
      <c r="K158" s="130">
        <v>5400</v>
      </c>
      <c r="L158" s="130">
        <v>5400</v>
      </c>
      <c r="M158" s="130"/>
      <c r="N158" s="131">
        <f t="shared" si="9"/>
        <v>0</v>
      </c>
      <c r="O158" s="132" t="s">
        <v>127</v>
      </c>
      <c r="P158" s="112"/>
    </row>
    <row r="159" s="86" customFormat="1" spans="1:16">
      <c r="A159" s="111">
        <v>45839</v>
      </c>
      <c r="B159" s="116" t="s">
        <v>16</v>
      </c>
      <c r="C159" s="113" t="s">
        <v>186</v>
      </c>
      <c r="D159" s="112" t="s">
        <v>187</v>
      </c>
      <c r="E159" s="112" t="s">
        <v>188</v>
      </c>
      <c r="F159" s="151">
        <v>45850</v>
      </c>
      <c r="G159" s="112" t="s">
        <v>56</v>
      </c>
      <c r="H159" s="112" t="s">
        <v>23</v>
      </c>
      <c r="I159" s="130">
        <v>11880</v>
      </c>
      <c r="J159" s="130">
        <v>0</v>
      </c>
      <c r="K159" s="130">
        <f t="shared" ref="K159:K164" si="10">I159-J159</f>
        <v>11880</v>
      </c>
      <c r="L159" s="130">
        <v>11880</v>
      </c>
      <c r="M159" s="130"/>
      <c r="N159" s="131">
        <f t="shared" si="9"/>
        <v>0</v>
      </c>
      <c r="O159" s="132" t="s">
        <v>57</v>
      </c>
      <c r="P159" s="112"/>
    </row>
    <row r="160" s="86" customFormat="1" spans="1:16">
      <c r="A160" s="111">
        <v>45839</v>
      </c>
      <c r="B160" s="116" t="s">
        <v>16</v>
      </c>
      <c r="C160" s="113" t="s">
        <v>186</v>
      </c>
      <c r="D160" s="112" t="s">
        <v>187</v>
      </c>
      <c r="E160" s="112" t="s">
        <v>188</v>
      </c>
      <c r="F160" s="151">
        <v>45850</v>
      </c>
      <c r="G160" s="112" t="s">
        <v>56</v>
      </c>
      <c r="H160" s="112" t="s">
        <v>21</v>
      </c>
      <c r="I160" s="130">
        <v>5400</v>
      </c>
      <c r="J160" s="130">
        <v>0</v>
      </c>
      <c r="K160" s="130">
        <f t="shared" si="10"/>
        <v>5400</v>
      </c>
      <c r="L160" s="130">
        <v>5400</v>
      </c>
      <c r="M160" s="130"/>
      <c r="N160" s="131">
        <f t="shared" si="9"/>
        <v>0</v>
      </c>
      <c r="O160" s="132" t="s">
        <v>57</v>
      </c>
      <c r="P160" s="112"/>
    </row>
    <row r="161" s="87" customFormat="1" spans="1:16">
      <c r="A161" s="111">
        <v>45870</v>
      </c>
      <c r="B161" s="116" t="s">
        <v>16</v>
      </c>
      <c r="C161" s="78" t="s">
        <v>186</v>
      </c>
      <c r="D161" s="116" t="s">
        <v>187</v>
      </c>
      <c r="E161" s="116" t="s">
        <v>188</v>
      </c>
      <c r="F161" s="151">
        <v>45881</v>
      </c>
      <c r="G161" s="116" t="s">
        <v>58</v>
      </c>
      <c r="H161" s="116" t="s">
        <v>23</v>
      </c>
      <c r="I161" s="133">
        <v>11880</v>
      </c>
      <c r="J161" s="133">
        <v>0</v>
      </c>
      <c r="K161" s="133">
        <f t="shared" si="10"/>
        <v>11880</v>
      </c>
      <c r="L161" s="133">
        <v>11880</v>
      </c>
      <c r="M161" s="133"/>
      <c r="N161" s="131">
        <f t="shared" si="9"/>
        <v>0</v>
      </c>
      <c r="O161" s="134" t="s">
        <v>189</v>
      </c>
      <c r="P161" s="135"/>
    </row>
    <row r="162" s="87" customFormat="1" spans="1:16">
      <c r="A162" s="111">
        <v>45870</v>
      </c>
      <c r="B162" s="116" t="s">
        <v>16</v>
      </c>
      <c r="C162" s="78" t="s">
        <v>186</v>
      </c>
      <c r="D162" s="116" t="s">
        <v>187</v>
      </c>
      <c r="E162" s="116" t="s">
        <v>188</v>
      </c>
      <c r="F162" s="151">
        <v>45881</v>
      </c>
      <c r="G162" s="116" t="s">
        <v>58</v>
      </c>
      <c r="H162" s="112" t="s">
        <v>21</v>
      </c>
      <c r="I162" s="133">
        <v>5400</v>
      </c>
      <c r="J162" s="133">
        <v>0</v>
      </c>
      <c r="K162" s="133">
        <f t="shared" si="10"/>
        <v>5400</v>
      </c>
      <c r="L162" s="133">
        <v>5400</v>
      </c>
      <c r="M162" s="133"/>
      <c r="N162" s="131">
        <f t="shared" si="9"/>
        <v>0</v>
      </c>
      <c r="O162" s="134" t="s">
        <v>189</v>
      </c>
      <c r="P162" s="135"/>
    </row>
    <row r="163" s="89" customFormat="1" spans="1:17">
      <c r="A163" s="122">
        <v>45901</v>
      </c>
      <c r="B163" s="116" t="s">
        <v>16</v>
      </c>
      <c r="C163" s="78" t="s">
        <v>186</v>
      </c>
      <c r="D163" s="116" t="s">
        <v>187</v>
      </c>
      <c r="E163" s="116" t="s">
        <v>188</v>
      </c>
      <c r="F163" s="151">
        <v>45911</v>
      </c>
      <c r="G163" s="116" t="s">
        <v>60</v>
      </c>
      <c r="H163" s="112" t="s">
        <v>21</v>
      </c>
      <c r="I163" s="139">
        <v>5400</v>
      </c>
      <c r="J163" s="139">
        <v>0</v>
      </c>
      <c r="K163" s="139">
        <f t="shared" si="10"/>
        <v>5400</v>
      </c>
      <c r="L163" s="139">
        <v>5400</v>
      </c>
      <c r="M163" s="139"/>
      <c r="N163" s="131">
        <f t="shared" si="9"/>
        <v>0</v>
      </c>
      <c r="O163" s="140" t="s">
        <v>190</v>
      </c>
      <c r="P163" s="141"/>
      <c r="Q163" s="89" t="s">
        <v>51</v>
      </c>
    </row>
    <row r="164" s="89" customFormat="1" spans="1:17">
      <c r="A164" s="122">
        <v>45901</v>
      </c>
      <c r="B164" s="116" t="s">
        <v>16</v>
      </c>
      <c r="C164" s="78" t="s">
        <v>186</v>
      </c>
      <c r="D164" s="116" t="s">
        <v>187</v>
      </c>
      <c r="E164" s="116" t="s">
        <v>188</v>
      </c>
      <c r="F164" s="151">
        <v>45911</v>
      </c>
      <c r="G164" s="116" t="s">
        <v>60</v>
      </c>
      <c r="H164" s="116" t="s">
        <v>23</v>
      </c>
      <c r="I164" s="139">
        <v>11880</v>
      </c>
      <c r="J164" s="139">
        <v>0</v>
      </c>
      <c r="K164" s="139">
        <f t="shared" si="10"/>
        <v>11880</v>
      </c>
      <c r="L164" s="139">
        <v>11880</v>
      </c>
      <c r="M164" s="139"/>
      <c r="N164" s="131">
        <f t="shared" si="9"/>
        <v>0</v>
      </c>
      <c r="O164" s="140" t="s">
        <v>190</v>
      </c>
      <c r="P164" s="141"/>
      <c r="Q164" s="89" t="s">
        <v>51</v>
      </c>
    </row>
    <row r="165" s="88" customFormat="1" spans="1:16">
      <c r="A165" s="118">
        <v>45931</v>
      </c>
      <c r="B165" s="116" t="s">
        <v>16</v>
      </c>
      <c r="C165" s="119" t="s">
        <v>186</v>
      </c>
      <c r="D165" s="114" t="s">
        <v>187</v>
      </c>
      <c r="E165" s="114" t="s">
        <v>188</v>
      </c>
      <c r="F165" s="151">
        <v>45946</v>
      </c>
      <c r="G165" s="114" t="s">
        <v>28</v>
      </c>
      <c r="H165" s="114" t="s">
        <v>23</v>
      </c>
      <c r="I165" s="136">
        <v>11880</v>
      </c>
      <c r="J165" s="131"/>
      <c r="K165" s="136">
        <v>11880</v>
      </c>
      <c r="L165" s="136">
        <v>11880</v>
      </c>
      <c r="M165" s="136"/>
      <c r="N165" s="131">
        <f t="shared" si="9"/>
        <v>0</v>
      </c>
      <c r="O165" s="137" t="s">
        <v>191</v>
      </c>
      <c r="P165" s="138"/>
    </row>
    <row r="166" s="88" customFormat="1" spans="1:16">
      <c r="A166" s="118">
        <v>45931</v>
      </c>
      <c r="B166" s="116" t="s">
        <v>16</v>
      </c>
      <c r="C166" s="119" t="s">
        <v>186</v>
      </c>
      <c r="D166" s="114" t="s">
        <v>187</v>
      </c>
      <c r="E166" s="114" t="s">
        <v>188</v>
      </c>
      <c r="F166" s="151">
        <v>45946</v>
      </c>
      <c r="G166" s="114" t="s">
        <v>28</v>
      </c>
      <c r="H166" s="112" t="s">
        <v>21</v>
      </c>
      <c r="I166" s="136">
        <v>5400</v>
      </c>
      <c r="J166" s="131"/>
      <c r="K166" s="136">
        <v>5400</v>
      </c>
      <c r="L166" s="136">
        <v>5400</v>
      </c>
      <c r="M166" s="136"/>
      <c r="N166" s="131">
        <f t="shared" si="9"/>
        <v>0</v>
      </c>
      <c r="O166" s="137" t="s">
        <v>191</v>
      </c>
      <c r="P166" s="138"/>
    </row>
    <row r="167" s="88" customFormat="1" spans="1:16">
      <c r="A167" s="118">
        <v>45962</v>
      </c>
      <c r="B167" s="116" t="s">
        <v>16</v>
      </c>
      <c r="C167" s="119" t="s">
        <v>186</v>
      </c>
      <c r="D167" s="114" t="s">
        <v>187</v>
      </c>
      <c r="E167" s="114" t="s">
        <v>188</v>
      </c>
      <c r="F167" s="151">
        <v>45976</v>
      </c>
      <c r="G167" s="114" t="s">
        <v>26</v>
      </c>
      <c r="H167" s="114" t="s">
        <v>23</v>
      </c>
      <c r="I167" s="131">
        <v>11880</v>
      </c>
      <c r="J167" s="131"/>
      <c r="K167" s="136">
        <v>11880</v>
      </c>
      <c r="L167" s="136">
        <v>11880</v>
      </c>
      <c r="M167" s="131"/>
      <c r="N167" s="131">
        <f t="shared" si="9"/>
        <v>0</v>
      </c>
      <c r="O167" s="162" t="s">
        <v>64</v>
      </c>
      <c r="P167" s="138"/>
    </row>
    <row r="168" s="88" customFormat="1" spans="1:16">
      <c r="A168" s="118">
        <v>45962</v>
      </c>
      <c r="B168" s="116" t="s">
        <v>16</v>
      </c>
      <c r="C168" s="119" t="s">
        <v>186</v>
      </c>
      <c r="D168" s="114" t="s">
        <v>187</v>
      </c>
      <c r="E168" s="114" t="s">
        <v>188</v>
      </c>
      <c r="F168" s="151">
        <v>45976</v>
      </c>
      <c r="G168" s="114" t="s">
        <v>26</v>
      </c>
      <c r="H168" s="112" t="s">
        <v>21</v>
      </c>
      <c r="I168" s="131">
        <v>5400</v>
      </c>
      <c r="J168" s="131"/>
      <c r="K168" s="136">
        <v>5400</v>
      </c>
      <c r="L168" s="136">
        <v>5400</v>
      </c>
      <c r="M168" s="131"/>
      <c r="N168" s="131">
        <f t="shared" si="9"/>
        <v>0</v>
      </c>
      <c r="O168" s="162" t="s">
        <v>64</v>
      </c>
      <c r="P168" s="138"/>
    </row>
    <row r="169" s="89" customFormat="1" spans="1:16">
      <c r="A169" s="122">
        <v>45901</v>
      </c>
      <c r="B169" s="116" t="s">
        <v>16</v>
      </c>
      <c r="C169" s="165" t="s">
        <v>192</v>
      </c>
      <c r="D169" s="141" t="s">
        <v>193</v>
      </c>
      <c r="E169" s="141" t="s">
        <v>194</v>
      </c>
      <c r="F169" s="151">
        <v>45916</v>
      </c>
      <c r="G169" s="141" t="s">
        <v>195</v>
      </c>
      <c r="H169" s="141" t="s">
        <v>23</v>
      </c>
      <c r="I169" s="139">
        <v>26640</v>
      </c>
      <c r="J169" s="139">
        <v>0</v>
      </c>
      <c r="K169" s="139">
        <v>26640</v>
      </c>
      <c r="L169" s="139">
        <v>26640</v>
      </c>
      <c r="M169" s="139"/>
      <c r="N169" s="131">
        <f t="shared" si="9"/>
        <v>0</v>
      </c>
      <c r="O169" s="140" t="s">
        <v>25</v>
      </c>
      <c r="P169" s="167" t="s">
        <v>167</v>
      </c>
    </row>
    <row r="170" s="89" customFormat="1" spans="1:16">
      <c r="A170" s="122">
        <v>45901</v>
      </c>
      <c r="B170" s="116" t="s">
        <v>16</v>
      </c>
      <c r="C170" s="165" t="s">
        <v>192</v>
      </c>
      <c r="D170" s="141" t="s">
        <v>193</v>
      </c>
      <c r="E170" s="141" t="s">
        <v>194</v>
      </c>
      <c r="F170" s="151">
        <v>45916</v>
      </c>
      <c r="G170" s="141" t="s">
        <v>195</v>
      </c>
      <c r="H170" s="112" t="s">
        <v>21</v>
      </c>
      <c r="I170" s="139">
        <v>21378.6</v>
      </c>
      <c r="J170" s="139">
        <v>0</v>
      </c>
      <c r="K170" s="139">
        <v>21378.6</v>
      </c>
      <c r="L170" s="139">
        <v>21378.6</v>
      </c>
      <c r="M170" s="139"/>
      <c r="N170" s="131">
        <f t="shared" si="9"/>
        <v>0</v>
      </c>
      <c r="O170" s="140" t="s">
        <v>25</v>
      </c>
      <c r="P170" s="167" t="s">
        <v>167</v>
      </c>
    </row>
    <row r="171" s="89" customFormat="1" spans="1:16">
      <c r="A171" s="122">
        <v>45901</v>
      </c>
      <c r="B171" s="116" t="s">
        <v>16</v>
      </c>
      <c r="C171" s="165" t="s">
        <v>192</v>
      </c>
      <c r="D171" s="141" t="s">
        <v>193</v>
      </c>
      <c r="E171" s="141" t="s">
        <v>194</v>
      </c>
      <c r="F171" s="151">
        <v>45916</v>
      </c>
      <c r="G171" s="141" t="s">
        <v>196</v>
      </c>
      <c r="H171" s="121" t="s">
        <v>30</v>
      </c>
      <c r="I171" s="139">
        <v>3000</v>
      </c>
      <c r="J171" s="139">
        <v>0</v>
      </c>
      <c r="K171" s="139">
        <v>3000</v>
      </c>
      <c r="L171" s="139">
        <v>3000</v>
      </c>
      <c r="M171" s="139"/>
      <c r="N171" s="131">
        <f t="shared" si="9"/>
        <v>0</v>
      </c>
      <c r="O171" s="140" t="s">
        <v>25</v>
      </c>
      <c r="P171" s="167" t="s">
        <v>167</v>
      </c>
    </row>
    <row r="172" s="89" customFormat="1" spans="1:16">
      <c r="A172" s="122">
        <v>45901</v>
      </c>
      <c r="B172" s="116" t="s">
        <v>16</v>
      </c>
      <c r="C172" s="165" t="s">
        <v>192</v>
      </c>
      <c r="D172" s="141" t="s">
        <v>193</v>
      </c>
      <c r="E172" s="141" t="s">
        <v>194</v>
      </c>
      <c r="F172" s="151">
        <v>45916</v>
      </c>
      <c r="G172" s="141" t="s">
        <v>197</v>
      </c>
      <c r="H172" s="141" t="s">
        <v>23</v>
      </c>
      <c r="I172" s="139">
        <v>26640</v>
      </c>
      <c r="J172" s="139">
        <v>0</v>
      </c>
      <c r="K172" s="139">
        <f t="shared" ref="K172:K177" si="11">I172-J172</f>
        <v>26640</v>
      </c>
      <c r="L172" s="139">
        <v>26640</v>
      </c>
      <c r="M172" s="139"/>
      <c r="N172" s="131">
        <f t="shared" si="9"/>
        <v>0</v>
      </c>
      <c r="O172" s="140" t="s">
        <v>25</v>
      </c>
      <c r="P172" s="167"/>
    </row>
    <row r="173" s="89" customFormat="1" spans="1:16">
      <c r="A173" s="122">
        <v>45901</v>
      </c>
      <c r="B173" s="116" t="s">
        <v>16</v>
      </c>
      <c r="C173" s="165" t="s">
        <v>192</v>
      </c>
      <c r="D173" s="141" t="s">
        <v>193</v>
      </c>
      <c r="E173" s="141" t="s">
        <v>194</v>
      </c>
      <c r="F173" s="151">
        <v>45916</v>
      </c>
      <c r="G173" s="141" t="s">
        <v>197</v>
      </c>
      <c r="H173" s="112" t="s">
        <v>21</v>
      </c>
      <c r="I173" s="139">
        <v>21378.6</v>
      </c>
      <c r="J173" s="139">
        <v>0</v>
      </c>
      <c r="K173" s="139">
        <f t="shared" si="11"/>
        <v>21378.6</v>
      </c>
      <c r="L173" s="139">
        <v>21378.6</v>
      </c>
      <c r="M173" s="139"/>
      <c r="N173" s="131">
        <f t="shared" si="9"/>
        <v>0</v>
      </c>
      <c r="O173" s="140" t="s">
        <v>25</v>
      </c>
      <c r="P173" s="167"/>
    </row>
    <row r="174" s="86" customFormat="1" spans="1:16">
      <c r="A174" s="111">
        <v>45839</v>
      </c>
      <c r="B174" s="116" t="s">
        <v>16</v>
      </c>
      <c r="C174" s="113" t="s">
        <v>198</v>
      </c>
      <c r="D174" s="112" t="s">
        <v>199</v>
      </c>
      <c r="E174" s="112" t="s">
        <v>200</v>
      </c>
      <c r="F174" s="151">
        <v>45824</v>
      </c>
      <c r="G174" s="112" t="s">
        <v>46</v>
      </c>
      <c r="H174" s="112" t="s">
        <v>23</v>
      </c>
      <c r="I174" s="130">
        <v>34518</v>
      </c>
      <c r="J174" s="130">
        <v>0</v>
      </c>
      <c r="K174" s="130">
        <v>34518</v>
      </c>
      <c r="L174" s="130">
        <v>34518</v>
      </c>
      <c r="M174" s="130"/>
      <c r="N174" s="131">
        <f t="shared" si="9"/>
        <v>0</v>
      </c>
      <c r="O174" s="132" t="s">
        <v>93</v>
      </c>
      <c r="P174" s="112"/>
    </row>
    <row r="175" s="86" customFormat="1" spans="1:16">
      <c r="A175" s="111">
        <v>45839</v>
      </c>
      <c r="B175" s="116" t="s">
        <v>16</v>
      </c>
      <c r="C175" s="113" t="s">
        <v>198</v>
      </c>
      <c r="D175" s="112" t="s">
        <v>199</v>
      </c>
      <c r="E175" s="112" t="s">
        <v>200</v>
      </c>
      <c r="F175" s="151">
        <v>45824</v>
      </c>
      <c r="G175" s="112" t="s">
        <v>46</v>
      </c>
      <c r="H175" s="112" t="s">
        <v>21</v>
      </c>
      <c r="I175" s="130">
        <v>34518</v>
      </c>
      <c r="J175" s="130">
        <v>0</v>
      </c>
      <c r="K175" s="130">
        <v>34518</v>
      </c>
      <c r="L175" s="130">
        <v>34518</v>
      </c>
      <c r="M175" s="130"/>
      <c r="N175" s="131">
        <f t="shared" si="9"/>
        <v>0</v>
      </c>
      <c r="O175" s="132" t="s">
        <v>93</v>
      </c>
      <c r="P175" s="112"/>
    </row>
    <row r="176" s="89" customFormat="1" spans="1:17">
      <c r="A176" s="122">
        <v>45901</v>
      </c>
      <c r="B176" s="116" t="s">
        <v>16</v>
      </c>
      <c r="C176" s="78" t="s">
        <v>198</v>
      </c>
      <c r="D176" s="116" t="s">
        <v>199</v>
      </c>
      <c r="E176" s="116" t="s">
        <v>200</v>
      </c>
      <c r="F176" s="151">
        <v>45916</v>
      </c>
      <c r="G176" s="116" t="s">
        <v>86</v>
      </c>
      <c r="H176" s="116" t="s">
        <v>23</v>
      </c>
      <c r="I176" s="139">
        <v>34518</v>
      </c>
      <c r="J176" s="139">
        <v>0</v>
      </c>
      <c r="K176" s="139">
        <f t="shared" si="11"/>
        <v>34518</v>
      </c>
      <c r="L176" s="139">
        <v>34518</v>
      </c>
      <c r="M176" s="139"/>
      <c r="N176" s="131">
        <f t="shared" si="9"/>
        <v>0</v>
      </c>
      <c r="O176" s="132" t="s">
        <v>201</v>
      </c>
      <c r="P176" s="141"/>
      <c r="Q176" s="89" t="s">
        <v>51</v>
      </c>
    </row>
    <row r="177" s="89" customFormat="1" spans="1:17">
      <c r="A177" s="122">
        <v>45901</v>
      </c>
      <c r="B177" s="116" t="s">
        <v>16</v>
      </c>
      <c r="C177" s="78" t="s">
        <v>198</v>
      </c>
      <c r="D177" s="116" t="s">
        <v>199</v>
      </c>
      <c r="E177" s="116" t="s">
        <v>200</v>
      </c>
      <c r="F177" s="151">
        <v>45916</v>
      </c>
      <c r="G177" s="116" t="s">
        <v>86</v>
      </c>
      <c r="H177" s="112" t="s">
        <v>21</v>
      </c>
      <c r="I177" s="139">
        <v>34518</v>
      </c>
      <c r="J177" s="139">
        <v>0</v>
      </c>
      <c r="K177" s="139">
        <f t="shared" si="11"/>
        <v>34518</v>
      </c>
      <c r="L177" s="139">
        <v>34518</v>
      </c>
      <c r="M177" s="139"/>
      <c r="N177" s="131">
        <f t="shared" si="9"/>
        <v>0</v>
      </c>
      <c r="O177" s="132" t="s">
        <v>201</v>
      </c>
      <c r="P177" s="141"/>
      <c r="Q177" s="89" t="s">
        <v>51</v>
      </c>
    </row>
    <row r="178" s="86" customFormat="1" spans="1:16">
      <c r="A178" s="111">
        <v>45839</v>
      </c>
      <c r="B178" s="116" t="s">
        <v>16</v>
      </c>
      <c r="C178" s="113" t="s">
        <v>202</v>
      </c>
      <c r="D178" s="112" t="s">
        <v>203</v>
      </c>
      <c r="E178" s="112" t="s">
        <v>204</v>
      </c>
      <c r="F178" s="151">
        <v>45824</v>
      </c>
      <c r="G178" s="112" t="s">
        <v>46</v>
      </c>
      <c r="H178" s="112" t="s">
        <v>23</v>
      </c>
      <c r="I178" s="130">
        <v>11632.5</v>
      </c>
      <c r="J178" s="130">
        <v>0</v>
      </c>
      <c r="K178" s="130">
        <v>11632.5</v>
      </c>
      <c r="L178" s="130">
        <v>11632.5</v>
      </c>
      <c r="M178" s="130"/>
      <c r="N178" s="131">
        <f t="shared" si="9"/>
        <v>0</v>
      </c>
      <c r="O178" s="132" t="s">
        <v>177</v>
      </c>
      <c r="P178" s="112"/>
    </row>
    <row r="179" s="86" customFormat="1" spans="1:16">
      <c r="A179" s="111">
        <v>45839</v>
      </c>
      <c r="B179" s="116" t="s">
        <v>16</v>
      </c>
      <c r="C179" s="113" t="s">
        <v>202</v>
      </c>
      <c r="D179" s="112" t="s">
        <v>203</v>
      </c>
      <c r="E179" s="112" t="s">
        <v>204</v>
      </c>
      <c r="F179" s="151">
        <v>45824</v>
      </c>
      <c r="G179" s="112" t="s">
        <v>46</v>
      </c>
      <c r="H179" s="112" t="s">
        <v>21</v>
      </c>
      <c r="I179" s="130">
        <v>16285.5</v>
      </c>
      <c r="J179" s="130">
        <v>0</v>
      </c>
      <c r="K179" s="130">
        <v>16285.5</v>
      </c>
      <c r="L179" s="130">
        <v>16285.5</v>
      </c>
      <c r="M179" s="130"/>
      <c r="N179" s="131">
        <f t="shared" si="9"/>
        <v>0</v>
      </c>
      <c r="O179" s="132" t="s">
        <v>177</v>
      </c>
      <c r="P179" s="112"/>
    </row>
    <row r="180" s="89" customFormat="1" spans="1:17">
      <c r="A180" s="122">
        <v>45901</v>
      </c>
      <c r="B180" s="116" t="s">
        <v>16</v>
      </c>
      <c r="C180" s="78" t="s">
        <v>202</v>
      </c>
      <c r="D180" s="116" t="s">
        <v>203</v>
      </c>
      <c r="E180" s="116" t="s">
        <v>204</v>
      </c>
      <c r="F180" s="151">
        <v>45916</v>
      </c>
      <c r="G180" s="116" t="s">
        <v>86</v>
      </c>
      <c r="H180" s="116" t="s">
        <v>23</v>
      </c>
      <c r="I180" s="139">
        <v>11632.5</v>
      </c>
      <c r="J180" s="139">
        <v>0</v>
      </c>
      <c r="K180" s="139">
        <f t="shared" ref="K180:K186" si="12">I180-J180</f>
        <v>11632.5</v>
      </c>
      <c r="L180" s="139">
        <v>11632.5</v>
      </c>
      <c r="M180" s="139"/>
      <c r="N180" s="131">
        <f t="shared" si="9"/>
        <v>0</v>
      </c>
      <c r="O180" s="140" t="s">
        <v>205</v>
      </c>
      <c r="P180" s="141"/>
      <c r="Q180" s="89" t="s">
        <v>51</v>
      </c>
    </row>
    <row r="181" s="89" customFormat="1" spans="1:17">
      <c r="A181" s="122">
        <v>45901</v>
      </c>
      <c r="B181" s="116" t="s">
        <v>16</v>
      </c>
      <c r="C181" s="78" t="s">
        <v>202</v>
      </c>
      <c r="D181" s="116" t="s">
        <v>203</v>
      </c>
      <c r="E181" s="116" t="s">
        <v>204</v>
      </c>
      <c r="F181" s="151">
        <v>45916</v>
      </c>
      <c r="G181" s="116" t="s">
        <v>86</v>
      </c>
      <c r="H181" s="112" t="s">
        <v>21</v>
      </c>
      <c r="I181" s="139">
        <v>16285.5</v>
      </c>
      <c r="J181" s="139">
        <v>0</v>
      </c>
      <c r="K181" s="139">
        <f t="shared" si="12"/>
        <v>16285.5</v>
      </c>
      <c r="L181" s="139">
        <v>16285.5</v>
      </c>
      <c r="M181" s="139"/>
      <c r="N181" s="131">
        <f t="shared" si="9"/>
        <v>0</v>
      </c>
      <c r="O181" s="140" t="s">
        <v>205</v>
      </c>
      <c r="P181" s="141"/>
      <c r="Q181" s="89" t="s">
        <v>51</v>
      </c>
    </row>
    <row r="182" s="86" customFormat="1" spans="1:16">
      <c r="A182" s="111">
        <v>45839</v>
      </c>
      <c r="B182" s="116" t="s">
        <v>16</v>
      </c>
      <c r="C182" s="113" t="s">
        <v>206</v>
      </c>
      <c r="D182" s="112" t="s">
        <v>207</v>
      </c>
      <c r="E182" s="112" t="s">
        <v>208</v>
      </c>
      <c r="F182" s="151">
        <v>45824</v>
      </c>
      <c r="G182" s="112" t="s">
        <v>46</v>
      </c>
      <c r="H182" s="112" t="s">
        <v>23</v>
      </c>
      <c r="I182" s="130">
        <v>12870</v>
      </c>
      <c r="J182" s="130">
        <v>0</v>
      </c>
      <c r="K182" s="130">
        <v>12870</v>
      </c>
      <c r="L182" s="130">
        <v>12870</v>
      </c>
      <c r="M182" s="130"/>
      <c r="N182" s="131">
        <f t="shared" si="9"/>
        <v>0</v>
      </c>
      <c r="O182" s="132" t="s">
        <v>209</v>
      </c>
      <c r="P182" s="112"/>
    </row>
    <row r="183" s="86" customFormat="1" spans="1:16">
      <c r="A183" s="111">
        <v>45839</v>
      </c>
      <c r="B183" s="116" t="s">
        <v>16</v>
      </c>
      <c r="C183" s="113" t="s">
        <v>206</v>
      </c>
      <c r="D183" s="112" t="s">
        <v>207</v>
      </c>
      <c r="E183" s="112" t="s">
        <v>208</v>
      </c>
      <c r="F183" s="151">
        <v>45824</v>
      </c>
      <c r="G183" s="112" t="s">
        <v>210</v>
      </c>
      <c r="H183" s="121" t="s">
        <v>30</v>
      </c>
      <c r="I183" s="130">
        <v>3000</v>
      </c>
      <c r="J183" s="130">
        <v>0</v>
      </c>
      <c r="K183" s="130">
        <v>3000</v>
      </c>
      <c r="L183" s="130">
        <v>3000</v>
      </c>
      <c r="M183" s="130"/>
      <c r="N183" s="131">
        <f t="shared" si="9"/>
        <v>0</v>
      </c>
      <c r="O183" s="132" t="s">
        <v>209</v>
      </c>
      <c r="P183" s="112"/>
    </row>
    <row r="184" s="86" customFormat="1" spans="1:16">
      <c r="A184" s="111">
        <v>45839</v>
      </c>
      <c r="B184" s="116" t="s">
        <v>16</v>
      </c>
      <c r="C184" s="113" t="s">
        <v>206</v>
      </c>
      <c r="D184" s="112" t="s">
        <v>207</v>
      </c>
      <c r="E184" s="112" t="s">
        <v>208</v>
      </c>
      <c r="F184" s="151">
        <v>45824</v>
      </c>
      <c r="G184" s="112" t="s">
        <v>46</v>
      </c>
      <c r="H184" s="112" t="s">
        <v>21</v>
      </c>
      <c r="I184" s="130">
        <v>11905.92</v>
      </c>
      <c r="J184" s="130">
        <v>0</v>
      </c>
      <c r="K184" s="130">
        <v>11905.92</v>
      </c>
      <c r="L184" s="130">
        <v>11905.92</v>
      </c>
      <c r="M184" s="130"/>
      <c r="N184" s="131">
        <f t="shared" si="9"/>
        <v>0</v>
      </c>
      <c r="O184" s="132" t="s">
        <v>209</v>
      </c>
      <c r="P184" s="112"/>
    </row>
    <row r="185" s="89" customFormat="1" spans="1:17">
      <c r="A185" s="122">
        <v>45901</v>
      </c>
      <c r="B185" s="116" t="s">
        <v>16</v>
      </c>
      <c r="C185" s="78" t="s">
        <v>206</v>
      </c>
      <c r="D185" s="116" t="s">
        <v>207</v>
      </c>
      <c r="E185" s="116" t="s">
        <v>208</v>
      </c>
      <c r="F185" s="151">
        <v>45916</v>
      </c>
      <c r="G185" s="116" t="s">
        <v>86</v>
      </c>
      <c r="H185" s="116" t="s">
        <v>23</v>
      </c>
      <c r="I185" s="139">
        <v>12870</v>
      </c>
      <c r="J185" s="139">
        <v>0</v>
      </c>
      <c r="K185" s="139">
        <f t="shared" si="12"/>
        <v>12870</v>
      </c>
      <c r="L185" s="139">
        <f>4290+4290+4290</f>
        <v>12870</v>
      </c>
      <c r="M185" s="139"/>
      <c r="N185" s="144">
        <f t="shared" si="9"/>
        <v>0</v>
      </c>
      <c r="O185" s="140" t="s">
        <v>211</v>
      </c>
      <c r="P185" s="141"/>
      <c r="Q185" s="89" t="s">
        <v>51</v>
      </c>
    </row>
    <row r="186" s="89" customFormat="1" spans="1:17">
      <c r="A186" s="122">
        <v>45901</v>
      </c>
      <c r="B186" s="116" t="s">
        <v>16</v>
      </c>
      <c r="C186" s="78" t="s">
        <v>206</v>
      </c>
      <c r="D186" s="116" t="s">
        <v>207</v>
      </c>
      <c r="E186" s="116" t="s">
        <v>208</v>
      </c>
      <c r="F186" s="151">
        <v>45916</v>
      </c>
      <c r="G186" s="116" t="s">
        <v>86</v>
      </c>
      <c r="H186" s="112" t="s">
        <v>21</v>
      </c>
      <c r="I186" s="139">
        <v>11905.92</v>
      </c>
      <c r="J186" s="139">
        <v>0</v>
      </c>
      <c r="K186" s="139">
        <f t="shared" si="12"/>
        <v>11905.92</v>
      </c>
      <c r="L186" s="139">
        <f>3968.64+3968.64+3968.64</f>
        <v>11905.92</v>
      </c>
      <c r="M186" s="139"/>
      <c r="N186" s="144">
        <f t="shared" si="9"/>
        <v>0</v>
      </c>
      <c r="O186" s="140" t="s">
        <v>212</v>
      </c>
      <c r="P186" s="141"/>
      <c r="Q186" s="89" t="s">
        <v>51</v>
      </c>
    </row>
    <row r="187" s="88" customFormat="1" spans="1:16">
      <c r="A187" s="111">
        <v>45839</v>
      </c>
      <c r="B187" s="116" t="s">
        <v>16</v>
      </c>
      <c r="C187" s="119" t="s">
        <v>213</v>
      </c>
      <c r="D187" s="138" t="s">
        <v>214</v>
      </c>
      <c r="E187" s="112" t="s">
        <v>215</v>
      </c>
      <c r="F187" s="151">
        <v>45807</v>
      </c>
      <c r="G187" s="166" t="s">
        <v>216</v>
      </c>
      <c r="H187" s="121" t="s">
        <v>30</v>
      </c>
      <c r="I187" s="131">
        <v>2745.21</v>
      </c>
      <c r="J187" s="131">
        <v>0</v>
      </c>
      <c r="K187" s="131">
        <v>2745.21</v>
      </c>
      <c r="L187" s="131">
        <v>2745.21</v>
      </c>
      <c r="M187" s="131"/>
      <c r="N187" s="131">
        <f t="shared" si="9"/>
        <v>0</v>
      </c>
      <c r="O187" s="169" t="s">
        <v>217</v>
      </c>
      <c r="P187" s="138"/>
    </row>
    <row r="188" s="86" customFormat="1" spans="1:16">
      <c r="A188" s="111">
        <v>45839</v>
      </c>
      <c r="B188" s="116" t="s">
        <v>16</v>
      </c>
      <c r="C188" s="113" t="s">
        <v>213</v>
      </c>
      <c r="D188" s="112" t="s">
        <v>214</v>
      </c>
      <c r="E188" s="112" t="s">
        <v>215</v>
      </c>
      <c r="F188" s="151">
        <v>45824</v>
      </c>
      <c r="G188" s="112" t="s">
        <v>46</v>
      </c>
      <c r="H188" s="112" t="s">
        <v>21</v>
      </c>
      <c r="I188" s="130">
        <v>26643</v>
      </c>
      <c r="J188" s="130">
        <v>0</v>
      </c>
      <c r="K188" s="130">
        <v>26643</v>
      </c>
      <c r="L188" s="130">
        <v>26643</v>
      </c>
      <c r="M188" s="130"/>
      <c r="N188" s="131">
        <f t="shared" si="9"/>
        <v>0</v>
      </c>
      <c r="O188" s="132" t="s">
        <v>217</v>
      </c>
      <c r="P188" s="112"/>
    </row>
    <row r="189" s="86" customFormat="1" spans="1:16">
      <c r="A189" s="111">
        <v>45839</v>
      </c>
      <c r="B189" s="116" t="s">
        <v>16</v>
      </c>
      <c r="C189" s="113" t="s">
        <v>213</v>
      </c>
      <c r="D189" s="112" t="s">
        <v>214</v>
      </c>
      <c r="E189" s="112" t="s">
        <v>215</v>
      </c>
      <c r="F189" s="151">
        <v>45824</v>
      </c>
      <c r="G189" s="112" t="s">
        <v>46</v>
      </c>
      <c r="H189" s="112" t="s">
        <v>23</v>
      </c>
      <c r="I189" s="130">
        <v>26643</v>
      </c>
      <c r="J189" s="130">
        <v>0</v>
      </c>
      <c r="K189" s="130">
        <v>26643</v>
      </c>
      <c r="L189" s="130">
        <v>26643</v>
      </c>
      <c r="M189" s="130"/>
      <c r="N189" s="131">
        <f t="shared" si="9"/>
        <v>0</v>
      </c>
      <c r="O189" s="132" t="s">
        <v>218</v>
      </c>
      <c r="P189" s="112"/>
    </row>
    <row r="190" s="89" customFormat="1" spans="1:17">
      <c r="A190" s="122">
        <v>45901</v>
      </c>
      <c r="B190" s="116" t="s">
        <v>16</v>
      </c>
      <c r="C190" s="78" t="s">
        <v>213</v>
      </c>
      <c r="D190" s="116" t="s">
        <v>214</v>
      </c>
      <c r="E190" s="116" t="s">
        <v>215</v>
      </c>
      <c r="F190" s="151">
        <v>45916</v>
      </c>
      <c r="G190" s="116" t="s">
        <v>86</v>
      </c>
      <c r="H190" s="112" t="s">
        <v>21</v>
      </c>
      <c r="I190" s="139">
        <v>26643</v>
      </c>
      <c r="J190" s="139">
        <v>0</v>
      </c>
      <c r="K190" s="139">
        <f t="shared" ref="K190:K195" si="13">I190-J190</f>
        <v>26643</v>
      </c>
      <c r="L190" s="139">
        <f>16643+10000</f>
        <v>26643</v>
      </c>
      <c r="M190" s="139"/>
      <c r="N190" s="144">
        <f t="shared" si="9"/>
        <v>0</v>
      </c>
      <c r="O190" s="140" t="s">
        <v>219</v>
      </c>
      <c r="P190" s="141"/>
      <c r="Q190" s="89" t="s">
        <v>51</v>
      </c>
    </row>
    <row r="191" s="89" customFormat="1" spans="1:17">
      <c r="A191" s="122">
        <v>45901</v>
      </c>
      <c r="B191" s="116" t="s">
        <v>16</v>
      </c>
      <c r="C191" s="78" t="s">
        <v>213</v>
      </c>
      <c r="D191" s="116" t="s">
        <v>214</v>
      </c>
      <c r="E191" s="116" t="s">
        <v>215</v>
      </c>
      <c r="F191" s="151">
        <v>45916</v>
      </c>
      <c r="G191" s="116" t="s">
        <v>86</v>
      </c>
      <c r="H191" s="116" t="s">
        <v>23</v>
      </c>
      <c r="I191" s="139">
        <v>26643</v>
      </c>
      <c r="J191" s="139">
        <v>0</v>
      </c>
      <c r="K191" s="139">
        <f t="shared" si="13"/>
        <v>26643</v>
      </c>
      <c r="L191" s="139">
        <v>26643</v>
      </c>
      <c r="M191" s="139"/>
      <c r="N191" s="131">
        <f t="shared" si="9"/>
        <v>0</v>
      </c>
      <c r="O191" s="140" t="s">
        <v>220</v>
      </c>
      <c r="P191" s="141"/>
      <c r="Q191" s="89" t="s">
        <v>51</v>
      </c>
    </row>
    <row r="192" s="86" customFormat="1" spans="1:16">
      <c r="A192" s="111">
        <v>45839</v>
      </c>
      <c r="B192" s="116" t="s">
        <v>16</v>
      </c>
      <c r="C192" s="113" t="s">
        <v>221</v>
      </c>
      <c r="D192" s="112" t="s">
        <v>222</v>
      </c>
      <c r="E192" s="112" t="s">
        <v>223</v>
      </c>
      <c r="F192" s="151">
        <v>45824</v>
      </c>
      <c r="G192" s="112" t="s">
        <v>46</v>
      </c>
      <c r="H192" s="112" t="s">
        <v>21</v>
      </c>
      <c r="I192" s="130">
        <v>16848</v>
      </c>
      <c r="J192" s="130">
        <v>0</v>
      </c>
      <c r="K192" s="130">
        <v>16848</v>
      </c>
      <c r="L192" s="130">
        <v>16848</v>
      </c>
      <c r="M192" s="130"/>
      <c r="N192" s="131">
        <f t="shared" si="9"/>
        <v>0</v>
      </c>
      <c r="O192" s="132" t="s">
        <v>177</v>
      </c>
      <c r="P192" s="112"/>
    </row>
    <row r="193" s="86" customFormat="1" spans="1:16">
      <c r="A193" s="111">
        <v>45839</v>
      </c>
      <c r="B193" s="116" t="s">
        <v>16</v>
      </c>
      <c r="C193" s="113" t="s">
        <v>221</v>
      </c>
      <c r="D193" s="112" t="s">
        <v>222</v>
      </c>
      <c r="E193" s="112" t="s">
        <v>223</v>
      </c>
      <c r="F193" s="151">
        <v>45824</v>
      </c>
      <c r="G193" s="112" t="s">
        <v>46</v>
      </c>
      <c r="H193" s="112" t="s">
        <v>23</v>
      </c>
      <c r="I193" s="130">
        <v>7920</v>
      </c>
      <c r="J193" s="130">
        <v>0</v>
      </c>
      <c r="K193" s="130">
        <v>7920</v>
      </c>
      <c r="L193" s="130">
        <v>7920</v>
      </c>
      <c r="M193" s="130"/>
      <c r="N193" s="131">
        <f t="shared" si="9"/>
        <v>0</v>
      </c>
      <c r="O193" s="132" t="s">
        <v>177</v>
      </c>
      <c r="P193" s="112"/>
    </row>
    <row r="194" s="89" customFormat="1" spans="1:17">
      <c r="A194" s="122">
        <v>45901</v>
      </c>
      <c r="B194" s="116" t="s">
        <v>16</v>
      </c>
      <c r="C194" s="78" t="s">
        <v>221</v>
      </c>
      <c r="D194" s="116" t="s">
        <v>222</v>
      </c>
      <c r="E194" s="116" t="s">
        <v>223</v>
      </c>
      <c r="F194" s="151">
        <v>45916</v>
      </c>
      <c r="G194" s="116" t="s">
        <v>224</v>
      </c>
      <c r="H194" s="116" t="s">
        <v>23</v>
      </c>
      <c r="I194" s="139">
        <v>6929.1</v>
      </c>
      <c r="J194" s="139">
        <v>0</v>
      </c>
      <c r="K194" s="139">
        <f t="shared" si="13"/>
        <v>6929.1</v>
      </c>
      <c r="L194" s="139">
        <f>6929+0.1</f>
        <v>6929.1</v>
      </c>
      <c r="M194" s="139"/>
      <c r="N194" s="131">
        <f t="shared" si="9"/>
        <v>0</v>
      </c>
      <c r="O194" s="140" t="s">
        <v>225</v>
      </c>
      <c r="P194" s="141"/>
      <c r="Q194" s="89" t="s">
        <v>51</v>
      </c>
    </row>
    <row r="195" s="89" customFormat="1" spans="1:17">
      <c r="A195" s="122">
        <v>45901</v>
      </c>
      <c r="B195" s="116" t="s">
        <v>16</v>
      </c>
      <c r="C195" s="78" t="s">
        <v>221</v>
      </c>
      <c r="D195" s="116" t="s">
        <v>222</v>
      </c>
      <c r="E195" s="116" t="s">
        <v>223</v>
      </c>
      <c r="F195" s="151">
        <v>45916</v>
      </c>
      <c r="G195" s="116" t="s">
        <v>224</v>
      </c>
      <c r="H195" s="112" t="s">
        <v>21</v>
      </c>
      <c r="I195" s="139">
        <v>14740.08</v>
      </c>
      <c r="J195" s="139">
        <v>0</v>
      </c>
      <c r="K195" s="139">
        <f t="shared" si="13"/>
        <v>14740.08</v>
      </c>
      <c r="L195" s="139">
        <f>14740+0.08</f>
        <v>14740.08</v>
      </c>
      <c r="M195" s="139"/>
      <c r="N195" s="131">
        <f t="shared" ref="N195:N258" si="14">K195-L195</f>
        <v>0</v>
      </c>
      <c r="O195" s="140" t="s">
        <v>225</v>
      </c>
      <c r="P195" s="141"/>
      <c r="Q195" s="89" t="s">
        <v>51</v>
      </c>
    </row>
    <row r="196" s="86" customFormat="1" spans="1:16">
      <c r="A196" s="111">
        <v>45839</v>
      </c>
      <c r="B196" s="116" t="s">
        <v>16</v>
      </c>
      <c r="C196" s="113" t="s">
        <v>226</v>
      </c>
      <c r="D196" s="112" t="s">
        <v>227</v>
      </c>
      <c r="E196" s="114" t="s">
        <v>228</v>
      </c>
      <c r="F196" s="151">
        <v>45829</v>
      </c>
      <c r="G196" s="112" t="s">
        <v>55</v>
      </c>
      <c r="H196" s="112" t="s">
        <v>21</v>
      </c>
      <c r="I196" s="130">
        <v>17395</v>
      </c>
      <c r="J196" s="130">
        <v>0</v>
      </c>
      <c r="K196" s="130">
        <v>17395</v>
      </c>
      <c r="L196" s="130">
        <v>17395</v>
      </c>
      <c r="M196" s="130"/>
      <c r="N196" s="131">
        <f t="shared" si="14"/>
        <v>0</v>
      </c>
      <c r="O196" s="132" t="s">
        <v>189</v>
      </c>
      <c r="P196" s="112"/>
    </row>
    <row r="197" s="86" customFormat="1" spans="1:16">
      <c r="A197" s="111">
        <v>45839</v>
      </c>
      <c r="B197" s="116" t="s">
        <v>16</v>
      </c>
      <c r="C197" s="113" t="s">
        <v>226</v>
      </c>
      <c r="D197" s="112" t="s">
        <v>227</v>
      </c>
      <c r="E197" s="114" t="s">
        <v>228</v>
      </c>
      <c r="F197" s="151">
        <v>45829</v>
      </c>
      <c r="G197" s="112" t="s">
        <v>55</v>
      </c>
      <c r="H197" s="112" t="s">
        <v>23</v>
      </c>
      <c r="I197" s="130">
        <v>3905</v>
      </c>
      <c r="J197" s="130">
        <v>0</v>
      </c>
      <c r="K197" s="130">
        <v>3905</v>
      </c>
      <c r="L197" s="130">
        <v>3905</v>
      </c>
      <c r="M197" s="130"/>
      <c r="N197" s="131">
        <f t="shared" si="14"/>
        <v>0</v>
      </c>
      <c r="O197" s="132" t="s">
        <v>229</v>
      </c>
      <c r="P197" s="112"/>
    </row>
    <row r="198" s="86" customFormat="1" spans="1:16">
      <c r="A198" s="111">
        <v>45839</v>
      </c>
      <c r="B198" s="116" t="s">
        <v>16</v>
      </c>
      <c r="C198" s="113" t="s">
        <v>226</v>
      </c>
      <c r="D198" s="112" t="s">
        <v>227</v>
      </c>
      <c r="E198" s="114" t="s">
        <v>228</v>
      </c>
      <c r="F198" s="151">
        <v>45860</v>
      </c>
      <c r="G198" s="112" t="s">
        <v>56</v>
      </c>
      <c r="H198" s="112" t="s">
        <v>21</v>
      </c>
      <c r="I198" s="130">
        <v>17395</v>
      </c>
      <c r="J198" s="130">
        <v>0</v>
      </c>
      <c r="K198" s="130">
        <f t="shared" ref="K198:K203" si="15">I198-J198</f>
        <v>17395</v>
      </c>
      <c r="L198" s="130">
        <v>17395</v>
      </c>
      <c r="M198" s="130"/>
      <c r="N198" s="131">
        <f t="shared" si="14"/>
        <v>0</v>
      </c>
      <c r="O198" s="132" t="s">
        <v>189</v>
      </c>
      <c r="P198" s="112"/>
    </row>
    <row r="199" s="86" customFormat="1" spans="1:16">
      <c r="A199" s="111">
        <v>45839</v>
      </c>
      <c r="B199" s="116" t="s">
        <v>16</v>
      </c>
      <c r="C199" s="113" t="s">
        <v>226</v>
      </c>
      <c r="D199" s="112" t="s">
        <v>227</v>
      </c>
      <c r="E199" s="114" t="s">
        <v>228</v>
      </c>
      <c r="F199" s="151">
        <v>45860</v>
      </c>
      <c r="G199" s="112" t="s">
        <v>56</v>
      </c>
      <c r="H199" s="112" t="s">
        <v>23</v>
      </c>
      <c r="I199" s="130">
        <v>3905</v>
      </c>
      <c r="J199" s="130">
        <v>0</v>
      </c>
      <c r="K199" s="130">
        <f t="shared" si="15"/>
        <v>3905</v>
      </c>
      <c r="L199" s="130">
        <v>3905</v>
      </c>
      <c r="M199" s="130"/>
      <c r="N199" s="131">
        <f t="shared" si="14"/>
        <v>0</v>
      </c>
      <c r="O199" s="132" t="s">
        <v>229</v>
      </c>
      <c r="P199" s="112"/>
    </row>
    <row r="200" s="87" customFormat="1" spans="1:16">
      <c r="A200" s="111">
        <v>45870</v>
      </c>
      <c r="B200" s="116" t="s">
        <v>16</v>
      </c>
      <c r="C200" s="78" t="s">
        <v>226</v>
      </c>
      <c r="D200" s="116" t="s">
        <v>227</v>
      </c>
      <c r="E200" s="114" t="s">
        <v>228</v>
      </c>
      <c r="F200" s="151">
        <v>45891</v>
      </c>
      <c r="G200" s="116" t="s">
        <v>58</v>
      </c>
      <c r="H200" s="116" t="s">
        <v>23</v>
      </c>
      <c r="I200" s="133">
        <v>3905</v>
      </c>
      <c r="J200" s="133">
        <v>0</v>
      </c>
      <c r="K200" s="133">
        <f t="shared" si="15"/>
        <v>3905</v>
      </c>
      <c r="L200" s="133">
        <v>3905</v>
      </c>
      <c r="M200" s="133"/>
      <c r="N200" s="131">
        <f t="shared" si="14"/>
        <v>0</v>
      </c>
      <c r="O200" s="134" t="s">
        <v>229</v>
      </c>
      <c r="P200" s="135"/>
    </row>
    <row r="201" s="87" customFormat="1" spans="1:16">
      <c r="A201" s="111">
        <v>45870</v>
      </c>
      <c r="B201" s="116" t="s">
        <v>16</v>
      </c>
      <c r="C201" s="78" t="s">
        <v>226</v>
      </c>
      <c r="D201" s="116" t="s">
        <v>227</v>
      </c>
      <c r="E201" s="114" t="s">
        <v>228</v>
      </c>
      <c r="F201" s="151">
        <v>45891</v>
      </c>
      <c r="G201" s="116" t="s">
        <v>58</v>
      </c>
      <c r="H201" s="112" t="s">
        <v>21</v>
      </c>
      <c r="I201" s="133">
        <v>17395</v>
      </c>
      <c r="J201" s="133">
        <v>0</v>
      </c>
      <c r="K201" s="133">
        <f t="shared" si="15"/>
        <v>17395</v>
      </c>
      <c r="L201" s="130">
        <v>17395</v>
      </c>
      <c r="M201" s="130"/>
      <c r="N201" s="131">
        <f t="shared" si="14"/>
        <v>0</v>
      </c>
      <c r="O201" s="132" t="s">
        <v>189</v>
      </c>
      <c r="P201" s="135"/>
    </row>
    <row r="202" s="89" customFormat="1" spans="1:17">
      <c r="A202" s="122">
        <v>45901</v>
      </c>
      <c r="B202" s="116" t="s">
        <v>16</v>
      </c>
      <c r="C202" s="78" t="s">
        <v>226</v>
      </c>
      <c r="D202" s="116" t="s">
        <v>227</v>
      </c>
      <c r="E202" s="114" t="s">
        <v>228</v>
      </c>
      <c r="F202" s="151">
        <v>45921</v>
      </c>
      <c r="G202" s="116" t="s">
        <v>60</v>
      </c>
      <c r="H202" s="112" t="s">
        <v>21</v>
      </c>
      <c r="I202" s="139">
        <v>17395</v>
      </c>
      <c r="J202" s="139">
        <v>0</v>
      </c>
      <c r="K202" s="139">
        <f t="shared" si="15"/>
        <v>17395</v>
      </c>
      <c r="L202" s="139">
        <v>17395</v>
      </c>
      <c r="M202" s="139"/>
      <c r="N202" s="131">
        <f t="shared" si="14"/>
        <v>0</v>
      </c>
      <c r="O202" s="140" t="s">
        <v>229</v>
      </c>
      <c r="P202" s="141"/>
      <c r="Q202" s="89" t="s">
        <v>51</v>
      </c>
    </row>
    <row r="203" s="89" customFormat="1" spans="1:17">
      <c r="A203" s="122">
        <v>45901</v>
      </c>
      <c r="B203" s="116" t="s">
        <v>16</v>
      </c>
      <c r="C203" s="78" t="s">
        <v>226</v>
      </c>
      <c r="D203" s="116" t="s">
        <v>227</v>
      </c>
      <c r="E203" s="114" t="s">
        <v>228</v>
      </c>
      <c r="F203" s="151">
        <v>45921</v>
      </c>
      <c r="G203" s="116" t="s">
        <v>60</v>
      </c>
      <c r="H203" s="116" t="s">
        <v>23</v>
      </c>
      <c r="I203" s="139">
        <v>3905</v>
      </c>
      <c r="J203" s="139">
        <v>0</v>
      </c>
      <c r="K203" s="139">
        <f t="shared" si="15"/>
        <v>3905</v>
      </c>
      <c r="L203" s="139">
        <v>3905</v>
      </c>
      <c r="M203" s="139"/>
      <c r="N203" s="131">
        <f t="shared" si="14"/>
        <v>0</v>
      </c>
      <c r="O203" s="140" t="s">
        <v>229</v>
      </c>
      <c r="P203" s="141"/>
      <c r="Q203" s="89" t="s">
        <v>51</v>
      </c>
    </row>
    <row r="204" s="88" customFormat="1" spans="1:16">
      <c r="A204" s="118">
        <v>45931</v>
      </c>
      <c r="B204" s="116" t="s">
        <v>16</v>
      </c>
      <c r="C204" s="119" t="s">
        <v>226</v>
      </c>
      <c r="D204" s="114" t="s">
        <v>227</v>
      </c>
      <c r="E204" s="114" t="s">
        <v>228</v>
      </c>
      <c r="F204" s="151">
        <v>45946</v>
      </c>
      <c r="G204" s="114" t="s">
        <v>28</v>
      </c>
      <c r="H204" s="114" t="s">
        <v>23</v>
      </c>
      <c r="I204" s="131">
        <v>3905</v>
      </c>
      <c r="J204" s="131"/>
      <c r="K204" s="136">
        <v>3905</v>
      </c>
      <c r="L204" s="136">
        <v>3905</v>
      </c>
      <c r="M204" s="136"/>
      <c r="N204" s="131">
        <f t="shared" si="14"/>
        <v>0</v>
      </c>
      <c r="O204" s="137" t="s">
        <v>161</v>
      </c>
      <c r="P204" s="138"/>
    </row>
    <row r="205" s="88" customFormat="1" spans="1:16">
      <c r="A205" s="118">
        <v>45931</v>
      </c>
      <c r="B205" s="116" t="s">
        <v>16</v>
      </c>
      <c r="C205" s="119" t="s">
        <v>226</v>
      </c>
      <c r="D205" s="114" t="s">
        <v>227</v>
      </c>
      <c r="E205" s="114" t="s">
        <v>228</v>
      </c>
      <c r="F205" s="151">
        <v>45946</v>
      </c>
      <c r="G205" s="114" t="s">
        <v>28</v>
      </c>
      <c r="H205" s="112" t="s">
        <v>21</v>
      </c>
      <c r="I205" s="131">
        <v>17395</v>
      </c>
      <c r="J205" s="131"/>
      <c r="K205" s="136">
        <v>17395</v>
      </c>
      <c r="L205" s="136">
        <v>17395</v>
      </c>
      <c r="M205" s="136"/>
      <c r="N205" s="131">
        <f t="shared" si="14"/>
        <v>0</v>
      </c>
      <c r="O205" s="137" t="s">
        <v>230</v>
      </c>
      <c r="P205" s="138"/>
    </row>
    <row r="206" s="88" customFormat="1" spans="1:16">
      <c r="A206" s="118">
        <v>45962</v>
      </c>
      <c r="B206" s="116" t="s">
        <v>16</v>
      </c>
      <c r="C206" s="119" t="s">
        <v>226</v>
      </c>
      <c r="D206" s="114" t="s">
        <v>227</v>
      </c>
      <c r="E206" s="114" t="s">
        <v>228</v>
      </c>
      <c r="F206" s="151">
        <v>45976</v>
      </c>
      <c r="G206" s="114" t="s">
        <v>26</v>
      </c>
      <c r="H206" s="114" t="s">
        <v>23</v>
      </c>
      <c r="I206" s="131">
        <v>3905</v>
      </c>
      <c r="J206" s="131"/>
      <c r="K206" s="136">
        <v>3905</v>
      </c>
      <c r="L206" s="136">
        <v>3905</v>
      </c>
      <c r="M206" s="136"/>
      <c r="N206" s="131">
        <f t="shared" si="14"/>
        <v>0</v>
      </c>
      <c r="O206" s="137" t="s">
        <v>231</v>
      </c>
      <c r="P206" s="138"/>
    </row>
    <row r="207" s="88" customFormat="1" spans="1:16">
      <c r="A207" s="118">
        <v>45962</v>
      </c>
      <c r="B207" s="116" t="s">
        <v>16</v>
      </c>
      <c r="C207" s="119" t="s">
        <v>226</v>
      </c>
      <c r="D207" s="114" t="s">
        <v>227</v>
      </c>
      <c r="E207" s="114" t="s">
        <v>228</v>
      </c>
      <c r="F207" s="151">
        <v>45976</v>
      </c>
      <c r="G207" s="114" t="s">
        <v>26</v>
      </c>
      <c r="H207" s="112" t="s">
        <v>21</v>
      </c>
      <c r="I207" s="131">
        <v>17395</v>
      </c>
      <c r="J207" s="131"/>
      <c r="K207" s="136">
        <v>17395</v>
      </c>
      <c r="L207" s="136">
        <v>17395</v>
      </c>
      <c r="M207" s="136"/>
      <c r="N207" s="131">
        <f t="shared" si="14"/>
        <v>0</v>
      </c>
      <c r="O207" s="137" t="s">
        <v>231</v>
      </c>
      <c r="P207" s="138"/>
    </row>
    <row r="208" s="86" customFormat="1" spans="1:16">
      <c r="A208" s="111">
        <v>45839</v>
      </c>
      <c r="B208" s="116" t="s">
        <v>16</v>
      </c>
      <c r="C208" s="113" t="s">
        <v>232</v>
      </c>
      <c r="D208" s="112" t="s">
        <v>233</v>
      </c>
      <c r="E208" s="112" t="s">
        <v>234</v>
      </c>
      <c r="F208" s="151">
        <v>45824</v>
      </c>
      <c r="G208" s="112" t="s">
        <v>46</v>
      </c>
      <c r="H208" s="112" t="s">
        <v>21</v>
      </c>
      <c r="I208" s="130">
        <v>48600</v>
      </c>
      <c r="J208" s="130">
        <v>0</v>
      </c>
      <c r="K208" s="130">
        <v>48600</v>
      </c>
      <c r="L208" s="130">
        <v>48600</v>
      </c>
      <c r="M208" s="130"/>
      <c r="N208" s="131">
        <f t="shared" si="14"/>
        <v>0</v>
      </c>
      <c r="O208" s="172" t="s">
        <v>47</v>
      </c>
      <c r="P208" s="112"/>
    </row>
    <row r="209" s="86" customFormat="1" spans="1:16">
      <c r="A209" s="111">
        <v>45839</v>
      </c>
      <c r="B209" s="116" t="s">
        <v>16</v>
      </c>
      <c r="C209" s="113" t="s">
        <v>232</v>
      </c>
      <c r="D209" s="112" t="s">
        <v>233</v>
      </c>
      <c r="E209" s="112" t="s">
        <v>234</v>
      </c>
      <c r="F209" s="151">
        <v>45824</v>
      </c>
      <c r="G209" s="112" t="s">
        <v>46</v>
      </c>
      <c r="H209" s="112" t="s">
        <v>23</v>
      </c>
      <c r="I209" s="130">
        <v>11880</v>
      </c>
      <c r="J209" s="130">
        <v>0</v>
      </c>
      <c r="K209" s="130">
        <v>11880</v>
      </c>
      <c r="L209" s="130">
        <f>6880+5000</f>
        <v>11880</v>
      </c>
      <c r="M209" s="130"/>
      <c r="N209" s="131">
        <f t="shared" si="14"/>
        <v>0</v>
      </c>
      <c r="O209" s="132" t="s">
        <v>235</v>
      </c>
      <c r="P209" s="112"/>
    </row>
    <row r="210" s="89" customFormat="1" spans="1:17">
      <c r="A210" s="122">
        <v>45901</v>
      </c>
      <c r="B210" s="116" t="s">
        <v>16</v>
      </c>
      <c r="C210" s="78" t="s">
        <v>232</v>
      </c>
      <c r="D210" s="116" t="s">
        <v>233</v>
      </c>
      <c r="E210" s="116" t="s">
        <v>234</v>
      </c>
      <c r="F210" s="151">
        <v>45916</v>
      </c>
      <c r="G210" s="116" t="s">
        <v>86</v>
      </c>
      <c r="H210" s="116" t="s">
        <v>23</v>
      </c>
      <c r="I210" s="139">
        <v>11880</v>
      </c>
      <c r="J210" s="139">
        <v>0</v>
      </c>
      <c r="K210" s="139">
        <f t="shared" ref="K210:K213" si="16">I210-J210</f>
        <v>11880</v>
      </c>
      <c r="L210" s="139">
        <v>11880</v>
      </c>
      <c r="M210" s="139"/>
      <c r="N210" s="131">
        <f t="shared" si="14"/>
        <v>0</v>
      </c>
      <c r="O210" s="140" t="s">
        <v>236</v>
      </c>
      <c r="P210" s="141"/>
      <c r="Q210" s="89" t="s">
        <v>51</v>
      </c>
    </row>
    <row r="211" s="89" customFormat="1" spans="1:17">
      <c r="A211" s="122">
        <v>45901</v>
      </c>
      <c r="B211" s="116" t="s">
        <v>16</v>
      </c>
      <c r="C211" s="78" t="s">
        <v>232</v>
      </c>
      <c r="D211" s="116" t="s">
        <v>233</v>
      </c>
      <c r="E211" s="116" t="s">
        <v>234</v>
      </c>
      <c r="F211" s="151">
        <v>45916</v>
      </c>
      <c r="G211" s="116" t="s">
        <v>86</v>
      </c>
      <c r="H211" s="112" t="s">
        <v>21</v>
      </c>
      <c r="I211" s="139">
        <v>48600</v>
      </c>
      <c r="J211" s="139">
        <v>0</v>
      </c>
      <c r="K211" s="139">
        <f t="shared" si="16"/>
        <v>48600</v>
      </c>
      <c r="L211" s="139">
        <v>48600</v>
      </c>
      <c r="M211" s="139"/>
      <c r="N211" s="131">
        <f t="shared" si="14"/>
        <v>0</v>
      </c>
      <c r="O211" s="140" t="s">
        <v>237</v>
      </c>
      <c r="P211" s="141"/>
      <c r="Q211" s="89" t="s">
        <v>51</v>
      </c>
    </row>
    <row r="212" s="86" customFormat="1" spans="1:16">
      <c r="A212" s="111">
        <v>45839</v>
      </c>
      <c r="B212" s="116" t="s">
        <v>16</v>
      </c>
      <c r="C212" s="113" t="s">
        <v>238</v>
      </c>
      <c r="D212" s="112" t="s">
        <v>239</v>
      </c>
      <c r="E212" s="112" t="s">
        <v>240</v>
      </c>
      <c r="F212" s="151">
        <v>45855</v>
      </c>
      <c r="G212" s="112" t="s">
        <v>241</v>
      </c>
      <c r="H212" s="112" t="s">
        <v>21</v>
      </c>
      <c r="I212" s="130">
        <v>52565.4</v>
      </c>
      <c r="J212" s="130">
        <v>0</v>
      </c>
      <c r="K212" s="130">
        <f t="shared" si="16"/>
        <v>52565.4</v>
      </c>
      <c r="L212" s="130">
        <v>52565.4</v>
      </c>
      <c r="M212" s="130"/>
      <c r="N212" s="131">
        <f t="shared" si="14"/>
        <v>0</v>
      </c>
      <c r="O212" s="132" t="s">
        <v>242</v>
      </c>
      <c r="P212" s="112"/>
    </row>
    <row r="213" s="86" customFormat="1" spans="1:16">
      <c r="A213" s="111">
        <v>45839</v>
      </c>
      <c r="B213" s="116" t="s">
        <v>16</v>
      </c>
      <c r="C213" s="113" t="s">
        <v>238</v>
      </c>
      <c r="D213" s="112" t="s">
        <v>239</v>
      </c>
      <c r="E213" s="112" t="s">
        <v>240</v>
      </c>
      <c r="F213" s="151">
        <v>45855</v>
      </c>
      <c r="G213" s="112" t="s">
        <v>241</v>
      </c>
      <c r="H213" s="112" t="s">
        <v>23</v>
      </c>
      <c r="I213" s="130">
        <v>28710</v>
      </c>
      <c r="J213" s="130">
        <v>0</v>
      </c>
      <c r="K213" s="130">
        <f t="shared" si="16"/>
        <v>28710</v>
      </c>
      <c r="L213" s="130">
        <v>28710</v>
      </c>
      <c r="M213" s="130"/>
      <c r="N213" s="131">
        <f t="shared" si="14"/>
        <v>0</v>
      </c>
      <c r="O213" s="132" t="s">
        <v>242</v>
      </c>
      <c r="P213" s="112"/>
    </row>
    <row r="214" s="88" customFormat="1" spans="1:16">
      <c r="A214" s="118">
        <v>45931</v>
      </c>
      <c r="B214" s="116" t="s">
        <v>16</v>
      </c>
      <c r="C214" s="119" t="s">
        <v>238</v>
      </c>
      <c r="D214" s="112" t="s">
        <v>239</v>
      </c>
      <c r="E214" s="114" t="s">
        <v>240</v>
      </c>
      <c r="F214" s="151">
        <v>45946</v>
      </c>
      <c r="G214" s="114" t="s">
        <v>243</v>
      </c>
      <c r="H214" s="114" t="s">
        <v>23</v>
      </c>
      <c r="I214" s="131">
        <v>1887.78</v>
      </c>
      <c r="J214" s="131"/>
      <c r="K214" s="136">
        <v>1887.78</v>
      </c>
      <c r="L214" s="136">
        <v>1887.78</v>
      </c>
      <c r="M214" s="136"/>
      <c r="N214" s="131">
        <f t="shared" si="14"/>
        <v>0</v>
      </c>
      <c r="O214" s="137" t="s">
        <v>244</v>
      </c>
      <c r="P214" s="138"/>
    </row>
    <row r="215" s="88" customFormat="1" spans="1:16">
      <c r="A215" s="118">
        <v>45931</v>
      </c>
      <c r="B215" s="116" t="s">
        <v>16</v>
      </c>
      <c r="C215" s="119" t="s">
        <v>238</v>
      </c>
      <c r="D215" s="112" t="s">
        <v>239</v>
      </c>
      <c r="E215" s="114" t="s">
        <v>240</v>
      </c>
      <c r="F215" s="151">
        <v>45946</v>
      </c>
      <c r="G215" s="114" t="s">
        <v>28</v>
      </c>
      <c r="H215" s="114" t="s">
        <v>23</v>
      </c>
      <c r="I215" s="131">
        <v>9570</v>
      </c>
      <c r="J215" s="131"/>
      <c r="K215" s="136">
        <v>9570</v>
      </c>
      <c r="L215" s="136">
        <v>9570</v>
      </c>
      <c r="M215" s="136"/>
      <c r="N215" s="131">
        <f t="shared" si="14"/>
        <v>0</v>
      </c>
      <c r="O215" s="137" t="s">
        <v>244</v>
      </c>
      <c r="P215" s="138"/>
    </row>
    <row r="216" s="88" customFormat="1" spans="1:16">
      <c r="A216" s="118">
        <v>45931</v>
      </c>
      <c r="B216" s="116" t="s">
        <v>16</v>
      </c>
      <c r="C216" s="119" t="s">
        <v>238</v>
      </c>
      <c r="D216" s="112" t="s">
        <v>239</v>
      </c>
      <c r="E216" s="114" t="s">
        <v>240</v>
      </c>
      <c r="F216" s="151">
        <v>45946</v>
      </c>
      <c r="G216" s="114" t="s">
        <v>243</v>
      </c>
      <c r="H216" s="112" t="s">
        <v>21</v>
      </c>
      <c r="I216" s="131">
        <v>3456.36</v>
      </c>
      <c r="J216" s="131"/>
      <c r="K216" s="136">
        <v>3456.36</v>
      </c>
      <c r="L216" s="136">
        <v>3456.36</v>
      </c>
      <c r="M216" s="136"/>
      <c r="N216" s="131">
        <f t="shared" si="14"/>
        <v>0</v>
      </c>
      <c r="O216" s="137" t="s">
        <v>244</v>
      </c>
      <c r="P216" s="138"/>
    </row>
    <row r="217" s="88" customFormat="1" spans="1:16">
      <c r="A217" s="118">
        <v>45931</v>
      </c>
      <c r="B217" s="116" t="s">
        <v>16</v>
      </c>
      <c r="C217" s="119" t="s">
        <v>238</v>
      </c>
      <c r="D217" s="112" t="s">
        <v>239</v>
      </c>
      <c r="E217" s="114" t="s">
        <v>240</v>
      </c>
      <c r="F217" s="151">
        <v>45946</v>
      </c>
      <c r="G217" s="114" t="s">
        <v>28</v>
      </c>
      <c r="H217" s="112" t="s">
        <v>21</v>
      </c>
      <c r="I217" s="131">
        <v>17521.8</v>
      </c>
      <c r="J217" s="131"/>
      <c r="K217" s="136">
        <v>17521.8</v>
      </c>
      <c r="L217" s="136">
        <v>17521.8</v>
      </c>
      <c r="M217" s="136"/>
      <c r="N217" s="131">
        <f t="shared" si="14"/>
        <v>0</v>
      </c>
      <c r="O217" s="137" t="s">
        <v>244</v>
      </c>
      <c r="P217" s="138"/>
    </row>
    <row r="218" s="91" customFormat="1" spans="1:16">
      <c r="A218" s="122">
        <v>45901</v>
      </c>
      <c r="B218" s="116" t="s">
        <v>16</v>
      </c>
      <c r="C218" s="119" t="s">
        <v>245</v>
      </c>
      <c r="D218" s="138" t="s">
        <v>246</v>
      </c>
      <c r="E218" s="138" t="s">
        <v>247</v>
      </c>
      <c r="F218" s="151">
        <v>45916</v>
      </c>
      <c r="G218" s="138" t="s">
        <v>241</v>
      </c>
      <c r="H218" s="112" t="s">
        <v>21</v>
      </c>
      <c r="I218" s="131">
        <v>23907.84</v>
      </c>
      <c r="J218" s="131">
        <v>0</v>
      </c>
      <c r="K218" s="131">
        <v>23907.84</v>
      </c>
      <c r="L218" s="131">
        <f>130.77+23777.07</f>
        <v>23907.84</v>
      </c>
      <c r="M218" s="131"/>
      <c r="N218" s="131">
        <f t="shared" si="14"/>
        <v>0</v>
      </c>
      <c r="O218" s="169" t="s">
        <v>248</v>
      </c>
      <c r="P218" s="138" t="s">
        <v>249</v>
      </c>
    </row>
    <row r="219" s="91" customFormat="1" spans="1:16">
      <c r="A219" s="122">
        <v>45901</v>
      </c>
      <c r="B219" s="116" t="s">
        <v>16</v>
      </c>
      <c r="C219" s="119" t="s">
        <v>245</v>
      </c>
      <c r="D219" s="138" t="s">
        <v>246</v>
      </c>
      <c r="E219" s="138" t="s">
        <v>247</v>
      </c>
      <c r="F219" s="151">
        <v>45916</v>
      </c>
      <c r="G219" s="138" t="s">
        <v>241</v>
      </c>
      <c r="H219" s="138" t="s">
        <v>23</v>
      </c>
      <c r="I219" s="131">
        <v>10560</v>
      </c>
      <c r="J219" s="131">
        <v>0</v>
      </c>
      <c r="K219" s="131">
        <v>10560</v>
      </c>
      <c r="L219" s="131">
        <v>10560</v>
      </c>
      <c r="M219" s="131"/>
      <c r="N219" s="131">
        <f t="shared" si="14"/>
        <v>0</v>
      </c>
      <c r="O219" s="169" t="s">
        <v>250</v>
      </c>
      <c r="P219" s="138" t="s">
        <v>249</v>
      </c>
    </row>
    <row r="220" s="91" customFormat="1" spans="1:16">
      <c r="A220" s="122">
        <v>45901</v>
      </c>
      <c r="B220" s="116" t="s">
        <v>16</v>
      </c>
      <c r="C220" s="119" t="s">
        <v>245</v>
      </c>
      <c r="D220" s="138" t="s">
        <v>246</v>
      </c>
      <c r="E220" s="138" t="s">
        <v>247</v>
      </c>
      <c r="F220" s="151">
        <v>45916</v>
      </c>
      <c r="G220" s="138" t="s">
        <v>251</v>
      </c>
      <c r="H220" s="121" t="s">
        <v>30</v>
      </c>
      <c r="I220" s="131">
        <v>3000</v>
      </c>
      <c r="J220" s="131">
        <v>0</v>
      </c>
      <c r="K220" s="131">
        <v>3000</v>
      </c>
      <c r="L220" s="131">
        <v>3000</v>
      </c>
      <c r="M220" s="131"/>
      <c r="N220" s="131">
        <f t="shared" si="14"/>
        <v>0</v>
      </c>
      <c r="O220" s="169" t="s">
        <v>252</v>
      </c>
      <c r="P220" s="138" t="s">
        <v>249</v>
      </c>
    </row>
    <row r="221" s="88" customFormat="1" spans="1:16">
      <c r="A221" s="118">
        <v>45931</v>
      </c>
      <c r="B221" s="116" t="s">
        <v>16</v>
      </c>
      <c r="C221" s="119" t="s">
        <v>245</v>
      </c>
      <c r="D221" s="114" t="s">
        <v>246</v>
      </c>
      <c r="E221" s="114" t="s">
        <v>247</v>
      </c>
      <c r="F221" s="151">
        <v>45946</v>
      </c>
      <c r="G221" s="114" t="s">
        <v>98</v>
      </c>
      <c r="H221" s="114" t="s">
        <v>23</v>
      </c>
      <c r="I221" s="131">
        <v>3520</v>
      </c>
      <c r="J221" s="131"/>
      <c r="K221" s="136">
        <v>3520</v>
      </c>
      <c r="L221" s="136">
        <v>3520</v>
      </c>
      <c r="M221" s="136"/>
      <c r="N221" s="131">
        <f t="shared" si="14"/>
        <v>0</v>
      </c>
      <c r="O221" s="137" t="s">
        <v>62</v>
      </c>
      <c r="P221" s="138"/>
    </row>
    <row r="222" s="88" customFormat="1" spans="1:16">
      <c r="A222" s="118">
        <v>45931</v>
      </c>
      <c r="B222" s="116" t="s">
        <v>16</v>
      </c>
      <c r="C222" s="119" t="s">
        <v>245</v>
      </c>
      <c r="D222" s="114" t="s">
        <v>246</v>
      </c>
      <c r="E222" s="114" t="s">
        <v>247</v>
      </c>
      <c r="F222" s="151">
        <v>45946</v>
      </c>
      <c r="G222" s="114" t="s">
        <v>26</v>
      </c>
      <c r="H222" s="114" t="s">
        <v>23</v>
      </c>
      <c r="I222" s="131">
        <v>3520</v>
      </c>
      <c r="J222" s="131"/>
      <c r="K222" s="136">
        <v>3520</v>
      </c>
      <c r="L222" s="136">
        <v>3520</v>
      </c>
      <c r="M222" s="136"/>
      <c r="N222" s="131">
        <f t="shared" si="14"/>
        <v>0</v>
      </c>
      <c r="O222" s="137" t="s">
        <v>62</v>
      </c>
      <c r="P222" s="138"/>
    </row>
    <row r="223" s="88" customFormat="1" spans="1:16">
      <c r="A223" s="118">
        <v>45931</v>
      </c>
      <c r="B223" s="116" t="s">
        <v>16</v>
      </c>
      <c r="C223" s="119" t="s">
        <v>245</v>
      </c>
      <c r="D223" s="114" t="s">
        <v>246</v>
      </c>
      <c r="E223" s="114" t="s">
        <v>247</v>
      </c>
      <c r="F223" s="151">
        <v>45946</v>
      </c>
      <c r="G223" s="114" t="s">
        <v>28</v>
      </c>
      <c r="H223" s="114" t="s">
        <v>23</v>
      </c>
      <c r="I223" s="131">
        <v>3520</v>
      </c>
      <c r="J223" s="131"/>
      <c r="K223" s="136">
        <v>3520</v>
      </c>
      <c r="L223" s="136">
        <v>3520</v>
      </c>
      <c r="M223" s="136"/>
      <c r="N223" s="131">
        <f t="shared" si="14"/>
        <v>0</v>
      </c>
      <c r="O223" s="137" t="s">
        <v>62</v>
      </c>
      <c r="P223" s="138"/>
    </row>
    <row r="224" s="88" customFormat="1" spans="1:16">
      <c r="A224" s="118">
        <v>45931</v>
      </c>
      <c r="B224" s="116" t="s">
        <v>16</v>
      </c>
      <c r="C224" s="119" t="s">
        <v>245</v>
      </c>
      <c r="D224" s="114" t="s">
        <v>246</v>
      </c>
      <c r="E224" s="114" t="s">
        <v>247</v>
      </c>
      <c r="F224" s="151">
        <v>45946</v>
      </c>
      <c r="G224" s="114" t="s">
        <v>98</v>
      </c>
      <c r="H224" s="112" t="s">
        <v>21</v>
      </c>
      <c r="I224" s="131">
        <v>7969.28</v>
      </c>
      <c r="J224" s="131"/>
      <c r="K224" s="136">
        <v>7969.28</v>
      </c>
      <c r="L224" s="136">
        <v>7969.28</v>
      </c>
      <c r="M224" s="136"/>
      <c r="N224" s="131">
        <f t="shared" si="14"/>
        <v>0</v>
      </c>
      <c r="O224" s="137" t="s">
        <v>62</v>
      </c>
      <c r="P224" s="138"/>
    </row>
    <row r="225" s="88" customFormat="1" spans="1:16">
      <c r="A225" s="118">
        <v>45931</v>
      </c>
      <c r="B225" s="116" t="s">
        <v>16</v>
      </c>
      <c r="C225" s="119" t="s">
        <v>245</v>
      </c>
      <c r="D225" s="114" t="s">
        <v>246</v>
      </c>
      <c r="E225" s="114" t="s">
        <v>247</v>
      </c>
      <c r="F225" s="151">
        <v>45946</v>
      </c>
      <c r="G225" s="114" t="s">
        <v>26</v>
      </c>
      <c r="H225" s="112" t="s">
        <v>21</v>
      </c>
      <c r="I225" s="131">
        <v>7969.28</v>
      </c>
      <c r="J225" s="131"/>
      <c r="K225" s="136">
        <v>7969.28</v>
      </c>
      <c r="L225" s="136">
        <v>7969.28</v>
      </c>
      <c r="M225" s="136"/>
      <c r="N225" s="131">
        <f t="shared" si="14"/>
        <v>0</v>
      </c>
      <c r="O225" s="137" t="s">
        <v>62</v>
      </c>
      <c r="P225" s="138"/>
    </row>
    <row r="226" s="88" customFormat="1" spans="1:16">
      <c r="A226" s="118">
        <v>45931</v>
      </c>
      <c r="B226" s="116" t="s">
        <v>16</v>
      </c>
      <c r="C226" s="119" t="s">
        <v>245</v>
      </c>
      <c r="D226" s="114" t="s">
        <v>246</v>
      </c>
      <c r="E226" s="114" t="s">
        <v>247</v>
      </c>
      <c r="F226" s="151">
        <v>45946</v>
      </c>
      <c r="G226" s="114" t="s">
        <v>28</v>
      </c>
      <c r="H226" s="112" t="s">
        <v>21</v>
      </c>
      <c r="I226" s="131">
        <v>7969.28</v>
      </c>
      <c r="J226" s="131"/>
      <c r="K226" s="136">
        <v>7969.28</v>
      </c>
      <c r="L226" s="136">
        <v>7969.28</v>
      </c>
      <c r="M226" s="136"/>
      <c r="N226" s="131">
        <f t="shared" si="14"/>
        <v>0</v>
      </c>
      <c r="O226" s="114" t="s">
        <v>62</v>
      </c>
      <c r="P226" s="138"/>
    </row>
    <row r="227" s="86" customFormat="1" spans="1:16">
      <c r="A227" s="111">
        <v>45839</v>
      </c>
      <c r="B227" s="116" t="s">
        <v>16</v>
      </c>
      <c r="C227" s="113" t="s">
        <v>253</v>
      </c>
      <c r="D227" s="112" t="s">
        <v>254</v>
      </c>
      <c r="E227" s="112" t="s">
        <v>255</v>
      </c>
      <c r="F227" s="151">
        <v>45824</v>
      </c>
      <c r="G227" s="112" t="s">
        <v>55</v>
      </c>
      <c r="H227" s="112" t="s">
        <v>21</v>
      </c>
      <c r="I227" s="130">
        <v>5960</v>
      </c>
      <c r="J227" s="130">
        <v>0</v>
      </c>
      <c r="K227" s="130">
        <v>5960</v>
      </c>
      <c r="L227" s="130">
        <v>5960</v>
      </c>
      <c r="M227" s="130"/>
      <c r="N227" s="131">
        <f t="shared" si="14"/>
        <v>0</v>
      </c>
      <c r="O227" s="112" t="s">
        <v>256</v>
      </c>
      <c r="P227" s="112"/>
    </row>
    <row r="228" s="86" customFormat="1" spans="1:16">
      <c r="A228" s="111">
        <v>45839</v>
      </c>
      <c r="B228" s="116" t="s">
        <v>16</v>
      </c>
      <c r="C228" s="113" t="s">
        <v>253</v>
      </c>
      <c r="D228" s="112" t="s">
        <v>254</v>
      </c>
      <c r="E228" s="112" t="s">
        <v>255</v>
      </c>
      <c r="F228" s="151">
        <v>45824</v>
      </c>
      <c r="G228" s="112" t="s">
        <v>55</v>
      </c>
      <c r="H228" s="112" t="s">
        <v>23</v>
      </c>
      <c r="I228" s="130">
        <v>8195</v>
      </c>
      <c r="J228" s="130">
        <v>0</v>
      </c>
      <c r="K228" s="130">
        <v>8195</v>
      </c>
      <c r="L228" s="130">
        <v>8195</v>
      </c>
      <c r="M228" s="130"/>
      <c r="N228" s="131">
        <f t="shared" si="14"/>
        <v>0</v>
      </c>
      <c r="O228" s="132" t="s">
        <v>257</v>
      </c>
      <c r="P228" s="112"/>
    </row>
    <row r="229" s="89" customFormat="1" spans="1:16">
      <c r="A229" s="122">
        <v>45901</v>
      </c>
      <c r="B229" s="116" t="s">
        <v>16</v>
      </c>
      <c r="C229" s="165" t="s">
        <v>253</v>
      </c>
      <c r="D229" s="141" t="s">
        <v>258</v>
      </c>
      <c r="E229" s="141" t="s">
        <v>259</v>
      </c>
      <c r="F229" s="151">
        <v>45916</v>
      </c>
      <c r="G229" s="141" t="s">
        <v>260</v>
      </c>
      <c r="H229" s="141" t="s">
        <v>23</v>
      </c>
      <c r="I229" s="139">
        <v>16390</v>
      </c>
      <c r="J229" s="139">
        <v>0</v>
      </c>
      <c r="K229" s="139">
        <v>16390</v>
      </c>
      <c r="L229" s="139">
        <v>16390</v>
      </c>
      <c r="M229" s="139"/>
      <c r="N229" s="131">
        <f t="shared" si="14"/>
        <v>0</v>
      </c>
      <c r="O229" s="140" t="s">
        <v>145</v>
      </c>
      <c r="P229" s="167" t="s">
        <v>167</v>
      </c>
    </row>
    <row r="230" s="89" customFormat="1" spans="1:16">
      <c r="A230" s="122">
        <v>45901</v>
      </c>
      <c r="B230" s="116" t="s">
        <v>16</v>
      </c>
      <c r="C230" s="165" t="s">
        <v>253</v>
      </c>
      <c r="D230" s="141" t="s">
        <v>258</v>
      </c>
      <c r="E230" s="141" t="s">
        <v>259</v>
      </c>
      <c r="F230" s="151">
        <v>45916</v>
      </c>
      <c r="G230" s="141" t="s">
        <v>261</v>
      </c>
      <c r="H230" s="121" t="s">
        <v>30</v>
      </c>
      <c r="I230" s="139">
        <v>3000</v>
      </c>
      <c r="J230" s="139">
        <v>0</v>
      </c>
      <c r="K230" s="139">
        <v>3000</v>
      </c>
      <c r="L230" s="139">
        <v>3000</v>
      </c>
      <c r="M230" s="139"/>
      <c r="N230" s="131">
        <f t="shared" si="14"/>
        <v>0</v>
      </c>
      <c r="O230" s="140" t="s">
        <v>145</v>
      </c>
      <c r="P230" s="167" t="s">
        <v>167</v>
      </c>
    </row>
    <row r="231" s="89" customFormat="1" spans="1:16">
      <c r="A231" s="122">
        <v>45901</v>
      </c>
      <c r="B231" s="116" t="s">
        <v>16</v>
      </c>
      <c r="C231" s="165" t="s">
        <v>253</v>
      </c>
      <c r="D231" s="141" t="s">
        <v>258</v>
      </c>
      <c r="E231" s="141" t="s">
        <v>259</v>
      </c>
      <c r="F231" s="151">
        <v>45916</v>
      </c>
      <c r="G231" s="141" t="s">
        <v>260</v>
      </c>
      <c r="H231" s="112" t="s">
        <v>21</v>
      </c>
      <c r="I231" s="139">
        <v>11920</v>
      </c>
      <c r="J231" s="139">
        <v>0</v>
      </c>
      <c r="K231" s="139">
        <f>5960*2</f>
        <v>11920</v>
      </c>
      <c r="L231" s="139">
        <v>11920</v>
      </c>
      <c r="M231" s="139"/>
      <c r="N231" s="131">
        <f t="shared" si="14"/>
        <v>0</v>
      </c>
      <c r="O231" s="140" t="s">
        <v>145</v>
      </c>
      <c r="P231" s="167" t="s">
        <v>167</v>
      </c>
    </row>
    <row r="232" s="89" customFormat="1" spans="1:16">
      <c r="A232" s="122">
        <v>45901</v>
      </c>
      <c r="B232" s="116" t="s">
        <v>16</v>
      </c>
      <c r="C232" s="165" t="s">
        <v>253</v>
      </c>
      <c r="D232" s="141" t="s">
        <v>258</v>
      </c>
      <c r="E232" s="141" t="s">
        <v>259</v>
      </c>
      <c r="F232" s="151">
        <v>45916</v>
      </c>
      <c r="G232" s="141" t="s">
        <v>60</v>
      </c>
      <c r="H232" s="141" t="s">
        <v>23</v>
      </c>
      <c r="I232" s="139">
        <v>8195</v>
      </c>
      <c r="J232" s="139">
        <v>0</v>
      </c>
      <c r="K232" s="139">
        <f>I232-J232</f>
        <v>8195</v>
      </c>
      <c r="L232" s="136">
        <v>8195</v>
      </c>
      <c r="M232" s="139"/>
      <c r="N232" s="131">
        <f t="shared" si="14"/>
        <v>0</v>
      </c>
      <c r="O232" s="140" t="s">
        <v>262</v>
      </c>
      <c r="P232" s="167" t="s">
        <v>167</v>
      </c>
    </row>
    <row r="233" s="89" customFormat="1" spans="1:16">
      <c r="A233" s="122">
        <v>45901</v>
      </c>
      <c r="B233" s="116" t="s">
        <v>16</v>
      </c>
      <c r="C233" s="165" t="s">
        <v>253</v>
      </c>
      <c r="D233" s="141" t="s">
        <v>258</v>
      </c>
      <c r="E233" s="141" t="s">
        <v>259</v>
      </c>
      <c r="F233" s="151">
        <v>45916</v>
      </c>
      <c r="G233" s="141" t="s">
        <v>60</v>
      </c>
      <c r="H233" s="112" t="s">
        <v>21</v>
      </c>
      <c r="I233" s="139">
        <v>5960</v>
      </c>
      <c r="J233" s="139">
        <v>0</v>
      </c>
      <c r="K233" s="139">
        <f>I233-J233</f>
        <v>5960</v>
      </c>
      <c r="L233" s="136">
        <v>5960</v>
      </c>
      <c r="M233" s="139"/>
      <c r="N233" s="131">
        <f t="shared" si="14"/>
        <v>0</v>
      </c>
      <c r="O233" s="140" t="s">
        <v>262</v>
      </c>
      <c r="P233" s="167" t="s">
        <v>167</v>
      </c>
    </row>
    <row r="234" s="88" customFormat="1" spans="1:16">
      <c r="A234" s="118">
        <v>45931</v>
      </c>
      <c r="B234" s="116" t="s">
        <v>16</v>
      </c>
      <c r="C234" s="119" t="s">
        <v>253</v>
      </c>
      <c r="D234" s="114" t="s">
        <v>258</v>
      </c>
      <c r="E234" s="114" t="s">
        <v>259</v>
      </c>
      <c r="F234" s="151">
        <v>45946</v>
      </c>
      <c r="G234" s="114" t="s">
        <v>28</v>
      </c>
      <c r="H234" s="114" t="s">
        <v>23</v>
      </c>
      <c r="I234" s="131">
        <v>8195</v>
      </c>
      <c r="J234" s="131"/>
      <c r="K234" s="136">
        <v>8195</v>
      </c>
      <c r="L234" s="136">
        <v>8195</v>
      </c>
      <c r="M234" s="136"/>
      <c r="N234" s="131">
        <f t="shared" si="14"/>
        <v>0</v>
      </c>
      <c r="O234" s="140" t="s">
        <v>262</v>
      </c>
      <c r="P234" s="138"/>
    </row>
    <row r="235" s="88" customFormat="1" spans="1:16">
      <c r="A235" s="118">
        <v>45931</v>
      </c>
      <c r="B235" s="116" t="s">
        <v>16</v>
      </c>
      <c r="C235" s="119" t="s">
        <v>253</v>
      </c>
      <c r="D235" s="114" t="s">
        <v>258</v>
      </c>
      <c r="E235" s="114" t="s">
        <v>259</v>
      </c>
      <c r="F235" s="151">
        <v>45946</v>
      </c>
      <c r="G235" s="114" t="s">
        <v>28</v>
      </c>
      <c r="H235" s="112" t="s">
        <v>21</v>
      </c>
      <c r="I235" s="131">
        <v>5960</v>
      </c>
      <c r="J235" s="131"/>
      <c r="K235" s="136">
        <v>5960</v>
      </c>
      <c r="L235" s="136">
        <v>5960</v>
      </c>
      <c r="M235" s="136"/>
      <c r="N235" s="131">
        <f t="shared" si="14"/>
        <v>0</v>
      </c>
      <c r="O235" s="140" t="s">
        <v>262</v>
      </c>
      <c r="P235" s="138"/>
    </row>
    <row r="236" s="88" customFormat="1" spans="1:16">
      <c r="A236" s="118">
        <v>45962</v>
      </c>
      <c r="B236" s="116" t="s">
        <v>16</v>
      </c>
      <c r="C236" s="119" t="s">
        <v>253</v>
      </c>
      <c r="D236" s="114" t="s">
        <v>258</v>
      </c>
      <c r="E236" s="114" t="s">
        <v>259</v>
      </c>
      <c r="F236" s="151">
        <v>45976</v>
      </c>
      <c r="G236" s="114" t="s">
        <v>26</v>
      </c>
      <c r="H236" s="114" t="s">
        <v>23</v>
      </c>
      <c r="I236" s="131">
        <v>8195</v>
      </c>
      <c r="J236" s="131"/>
      <c r="K236" s="136">
        <v>8195</v>
      </c>
      <c r="L236" s="136">
        <v>8195</v>
      </c>
      <c r="M236" s="136"/>
      <c r="N236" s="131">
        <f t="shared" si="14"/>
        <v>0</v>
      </c>
      <c r="O236" s="140" t="s">
        <v>263</v>
      </c>
      <c r="P236" s="138"/>
    </row>
    <row r="237" s="88" customFormat="1" spans="1:16">
      <c r="A237" s="118">
        <v>45962</v>
      </c>
      <c r="B237" s="116" t="s">
        <v>16</v>
      </c>
      <c r="C237" s="119" t="s">
        <v>253</v>
      </c>
      <c r="D237" s="114" t="s">
        <v>258</v>
      </c>
      <c r="E237" s="114" t="s">
        <v>259</v>
      </c>
      <c r="F237" s="151">
        <v>45976</v>
      </c>
      <c r="G237" s="114" t="s">
        <v>26</v>
      </c>
      <c r="H237" s="112" t="s">
        <v>21</v>
      </c>
      <c r="I237" s="131">
        <v>5960</v>
      </c>
      <c r="J237" s="131"/>
      <c r="K237" s="136">
        <v>5960</v>
      </c>
      <c r="L237" s="136">
        <v>5960</v>
      </c>
      <c r="M237" s="136"/>
      <c r="N237" s="131">
        <f t="shared" si="14"/>
        <v>0</v>
      </c>
      <c r="O237" s="140" t="s">
        <v>263</v>
      </c>
      <c r="P237" s="138"/>
    </row>
    <row r="238" s="86" customFormat="1" spans="1:16">
      <c r="A238" s="111">
        <v>45839</v>
      </c>
      <c r="B238" s="116" t="s">
        <v>16</v>
      </c>
      <c r="C238" s="113" t="s">
        <v>264</v>
      </c>
      <c r="D238" s="112" t="s">
        <v>265</v>
      </c>
      <c r="E238" s="112" t="s">
        <v>266</v>
      </c>
      <c r="F238" s="151">
        <v>45824</v>
      </c>
      <c r="G238" s="112" t="s">
        <v>46</v>
      </c>
      <c r="H238" s="112" t="s">
        <v>23</v>
      </c>
      <c r="I238" s="130">
        <v>21615</v>
      </c>
      <c r="J238" s="130">
        <v>0</v>
      </c>
      <c r="K238" s="130">
        <v>21615</v>
      </c>
      <c r="L238" s="130">
        <v>21615</v>
      </c>
      <c r="M238" s="130"/>
      <c r="N238" s="131">
        <f t="shared" si="14"/>
        <v>0</v>
      </c>
      <c r="O238" s="132" t="s">
        <v>116</v>
      </c>
      <c r="P238" s="112"/>
    </row>
    <row r="239" s="86" customFormat="1" spans="1:16">
      <c r="A239" s="111">
        <v>45839</v>
      </c>
      <c r="B239" s="116" t="s">
        <v>16</v>
      </c>
      <c r="C239" s="113" t="s">
        <v>264</v>
      </c>
      <c r="D239" s="112" t="s">
        <v>265</v>
      </c>
      <c r="E239" s="112" t="s">
        <v>266</v>
      </c>
      <c r="F239" s="151">
        <v>45824</v>
      </c>
      <c r="G239" s="112" t="s">
        <v>46</v>
      </c>
      <c r="H239" s="112" t="s">
        <v>21</v>
      </c>
      <c r="I239" s="130">
        <v>49125</v>
      </c>
      <c r="J239" s="130">
        <v>0</v>
      </c>
      <c r="K239" s="130">
        <v>49125</v>
      </c>
      <c r="L239" s="130">
        <v>49125</v>
      </c>
      <c r="M239" s="130"/>
      <c r="N239" s="131">
        <f t="shared" si="14"/>
        <v>0</v>
      </c>
      <c r="O239" s="132" t="s">
        <v>116</v>
      </c>
      <c r="P239" s="112"/>
    </row>
    <row r="240" s="89" customFormat="1" spans="1:17">
      <c r="A240" s="122">
        <v>45901</v>
      </c>
      <c r="B240" s="116" t="s">
        <v>16</v>
      </c>
      <c r="C240" s="78" t="s">
        <v>264</v>
      </c>
      <c r="D240" s="116" t="s">
        <v>265</v>
      </c>
      <c r="E240" s="116" t="s">
        <v>266</v>
      </c>
      <c r="F240" s="151">
        <v>45916</v>
      </c>
      <c r="G240" s="116" t="s">
        <v>122</v>
      </c>
      <c r="H240" s="116" t="s">
        <v>23</v>
      </c>
      <c r="I240" s="139">
        <v>11942.53</v>
      </c>
      <c r="J240" s="139">
        <v>0</v>
      </c>
      <c r="K240" s="139">
        <f>I240-J240</f>
        <v>11942.53</v>
      </c>
      <c r="L240" s="139">
        <v>11942.53</v>
      </c>
      <c r="M240" s="139"/>
      <c r="N240" s="131">
        <f t="shared" si="14"/>
        <v>0</v>
      </c>
      <c r="O240" s="140" t="s">
        <v>267</v>
      </c>
      <c r="P240" s="141"/>
      <c r="Q240" s="89" t="s">
        <v>51</v>
      </c>
    </row>
    <row r="241" s="89" customFormat="1" spans="1:17">
      <c r="A241" s="122">
        <v>45901</v>
      </c>
      <c r="B241" s="116" t="s">
        <v>16</v>
      </c>
      <c r="C241" s="78" t="s">
        <v>264</v>
      </c>
      <c r="D241" s="116" t="s">
        <v>265</v>
      </c>
      <c r="E241" s="116" t="s">
        <v>266</v>
      </c>
      <c r="F241" s="151">
        <v>45916</v>
      </c>
      <c r="G241" s="170" t="s">
        <v>122</v>
      </c>
      <c r="H241" s="112" t="s">
        <v>21</v>
      </c>
      <c r="I241" s="139">
        <v>27142.12</v>
      </c>
      <c r="J241" s="139">
        <v>0</v>
      </c>
      <c r="K241" s="139">
        <f>I241-J241</f>
        <v>27142.12</v>
      </c>
      <c r="L241" s="139">
        <v>27142.12</v>
      </c>
      <c r="M241" s="139"/>
      <c r="N241" s="131">
        <f t="shared" si="14"/>
        <v>0</v>
      </c>
      <c r="O241" s="140" t="s">
        <v>267</v>
      </c>
      <c r="P241" s="141"/>
      <c r="Q241" s="89" t="s">
        <v>51</v>
      </c>
    </row>
    <row r="242" s="86" customFormat="1" spans="1:16">
      <c r="A242" s="111">
        <v>45839</v>
      </c>
      <c r="B242" s="116" t="s">
        <v>16</v>
      </c>
      <c r="C242" s="113" t="s">
        <v>268</v>
      </c>
      <c r="D242" s="171" t="s">
        <v>269</v>
      </c>
      <c r="E242" s="171" t="s">
        <v>270</v>
      </c>
      <c r="F242" s="151">
        <v>45824</v>
      </c>
      <c r="G242" s="171" t="s">
        <v>46</v>
      </c>
      <c r="H242" s="171" t="s">
        <v>23</v>
      </c>
      <c r="I242" s="130">
        <v>11550</v>
      </c>
      <c r="J242" s="130">
        <v>0</v>
      </c>
      <c r="K242" s="130">
        <v>11550</v>
      </c>
      <c r="L242" s="173">
        <v>11550</v>
      </c>
      <c r="M242" s="173"/>
      <c r="N242" s="131">
        <f t="shared" si="14"/>
        <v>0</v>
      </c>
      <c r="O242" s="132" t="s">
        <v>271</v>
      </c>
      <c r="P242" s="112"/>
    </row>
    <row r="243" s="86" customFormat="1" spans="1:16">
      <c r="A243" s="111">
        <v>45839</v>
      </c>
      <c r="B243" s="116" t="s">
        <v>16</v>
      </c>
      <c r="C243" s="113" t="s">
        <v>268</v>
      </c>
      <c r="D243" s="171" t="s">
        <v>269</v>
      </c>
      <c r="E243" s="171" t="s">
        <v>270</v>
      </c>
      <c r="F243" s="151">
        <v>45824</v>
      </c>
      <c r="G243" s="171" t="s">
        <v>46</v>
      </c>
      <c r="H243" s="112" t="s">
        <v>21</v>
      </c>
      <c r="I243" s="130">
        <v>10395</v>
      </c>
      <c r="J243" s="130">
        <v>0</v>
      </c>
      <c r="K243" s="130">
        <v>10395</v>
      </c>
      <c r="L243" s="173">
        <v>10395</v>
      </c>
      <c r="M243" s="173"/>
      <c r="N243" s="131">
        <f t="shared" si="14"/>
        <v>0</v>
      </c>
      <c r="O243" s="132" t="s">
        <v>271</v>
      </c>
      <c r="P243" s="112"/>
    </row>
    <row r="244" s="89" customFormat="1" spans="1:17">
      <c r="A244" s="122">
        <v>45901</v>
      </c>
      <c r="B244" s="116" t="s">
        <v>16</v>
      </c>
      <c r="C244" s="78" t="s">
        <v>268</v>
      </c>
      <c r="D244" s="170" t="s">
        <v>269</v>
      </c>
      <c r="E244" s="170" t="s">
        <v>270</v>
      </c>
      <c r="F244" s="151">
        <v>45916</v>
      </c>
      <c r="G244" s="116" t="s">
        <v>86</v>
      </c>
      <c r="H244" s="116" t="s">
        <v>23</v>
      </c>
      <c r="I244" s="139">
        <v>11550</v>
      </c>
      <c r="J244" s="139">
        <v>0</v>
      </c>
      <c r="K244" s="139">
        <v>11550</v>
      </c>
      <c r="L244" s="174">
        <v>11550</v>
      </c>
      <c r="M244" s="174"/>
      <c r="N244" s="131">
        <f t="shared" si="14"/>
        <v>0</v>
      </c>
      <c r="O244" s="140" t="s">
        <v>272</v>
      </c>
      <c r="P244" s="141"/>
      <c r="Q244" s="89" t="s">
        <v>51</v>
      </c>
    </row>
    <row r="245" s="89" customFormat="1" spans="1:17">
      <c r="A245" s="122">
        <v>45901</v>
      </c>
      <c r="B245" s="116" t="s">
        <v>16</v>
      </c>
      <c r="C245" s="78" t="s">
        <v>268</v>
      </c>
      <c r="D245" s="116" t="s">
        <v>269</v>
      </c>
      <c r="E245" s="116" t="s">
        <v>270</v>
      </c>
      <c r="F245" s="151">
        <v>45916</v>
      </c>
      <c r="G245" s="116" t="s">
        <v>86</v>
      </c>
      <c r="H245" s="112" t="s">
        <v>21</v>
      </c>
      <c r="I245" s="139">
        <v>10395</v>
      </c>
      <c r="J245" s="139">
        <v>0</v>
      </c>
      <c r="K245" s="139">
        <v>10395</v>
      </c>
      <c r="L245" s="139">
        <v>10395</v>
      </c>
      <c r="M245" s="139"/>
      <c r="N245" s="131">
        <f t="shared" si="14"/>
        <v>0</v>
      </c>
      <c r="O245" s="140" t="s">
        <v>272</v>
      </c>
      <c r="P245" s="141"/>
      <c r="Q245" s="89" t="s">
        <v>51</v>
      </c>
    </row>
    <row r="246" s="86" customFormat="1" spans="1:16">
      <c r="A246" s="111">
        <v>45839</v>
      </c>
      <c r="B246" s="116" t="s">
        <v>16</v>
      </c>
      <c r="C246" s="113" t="s">
        <v>273</v>
      </c>
      <c r="D246" s="112" t="s">
        <v>274</v>
      </c>
      <c r="E246" s="112" t="s">
        <v>275</v>
      </c>
      <c r="F246" s="151">
        <v>45824</v>
      </c>
      <c r="G246" s="112" t="s">
        <v>46</v>
      </c>
      <c r="H246" s="112" t="s">
        <v>23</v>
      </c>
      <c r="I246" s="130">
        <v>5076</v>
      </c>
      <c r="J246" s="130">
        <v>0</v>
      </c>
      <c r="K246" s="130">
        <v>5076</v>
      </c>
      <c r="L246" s="130">
        <v>5076</v>
      </c>
      <c r="M246" s="130"/>
      <c r="N246" s="131">
        <f t="shared" si="14"/>
        <v>0</v>
      </c>
      <c r="O246" s="132" t="s">
        <v>22</v>
      </c>
      <c r="P246" s="112"/>
    </row>
    <row r="247" s="86" customFormat="1" spans="1:16">
      <c r="A247" s="111">
        <v>45839</v>
      </c>
      <c r="B247" s="116" t="s">
        <v>16</v>
      </c>
      <c r="C247" s="113" t="s">
        <v>273</v>
      </c>
      <c r="D247" s="112" t="s">
        <v>274</v>
      </c>
      <c r="E247" s="112" t="s">
        <v>275</v>
      </c>
      <c r="F247" s="151">
        <v>45824</v>
      </c>
      <c r="G247" s="112" t="s">
        <v>46</v>
      </c>
      <c r="H247" s="112" t="s">
        <v>21</v>
      </c>
      <c r="I247" s="130">
        <v>11844</v>
      </c>
      <c r="J247" s="130">
        <v>0</v>
      </c>
      <c r="K247" s="130">
        <v>11844</v>
      </c>
      <c r="L247" s="130">
        <v>11844</v>
      </c>
      <c r="M247" s="130"/>
      <c r="N247" s="131">
        <f t="shared" si="14"/>
        <v>0</v>
      </c>
      <c r="O247" s="132" t="s">
        <v>22</v>
      </c>
      <c r="P247" s="112"/>
    </row>
    <row r="248" s="89" customFormat="1" spans="1:17">
      <c r="A248" s="122">
        <v>45901</v>
      </c>
      <c r="B248" s="116" t="s">
        <v>16</v>
      </c>
      <c r="C248" s="78" t="s">
        <v>273</v>
      </c>
      <c r="D248" s="116" t="s">
        <v>274</v>
      </c>
      <c r="E248" s="116" t="s">
        <v>275</v>
      </c>
      <c r="F248" s="151">
        <v>45916</v>
      </c>
      <c r="G248" s="116" t="s">
        <v>86</v>
      </c>
      <c r="H248" s="116" t="s">
        <v>23</v>
      </c>
      <c r="I248" s="139">
        <v>5076</v>
      </c>
      <c r="J248" s="139">
        <v>0</v>
      </c>
      <c r="K248" s="139">
        <f t="shared" ref="K248:K253" si="17">I248-J248</f>
        <v>5076</v>
      </c>
      <c r="L248" s="139">
        <v>5076</v>
      </c>
      <c r="M248" s="139"/>
      <c r="N248" s="131">
        <f t="shared" si="14"/>
        <v>0</v>
      </c>
      <c r="O248" s="140" t="s">
        <v>178</v>
      </c>
      <c r="P248" s="141"/>
      <c r="Q248" s="89" t="s">
        <v>51</v>
      </c>
    </row>
    <row r="249" s="89" customFormat="1" spans="1:17">
      <c r="A249" s="122">
        <v>45901</v>
      </c>
      <c r="B249" s="116" t="s">
        <v>16</v>
      </c>
      <c r="C249" s="78" t="s">
        <v>273</v>
      </c>
      <c r="D249" s="116" t="s">
        <v>274</v>
      </c>
      <c r="E249" s="116" t="s">
        <v>275</v>
      </c>
      <c r="F249" s="151">
        <v>45916</v>
      </c>
      <c r="G249" s="116" t="s">
        <v>86</v>
      </c>
      <c r="H249" s="112" t="s">
        <v>21</v>
      </c>
      <c r="I249" s="139">
        <v>11844</v>
      </c>
      <c r="J249" s="139">
        <v>0</v>
      </c>
      <c r="K249" s="139">
        <f t="shared" si="17"/>
        <v>11844</v>
      </c>
      <c r="L249" s="139">
        <v>11844</v>
      </c>
      <c r="M249" s="139"/>
      <c r="N249" s="131">
        <f t="shared" si="14"/>
        <v>0</v>
      </c>
      <c r="O249" s="140" t="s">
        <v>178</v>
      </c>
      <c r="P249" s="141"/>
      <c r="Q249" s="89" t="s">
        <v>51</v>
      </c>
    </row>
    <row r="250" s="86" customFormat="1" spans="1:16">
      <c r="A250" s="111">
        <v>45839</v>
      </c>
      <c r="B250" s="116" t="s">
        <v>16</v>
      </c>
      <c r="C250" s="113" t="s">
        <v>276</v>
      </c>
      <c r="D250" s="112" t="s">
        <v>277</v>
      </c>
      <c r="E250" s="112" t="s">
        <v>278</v>
      </c>
      <c r="F250" s="151">
        <v>45824</v>
      </c>
      <c r="G250" s="112" t="s">
        <v>46</v>
      </c>
      <c r="H250" s="112" t="s">
        <v>23</v>
      </c>
      <c r="I250" s="130">
        <v>18048</v>
      </c>
      <c r="J250" s="130">
        <v>0</v>
      </c>
      <c r="K250" s="130">
        <v>18048</v>
      </c>
      <c r="L250" s="130">
        <v>18048</v>
      </c>
      <c r="M250" s="130"/>
      <c r="N250" s="131">
        <f t="shared" si="14"/>
        <v>0</v>
      </c>
      <c r="O250" s="132" t="s">
        <v>217</v>
      </c>
      <c r="P250" s="112"/>
    </row>
    <row r="251" s="86" customFormat="1" spans="1:16">
      <c r="A251" s="111">
        <v>45839</v>
      </c>
      <c r="B251" s="116" t="s">
        <v>16</v>
      </c>
      <c r="C251" s="113" t="s">
        <v>276</v>
      </c>
      <c r="D251" s="112" t="s">
        <v>277</v>
      </c>
      <c r="E251" s="112" t="s">
        <v>278</v>
      </c>
      <c r="F251" s="151">
        <v>45824</v>
      </c>
      <c r="G251" s="112" t="s">
        <v>46</v>
      </c>
      <c r="H251" s="112" t="s">
        <v>21</v>
      </c>
      <c r="I251" s="130">
        <v>17766</v>
      </c>
      <c r="J251" s="130">
        <v>0</v>
      </c>
      <c r="K251" s="130">
        <v>17766</v>
      </c>
      <c r="L251" s="130">
        <v>17766</v>
      </c>
      <c r="M251" s="130"/>
      <c r="N251" s="131">
        <f t="shared" si="14"/>
        <v>0</v>
      </c>
      <c r="O251" s="132" t="s">
        <v>217</v>
      </c>
      <c r="P251" s="112"/>
    </row>
    <row r="252" s="89" customFormat="1" spans="1:17">
      <c r="A252" s="122">
        <v>45901</v>
      </c>
      <c r="B252" s="116" t="s">
        <v>16</v>
      </c>
      <c r="C252" s="78" t="s">
        <v>276</v>
      </c>
      <c r="D252" s="116" t="s">
        <v>277</v>
      </c>
      <c r="E252" s="116" t="s">
        <v>278</v>
      </c>
      <c r="F252" s="151">
        <v>45916</v>
      </c>
      <c r="G252" s="116" t="s">
        <v>86</v>
      </c>
      <c r="H252" s="116" t="s">
        <v>23</v>
      </c>
      <c r="I252" s="139">
        <v>18048</v>
      </c>
      <c r="J252" s="139">
        <v>0</v>
      </c>
      <c r="K252" s="139">
        <f t="shared" si="17"/>
        <v>18048</v>
      </c>
      <c r="L252" s="139">
        <v>18048</v>
      </c>
      <c r="M252" s="139"/>
      <c r="N252" s="131">
        <f t="shared" si="14"/>
        <v>0</v>
      </c>
      <c r="O252" s="140" t="s">
        <v>145</v>
      </c>
      <c r="P252" s="141"/>
      <c r="Q252" s="89" t="s">
        <v>51</v>
      </c>
    </row>
    <row r="253" s="89" customFormat="1" spans="1:17">
      <c r="A253" s="122">
        <v>45901</v>
      </c>
      <c r="B253" s="116" t="s">
        <v>16</v>
      </c>
      <c r="C253" s="78" t="s">
        <v>276</v>
      </c>
      <c r="D253" s="116" t="s">
        <v>277</v>
      </c>
      <c r="E253" s="116" t="s">
        <v>278</v>
      </c>
      <c r="F253" s="151">
        <v>45916</v>
      </c>
      <c r="G253" s="116" t="s">
        <v>86</v>
      </c>
      <c r="H253" s="112" t="s">
        <v>21</v>
      </c>
      <c r="I253" s="139">
        <v>17766</v>
      </c>
      <c r="J253" s="139">
        <v>0</v>
      </c>
      <c r="K253" s="139">
        <f t="shared" si="17"/>
        <v>17766</v>
      </c>
      <c r="L253" s="139">
        <v>17766</v>
      </c>
      <c r="M253" s="139"/>
      <c r="N253" s="131">
        <f t="shared" si="14"/>
        <v>0</v>
      </c>
      <c r="O253" s="140" t="s">
        <v>145</v>
      </c>
      <c r="P253" s="141"/>
      <c r="Q253" s="89" t="s">
        <v>51</v>
      </c>
    </row>
    <row r="254" s="86" customFormat="1" spans="1:16">
      <c r="A254" s="111">
        <v>45839</v>
      </c>
      <c r="B254" s="116" t="s">
        <v>16</v>
      </c>
      <c r="C254" s="113" t="s">
        <v>279</v>
      </c>
      <c r="D254" s="112" t="s">
        <v>280</v>
      </c>
      <c r="E254" s="112" t="s">
        <v>281</v>
      </c>
      <c r="F254" s="151">
        <v>45824</v>
      </c>
      <c r="G254" s="112" t="s">
        <v>210</v>
      </c>
      <c r="H254" s="121" t="s">
        <v>30</v>
      </c>
      <c r="I254" s="130">
        <v>3000</v>
      </c>
      <c r="J254" s="130">
        <v>0</v>
      </c>
      <c r="K254" s="130">
        <v>3000</v>
      </c>
      <c r="L254" s="130">
        <v>3000</v>
      </c>
      <c r="M254" s="130"/>
      <c r="N254" s="131">
        <f t="shared" si="14"/>
        <v>0</v>
      </c>
      <c r="O254" s="132" t="s">
        <v>282</v>
      </c>
      <c r="P254" s="112"/>
    </row>
    <row r="255" s="86" customFormat="1" spans="1:16">
      <c r="A255" s="111">
        <v>45839</v>
      </c>
      <c r="B255" s="116" t="s">
        <v>16</v>
      </c>
      <c r="C255" s="113" t="s">
        <v>279</v>
      </c>
      <c r="D255" s="112" t="s">
        <v>280</v>
      </c>
      <c r="E255" s="112" t="s">
        <v>281</v>
      </c>
      <c r="F255" s="151">
        <v>45824</v>
      </c>
      <c r="G255" s="112" t="s">
        <v>46</v>
      </c>
      <c r="H255" s="112" t="s">
        <v>21</v>
      </c>
      <c r="I255" s="130">
        <v>47925</v>
      </c>
      <c r="J255" s="130">
        <v>0</v>
      </c>
      <c r="K255" s="130">
        <v>47925</v>
      </c>
      <c r="L255" s="130">
        <v>47925</v>
      </c>
      <c r="M255" s="130"/>
      <c r="N255" s="131">
        <f t="shared" si="14"/>
        <v>0</v>
      </c>
      <c r="O255" s="132" t="s">
        <v>282</v>
      </c>
      <c r="P255" s="112"/>
    </row>
    <row r="256" s="86" customFormat="1" spans="1:16">
      <c r="A256" s="111">
        <v>45839</v>
      </c>
      <c r="B256" s="116" t="s">
        <v>16</v>
      </c>
      <c r="C256" s="113" t="s">
        <v>279</v>
      </c>
      <c r="D256" s="112" t="s">
        <v>280</v>
      </c>
      <c r="E256" s="112" t="s">
        <v>281</v>
      </c>
      <c r="F256" s="151">
        <v>45824</v>
      </c>
      <c r="G256" s="112" t="s">
        <v>46</v>
      </c>
      <c r="H256" s="112" t="s">
        <v>23</v>
      </c>
      <c r="I256" s="130">
        <v>35145</v>
      </c>
      <c r="J256" s="130">
        <v>0</v>
      </c>
      <c r="K256" s="130">
        <v>35145</v>
      </c>
      <c r="L256" s="130">
        <v>35145</v>
      </c>
      <c r="M256" s="130"/>
      <c r="N256" s="131">
        <f t="shared" si="14"/>
        <v>0</v>
      </c>
      <c r="O256" s="132" t="s">
        <v>283</v>
      </c>
      <c r="P256" s="112"/>
    </row>
    <row r="257" s="89" customFormat="1" spans="1:17">
      <c r="A257" s="122">
        <v>45901</v>
      </c>
      <c r="B257" s="116" t="s">
        <v>16</v>
      </c>
      <c r="C257" s="78" t="s">
        <v>279</v>
      </c>
      <c r="D257" s="116" t="s">
        <v>280</v>
      </c>
      <c r="E257" s="116" t="s">
        <v>281</v>
      </c>
      <c r="F257" s="151">
        <v>45916</v>
      </c>
      <c r="G257" s="116" t="s">
        <v>86</v>
      </c>
      <c r="H257" s="116" t="s">
        <v>23</v>
      </c>
      <c r="I257" s="139">
        <v>35145</v>
      </c>
      <c r="J257" s="139">
        <v>0</v>
      </c>
      <c r="K257" s="139">
        <f t="shared" ref="K257:K260" si="18">I257-J257</f>
        <v>35145</v>
      </c>
      <c r="L257" s="139">
        <v>35145</v>
      </c>
      <c r="M257" s="139"/>
      <c r="N257" s="131">
        <f t="shared" si="14"/>
        <v>0</v>
      </c>
      <c r="O257" s="140" t="s">
        <v>284</v>
      </c>
      <c r="P257" s="141"/>
      <c r="Q257" s="89" t="s">
        <v>51</v>
      </c>
    </row>
    <row r="258" s="89" customFormat="1" spans="1:17">
      <c r="A258" s="122">
        <v>45901</v>
      </c>
      <c r="B258" s="116" t="s">
        <v>16</v>
      </c>
      <c r="C258" s="78" t="s">
        <v>279</v>
      </c>
      <c r="D258" s="116" t="s">
        <v>280</v>
      </c>
      <c r="E258" s="116" t="s">
        <v>281</v>
      </c>
      <c r="F258" s="151">
        <v>45916</v>
      </c>
      <c r="G258" s="116" t="s">
        <v>86</v>
      </c>
      <c r="H258" s="112" t="s">
        <v>21</v>
      </c>
      <c r="I258" s="139">
        <v>47925</v>
      </c>
      <c r="J258" s="139">
        <v>0</v>
      </c>
      <c r="K258" s="139">
        <f t="shared" si="18"/>
        <v>47925</v>
      </c>
      <c r="L258" s="139">
        <v>47925</v>
      </c>
      <c r="M258" s="139"/>
      <c r="N258" s="131">
        <f t="shared" si="14"/>
        <v>0</v>
      </c>
      <c r="O258" s="140" t="s">
        <v>284</v>
      </c>
      <c r="P258" s="141"/>
      <c r="Q258" s="89" t="s">
        <v>51</v>
      </c>
    </row>
    <row r="259" s="87" customFormat="1" spans="1:16">
      <c r="A259" s="111">
        <v>45870</v>
      </c>
      <c r="B259" s="116" t="s">
        <v>285</v>
      </c>
      <c r="C259" s="78" t="s">
        <v>286</v>
      </c>
      <c r="D259" s="116" t="s">
        <v>287</v>
      </c>
      <c r="E259" s="116" t="s">
        <v>288</v>
      </c>
      <c r="F259" s="151">
        <v>45900</v>
      </c>
      <c r="G259" s="116" t="s">
        <v>289</v>
      </c>
      <c r="H259" s="116" t="s">
        <v>23</v>
      </c>
      <c r="I259" s="133">
        <v>10820.3</v>
      </c>
      <c r="J259" s="133">
        <v>0</v>
      </c>
      <c r="K259" s="133">
        <f t="shared" si="18"/>
        <v>10820.3</v>
      </c>
      <c r="L259" s="133">
        <v>10820.3</v>
      </c>
      <c r="M259" s="133"/>
      <c r="N259" s="131">
        <f t="shared" ref="N259:N322" si="19">K259-L259</f>
        <v>0</v>
      </c>
      <c r="O259" s="134" t="s">
        <v>111</v>
      </c>
      <c r="P259" s="135"/>
    </row>
    <row r="260" s="87" customFormat="1" spans="1:16">
      <c r="A260" s="111">
        <v>45870</v>
      </c>
      <c r="B260" s="116" t="s">
        <v>285</v>
      </c>
      <c r="C260" s="78" t="s">
        <v>286</v>
      </c>
      <c r="D260" s="116" t="s">
        <v>287</v>
      </c>
      <c r="E260" s="116" t="s">
        <v>288</v>
      </c>
      <c r="F260" s="151">
        <v>45900</v>
      </c>
      <c r="G260" s="116" t="s">
        <v>289</v>
      </c>
      <c r="H260" s="112" t="s">
        <v>21</v>
      </c>
      <c r="I260" s="133">
        <v>90890.1</v>
      </c>
      <c r="J260" s="133">
        <v>0</v>
      </c>
      <c r="K260" s="133">
        <f t="shared" si="18"/>
        <v>90890.1</v>
      </c>
      <c r="L260" s="133">
        <v>90890.1</v>
      </c>
      <c r="M260" s="133"/>
      <c r="N260" s="131">
        <f t="shared" si="19"/>
        <v>0</v>
      </c>
      <c r="O260" s="134" t="s">
        <v>111</v>
      </c>
      <c r="P260" s="135"/>
    </row>
    <row r="261" s="88" customFormat="1" spans="1:16">
      <c r="A261" s="118">
        <v>45962</v>
      </c>
      <c r="B261" s="116" t="s">
        <v>285</v>
      </c>
      <c r="C261" s="119" t="s">
        <v>286</v>
      </c>
      <c r="D261" s="116" t="s">
        <v>287</v>
      </c>
      <c r="E261" s="114" t="s">
        <v>288</v>
      </c>
      <c r="F261" s="151">
        <v>45986</v>
      </c>
      <c r="G261" s="114" t="s">
        <v>290</v>
      </c>
      <c r="H261" s="121" t="s">
        <v>30</v>
      </c>
      <c r="I261" s="131">
        <v>416.63</v>
      </c>
      <c r="J261" s="131"/>
      <c r="K261" s="136">
        <v>416.63</v>
      </c>
      <c r="L261" s="136">
        <v>416.63</v>
      </c>
      <c r="M261" s="136"/>
      <c r="N261" s="131">
        <f t="shared" si="19"/>
        <v>0</v>
      </c>
      <c r="O261" s="137" t="s">
        <v>152</v>
      </c>
      <c r="P261" s="138"/>
    </row>
    <row r="262" s="88" customFormat="1" spans="1:16">
      <c r="A262" s="118">
        <v>45962</v>
      </c>
      <c r="B262" s="116" t="s">
        <v>285</v>
      </c>
      <c r="C262" s="119" t="s">
        <v>286</v>
      </c>
      <c r="D262" s="116" t="s">
        <v>287</v>
      </c>
      <c r="E262" s="114" t="s">
        <v>288</v>
      </c>
      <c r="F262" s="151">
        <v>45986</v>
      </c>
      <c r="G262" s="114" t="s">
        <v>291</v>
      </c>
      <c r="H262" s="121" t="s">
        <v>30</v>
      </c>
      <c r="I262" s="131">
        <v>416.67</v>
      </c>
      <c r="J262" s="131"/>
      <c r="K262" s="136">
        <v>416.67</v>
      </c>
      <c r="L262" s="136">
        <v>416.67</v>
      </c>
      <c r="M262" s="136"/>
      <c r="N262" s="131">
        <f t="shared" si="19"/>
        <v>0</v>
      </c>
      <c r="O262" s="137" t="s">
        <v>152</v>
      </c>
      <c r="P262" s="138"/>
    </row>
    <row r="263" s="88" customFormat="1" spans="1:16">
      <c r="A263" s="118">
        <v>45962</v>
      </c>
      <c r="B263" s="116" t="s">
        <v>285</v>
      </c>
      <c r="C263" s="119" t="s">
        <v>286</v>
      </c>
      <c r="D263" s="116" t="s">
        <v>287</v>
      </c>
      <c r="E263" s="114" t="s">
        <v>288</v>
      </c>
      <c r="F263" s="151">
        <v>45986</v>
      </c>
      <c r="G263" s="114" t="s">
        <v>292</v>
      </c>
      <c r="H263" s="121" t="s">
        <v>30</v>
      </c>
      <c r="I263" s="131">
        <v>416.67</v>
      </c>
      <c r="J263" s="131"/>
      <c r="K263" s="136">
        <v>416.67</v>
      </c>
      <c r="L263" s="136">
        <v>416.67</v>
      </c>
      <c r="M263" s="136"/>
      <c r="N263" s="131">
        <f t="shared" si="19"/>
        <v>0</v>
      </c>
      <c r="O263" s="137" t="s">
        <v>152</v>
      </c>
      <c r="P263" s="138"/>
    </row>
    <row r="264" s="88" customFormat="1" spans="1:16">
      <c r="A264" s="118">
        <v>45962</v>
      </c>
      <c r="B264" s="116" t="s">
        <v>285</v>
      </c>
      <c r="C264" s="119" t="s">
        <v>286</v>
      </c>
      <c r="D264" s="116" t="s">
        <v>287</v>
      </c>
      <c r="E264" s="114" t="s">
        <v>288</v>
      </c>
      <c r="F264" s="151">
        <v>45986</v>
      </c>
      <c r="G264" s="114" t="s">
        <v>293</v>
      </c>
      <c r="H264" s="121" t="s">
        <v>30</v>
      </c>
      <c r="I264" s="131">
        <v>416.67</v>
      </c>
      <c r="J264" s="131"/>
      <c r="K264" s="136">
        <v>416.67</v>
      </c>
      <c r="L264" s="136">
        <v>416.67</v>
      </c>
      <c r="M264" s="136"/>
      <c r="N264" s="131">
        <f t="shared" si="19"/>
        <v>0</v>
      </c>
      <c r="O264" s="137" t="s">
        <v>152</v>
      </c>
      <c r="P264" s="138"/>
    </row>
    <row r="265" s="88" customFormat="1" spans="1:16">
      <c r="A265" s="118">
        <v>45962</v>
      </c>
      <c r="B265" s="116" t="s">
        <v>285</v>
      </c>
      <c r="C265" s="119" t="s">
        <v>286</v>
      </c>
      <c r="D265" s="116" t="s">
        <v>287</v>
      </c>
      <c r="E265" s="114" t="s">
        <v>288</v>
      </c>
      <c r="F265" s="151">
        <v>45986</v>
      </c>
      <c r="G265" s="114" t="s">
        <v>294</v>
      </c>
      <c r="H265" s="121" t="s">
        <v>30</v>
      </c>
      <c r="I265" s="131">
        <v>416.67</v>
      </c>
      <c r="J265" s="131"/>
      <c r="K265" s="136">
        <v>416.67</v>
      </c>
      <c r="L265" s="136">
        <v>416.67</v>
      </c>
      <c r="M265" s="136"/>
      <c r="N265" s="131">
        <f t="shared" si="19"/>
        <v>0</v>
      </c>
      <c r="O265" s="137" t="s">
        <v>152</v>
      </c>
      <c r="P265" s="138"/>
    </row>
    <row r="266" s="88" customFormat="1" spans="1:16">
      <c r="A266" s="118">
        <v>45962</v>
      </c>
      <c r="B266" s="116" t="s">
        <v>285</v>
      </c>
      <c r="C266" s="119" t="s">
        <v>286</v>
      </c>
      <c r="D266" s="116" t="s">
        <v>287</v>
      </c>
      <c r="E266" s="114" t="s">
        <v>288</v>
      </c>
      <c r="F266" s="151">
        <v>45986</v>
      </c>
      <c r="G266" s="114" t="s">
        <v>295</v>
      </c>
      <c r="H266" s="121" t="s">
        <v>30</v>
      </c>
      <c r="I266" s="131">
        <v>416.67</v>
      </c>
      <c r="J266" s="131"/>
      <c r="K266" s="136">
        <v>416.67</v>
      </c>
      <c r="L266" s="136">
        <v>416.67</v>
      </c>
      <c r="M266" s="136"/>
      <c r="N266" s="131">
        <f t="shared" si="19"/>
        <v>0</v>
      </c>
      <c r="O266" s="137" t="s">
        <v>152</v>
      </c>
      <c r="P266" s="138"/>
    </row>
    <row r="267" s="88" customFormat="1" spans="1:16">
      <c r="A267" s="118">
        <v>45962</v>
      </c>
      <c r="B267" s="116" t="s">
        <v>285</v>
      </c>
      <c r="C267" s="119" t="s">
        <v>286</v>
      </c>
      <c r="D267" s="116" t="s">
        <v>287</v>
      </c>
      <c r="E267" s="114" t="s">
        <v>288</v>
      </c>
      <c r="F267" s="151">
        <v>45986</v>
      </c>
      <c r="G267" s="114" t="s">
        <v>296</v>
      </c>
      <c r="H267" s="121" t="s">
        <v>30</v>
      </c>
      <c r="I267" s="131">
        <v>416.67</v>
      </c>
      <c r="J267" s="131"/>
      <c r="K267" s="136">
        <v>416.67</v>
      </c>
      <c r="L267" s="136">
        <v>416.67</v>
      </c>
      <c r="M267" s="136"/>
      <c r="N267" s="131">
        <f t="shared" si="19"/>
        <v>0</v>
      </c>
      <c r="O267" s="137" t="s">
        <v>152</v>
      </c>
      <c r="P267" s="138"/>
    </row>
    <row r="268" s="88" customFormat="1" spans="1:16">
      <c r="A268" s="118">
        <v>45962</v>
      </c>
      <c r="B268" s="116" t="s">
        <v>285</v>
      </c>
      <c r="C268" s="119" t="s">
        <v>286</v>
      </c>
      <c r="D268" s="116" t="s">
        <v>287</v>
      </c>
      <c r="E268" s="114" t="s">
        <v>288</v>
      </c>
      <c r="F268" s="151">
        <v>45986</v>
      </c>
      <c r="G268" s="114" t="s">
        <v>297</v>
      </c>
      <c r="H268" s="121" t="s">
        <v>30</v>
      </c>
      <c r="I268" s="131">
        <v>416.67</v>
      </c>
      <c r="J268" s="131"/>
      <c r="K268" s="136">
        <v>416.67</v>
      </c>
      <c r="L268" s="136">
        <v>416.67</v>
      </c>
      <c r="M268" s="136"/>
      <c r="N268" s="131">
        <f t="shared" si="19"/>
        <v>0</v>
      </c>
      <c r="O268" s="137" t="s">
        <v>152</v>
      </c>
      <c r="P268" s="138"/>
    </row>
    <row r="269" s="88" customFormat="1" spans="1:16">
      <c r="A269" s="118">
        <v>45962</v>
      </c>
      <c r="B269" s="116" t="s">
        <v>285</v>
      </c>
      <c r="C269" s="119" t="s">
        <v>286</v>
      </c>
      <c r="D269" s="116" t="s">
        <v>287</v>
      </c>
      <c r="E269" s="114" t="s">
        <v>288</v>
      </c>
      <c r="F269" s="151">
        <v>45986</v>
      </c>
      <c r="G269" s="114" t="s">
        <v>298</v>
      </c>
      <c r="H269" s="121" t="s">
        <v>30</v>
      </c>
      <c r="I269" s="131">
        <v>416.67</v>
      </c>
      <c r="J269" s="131"/>
      <c r="K269" s="136">
        <v>416.67</v>
      </c>
      <c r="L269" s="136">
        <v>416.67</v>
      </c>
      <c r="M269" s="136"/>
      <c r="N269" s="131">
        <f t="shared" si="19"/>
        <v>0</v>
      </c>
      <c r="O269" s="137" t="s">
        <v>152</v>
      </c>
      <c r="P269" s="138"/>
    </row>
    <row r="270" s="88" customFormat="1" spans="1:16">
      <c r="A270" s="118">
        <v>45962</v>
      </c>
      <c r="B270" s="116" t="s">
        <v>285</v>
      </c>
      <c r="C270" s="119" t="s">
        <v>286</v>
      </c>
      <c r="D270" s="116" t="s">
        <v>287</v>
      </c>
      <c r="E270" s="114" t="s">
        <v>288</v>
      </c>
      <c r="F270" s="151">
        <v>45986</v>
      </c>
      <c r="G270" s="114" t="s">
        <v>299</v>
      </c>
      <c r="H270" s="121" t="s">
        <v>30</v>
      </c>
      <c r="I270" s="131">
        <v>416.67</v>
      </c>
      <c r="J270" s="131"/>
      <c r="K270" s="136">
        <v>416.67</v>
      </c>
      <c r="L270" s="136">
        <v>416.67</v>
      </c>
      <c r="M270" s="136"/>
      <c r="N270" s="131">
        <f t="shared" si="19"/>
        <v>0</v>
      </c>
      <c r="O270" s="137" t="s">
        <v>152</v>
      </c>
      <c r="P270" s="138"/>
    </row>
    <row r="271" s="88" customFormat="1" spans="1:16">
      <c r="A271" s="118">
        <v>45962</v>
      </c>
      <c r="B271" s="116" t="s">
        <v>285</v>
      </c>
      <c r="C271" s="119" t="s">
        <v>286</v>
      </c>
      <c r="D271" s="116" t="s">
        <v>287</v>
      </c>
      <c r="E271" s="114" t="s">
        <v>288</v>
      </c>
      <c r="F271" s="151">
        <v>45986</v>
      </c>
      <c r="G271" s="114" t="s">
        <v>300</v>
      </c>
      <c r="H271" s="121" t="s">
        <v>30</v>
      </c>
      <c r="I271" s="131">
        <v>416.67</v>
      </c>
      <c r="J271" s="131"/>
      <c r="K271" s="136">
        <v>416.67</v>
      </c>
      <c r="L271" s="136">
        <v>416.67</v>
      </c>
      <c r="M271" s="136"/>
      <c r="N271" s="131">
        <f t="shared" si="19"/>
        <v>0</v>
      </c>
      <c r="O271" s="137" t="s">
        <v>152</v>
      </c>
      <c r="P271" s="138"/>
    </row>
    <row r="272" s="88" customFormat="1" spans="1:16">
      <c r="A272" s="118">
        <v>45962</v>
      </c>
      <c r="B272" s="116" t="s">
        <v>285</v>
      </c>
      <c r="C272" s="119" t="s">
        <v>286</v>
      </c>
      <c r="D272" s="116" t="s">
        <v>287</v>
      </c>
      <c r="E272" s="114" t="s">
        <v>288</v>
      </c>
      <c r="F272" s="151">
        <v>45986</v>
      </c>
      <c r="G272" s="114" t="s">
        <v>301</v>
      </c>
      <c r="H272" s="121" t="s">
        <v>30</v>
      </c>
      <c r="I272" s="131">
        <v>416.67</v>
      </c>
      <c r="J272" s="131"/>
      <c r="K272" s="136">
        <v>416.67</v>
      </c>
      <c r="L272" s="136">
        <v>416.67</v>
      </c>
      <c r="M272" s="136"/>
      <c r="N272" s="131">
        <f t="shared" si="19"/>
        <v>0</v>
      </c>
      <c r="O272" s="137" t="s">
        <v>152</v>
      </c>
      <c r="P272" s="138"/>
    </row>
    <row r="273" s="88" customFormat="1" spans="1:16">
      <c r="A273" s="118">
        <v>45962</v>
      </c>
      <c r="B273" s="116" t="s">
        <v>285</v>
      </c>
      <c r="C273" s="119" t="s">
        <v>286</v>
      </c>
      <c r="D273" s="116" t="s">
        <v>287</v>
      </c>
      <c r="E273" s="114" t="s">
        <v>288</v>
      </c>
      <c r="F273" s="151">
        <v>45976</v>
      </c>
      <c r="G273" s="114" t="s">
        <v>96</v>
      </c>
      <c r="H273" s="114" t="s">
        <v>23</v>
      </c>
      <c r="I273" s="131">
        <v>3606.75</v>
      </c>
      <c r="J273" s="131"/>
      <c r="K273" s="136">
        <v>3606.75</v>
      </c>
      <c r="L273" s="136">
        <v>3606.75</v>
      </c>
      <c r="M273" s="136"/>
      <c r="N273" s="131">
        <f t="shared" si="19"/>
        <v>0</v>
      </c>
      <c r="O273" s="137" t="s">
        <v>152</v>
      </c>
      <c r="P273" s="138"/>
    </row>
    <row r="274" s="88" customFormat="1" spans="1:16">
      <c r="A274" s="118">
        <v>45962</v>
      </c>
      <c r="B274" s="116" t="s">
        <v>285</v>
      </c>
      <c r="C274" s="119" t="s">
        <v>286</v>
      </c>
      <c r="D274" s="116" t="s">
        <v>287</v>
      </c>
      <c r="E274" s="114" t="s">
        <v>288</v>
      </c>
      <c r="F274" s="151">
        <v>45976</v>
      </c>
      <c r="G274" s="114" t="s">
        <v>98</v>
      </c>
      <c r="H274" s="114" t="s">
        <v>23</v>
      </c>
      <c r="I274" s="131">
        <v>3606.75</v>
      </c>
      <c r="J274" s="131"/>
      <c r="K274" s="136">
        <v>3606.75</v>
      </c>
      <c r="L274" s="136">
        <v>3606.75</v>
      </c>
      <c r="M274" s="136"/>
      <c r="N274" s="131">
        <f t="shared" si="19"/>
        <v>0</v>
      </c>
      <c r="O274" s="137" t="s">
        <v>152</v>
      </c>
      <c r="P274" s="138"/>
    </row>
    <row r="275" s="88" customFormat="1" spans="1:16">
      <c r="A275" s="118">
        <v>45962</v>
      </c>
      <c r="B275" s="116" t="s">
        <v>285</v>
      </c>
      <c r="C275" s="119" t="s">
        <v>286</v>
      </c>
      <c r="D275" s="116" t="s">
        <v>287</v>
      </c>
      <c r="E275" s="114" t="s">
        <v>288</v>
      </c>
      <c r="F275" s="151">
        <v>45976</v>
      </c>
      <c r="G275" s="114" t="s">
        <v>26</v>
      </c>
      <c r="H275" s="114" t="s">
        <v>23</v>
      </c>
      <c r="I275" s="131">
        <v>3606.75</v>
      </c>
      <c r="J275" s="131"/>
      <c r="K275" s="136">
        <v>3606.75</v>
      </c>
      <c r="L275" s="136">
        <v>3606.75</v>
      </c>
      <c r="M275" s="136"/>
      <c r="N275" s="131">
        <f t="shared" si="19"/>
        <v>0</v>
      </c>
      <c r="O275" s="137" t="s">
        <v>152</v>
      </c>
      <c r="P275" s="138"/>
    </row>
    <row r="276" s="88" customFormat="1" spans="1:16">
      <c r="A276" s="118">
        <v>45962</v>
      </c>
      <c r="B276" s="116" t="s">
        <v>285</v>
      </c>
      <c r="C276" s="119" t="s">
        <v>286</v>
      </c>
      <c r="D276" s="116" t="s">
        <v>287</v>
      </c>
      <c r="E276" s="114" t="s">
        <v>288</v>
      </c>
      <c r="F276" s="151">
        <v>45976</v>
      </c>
      <c r="G276" s="114" t="s">
        <v>96</v>
      </c>
      <c r="H276" s="112" t="s">
        <v>21</v>
      </c>
      <c r="I276" s="131">
        <v>30296.7</v>
      </c>
      <c r="J276" s="131"/>
      <c r="K276" s="136">
        <v>30296.7</v>
      </c>
      <c r="L276" s="136">
        <v>30296.7</v>
      </c>
      <c r="M276" s="136"/>
      <c r="N276" s="131">
        <f t="shared" si="19"/>
        <v>0</v>
      </c>
      <c r="O276" s="137" t="s">
        <v>152</v>
      </c>
      <c r="P276" s="138"/>
    </row>
    <row r="277" s="88" customFormat="1" spans="1:16">
      <c r="A277" s="118">
        <v>45962</v>
      </c>
      <c r="B277" s="116" t="s">
        <v>285</v>
      </c>
      <c r="C277" s="119" t="s">
        <v>286</v>
      </c>
      <c r="D277" s="116" t="s">
        <v>287</v>
      </c>
      <c r="E277" s="114" t="s">
        <v>288</v>
      </c>
      <c r="F277" s="151">
        <v>45976</v>
      </c>
      <c r="G277" s="114" t="s">
        <v>98</v>
      </c>
      <c r="H277" s="112" t="s">
        <v>21</v>
      </c>
      <c r="I277" s="131">
        <v>30296.7</v>
      </c>
      <c r="J277" s="131"/>
      <c r="K277" s="136">
        <v>30296.7</v>
      </c>
      <c r="L277" s="136">
        <v>30296.7</v>
      </c>
      <c r="M277" s="136"/>
      <c r="N277" s="131">
        <f t="shared" si="19"/>
        <v>0</v>
      </c>
      <c r="O277" s="137" t="s">
        <v>152</v>
      </c>
      <c r="P277" s="138"/>
    </row>
    <row r="278" s="88" customFormat="1" spans="1:16">
      <c r="A278" s="118">
        <v>45962</v>
      </c>
      <c r="B278" s="116" t="s">
        <v>285</v>
      </c>
      <c r="C278" s="119" t="s">
        <v>286</v>
      </c>
      <c r="D278" s="116" t="s">
        <v>287</v>
      </c>
      <c r="E278" s="114" t="s">
        <v>288</v>
      </c>
      <c r="F278" s="151">
        <v>45976</v>
      </c>
      <c r="G278" s="114" t="s">
        <v>26</v>
      </c>
      <c r="H278" s="112" t="s">
        <v>21</v>
      </c>
      <c r="I278" s="131">
        <v>30296.7</v>
      </c>
      <c r="J278" s="131"/>
      <c r="K278" s="136">
        <v>30296.7</v>
      </c>
      <c r="L278" s="136">
        <v>30296.7</v>
      </c>
      <c r="M278" s="136"/>
      <c r="N278" s="131">
        <f t="shared" si="19"/>
        <v>0</v>
      </c>
      <c r="O278" s="137" t="s">
        <v>152</v>
      </c>
      <c r="P278" s="138"/>
    </row>
    <row r="279" s="89" customFormat="1" spans="1:16">
      <c r="A279" s="122">
        <v>45901</v>
      </c>
      <c r="B279" s="116" t="s">
        <v>285</v>
      </c>
      <c r="C279" s="78" t="s">
        <v>302</v>
      </c>
      <c r="D279" s="116" t="s">
        <v>303</v>
      </c>
      <c r="E279" s="116" t="s">
        <v>304</v>
      </c>
      <c r="F279" s="151">
        <v>45916</v>
      </c>
      <c r="G279" s="116" t="s">
        <v>86</v>
      </c>
      <c r="H279" s="116" t="s">
        <v>23</v>
      </c>
      <c r="I279" s="139">
        <v>4290</v>
      </c>
      <c r="J279" s="139">
        <v>0</v>
      </c>
      <c r="K279" s="139">
        <v>4290</v>
      </c>
      <c r="L279" s="139">
        <v>4290</v>
      </c>
      <c r="M279" s="139"/>
      <c r="N279" s="131">
        <f t="shared" si="19"/>
        <v>0</v>
      </c>
      <c r="O279" s="140" t="s">
        <v>305</v>
      </c>
      <c r="P279" s="141"/>
    </row>
    <row r="280" s="89" customFormat="1" spans="1:16">
      <c r="A280" s="122">
        <v>45901</v>
      </c>
      <c r="B280" s="116" t="s">
        <v>285</v>
      </c>
      <c r="C280" s="78" t="s">
        <v>302</v>
      </c>
      <c r="D280" s="116" t="s">
        <v>303</v>
      </c>
      <c r="E280" s="116" t="s">
        <v>304</v>
      </c>
      <c r="F280" s="151">
        <v>45916</v>
      </c>
      <c r="G280" s="116" t="s">
        <v>86</v>
      </c>
      <c r="H280" s="112" t="s">
        <v>21</v>
      </c>
      <c r="I280" s="139">
        <v>10709.4</v>
      </c>
      <c r="J280" s="139">
        <v>0</v>
      </c>
      <c r="K280" s="139">
        <v>10709.4</v>
      </c>
      <c r="L280" s="139">
        <v>10709.4</v>
      </c>
      <c r="M280" s="139"/>
      <c r="N280" s="131">
        <f t="shared" si="19"/>
        <v>0</v>
      </c>
      <c r="O280" s="140" t="s">
        <v>305</v>
      </c>
      <c r="P280" s="141"/>
    </row>
    <row r="281" s="86" customFormat="1" spans="1:16">
      <c r="A281" s="111">
        <v>45839</v>
      </c>
      <c r="B281" s="116" t="s">
        <v>285</v>
      </c>
      <c r="C281" s="113" t="s">
        <v>306</v>
      </c>
      <c r="D281" s="112" t="s">
        <v>307</v>
      </c>
      <c r="E281" s="112" t="s">
        <v>308</v>
      </c>
      <c r="F281" s="151">
        <v>45824</v>
      </c>
      <c r="G281" s="112" t="s">
        <v>46</v>
      </c>
      <c r="H281" s="112" t="s">
        <v>23</v>
      </c>
      <c r="I281" s="130">
        <v>9075</v>
      </c>
      <c r="J281" s="130">
        <v>0</v>
      </c>
      <c r="K281" s="130">
        <v>9075</v>
      </c>
      <c r="L281" s="130">
        <v>9075</v>
      </c>
      <c r="M281" s="130"/>
      <c r="N281" s="131">
        <f t="shared" si="19"/>
        <v>0</v>
      </c>
      <c r="O281" s="132" t="s">
        <v>309</v>
      </c>
      <c r="P281" s="112"/>
    </row>
    <row r="282" s="86" customFormat="1" spans="1:16">
      <c r="A282" s="111">
        <v>45839</v>
      </c>
      <c r="B282" s="116" t="s">
        <v>285</v>
      </c>
      <c r="C282" s="113" t="s">
        <v>306</v>
      </c>
      <c r="D282" s="112" t="s">
        <v>307</v>
      </c>
      <c r="E282" s="112" t="s">
        <v>308</v>
      </c>
      <c r="F282" s="151">
        <v>45824</v>
      </c>
      <c r="G282" s="112" t="s">
        <v>46</v>
      </c>
      <c r="H282" s="112" t="s">
        <v>21</v>
      </c>
      <c r="I282" s="130">
        <v>16123.8</v>
      </c>
      <c r="J282" s="130">
        <v>0</v>
      </c>
      <c r="K282" s="130">
        <v>16123.8</v>
      </c>
      <c r="L282" s="130">
        <v>16123.8</v>
      </c>
      <c r="M282" s="130"/>
      <c r="N282" s="131">
        <f t="shared" si="19"/>
        <v>0</v>
      </c>
      <c r="O282" s="132" t="s">
        <v>309</v>
      </c>
      <c r="P282" s="112"/>
    </row>
    <row r="283" s="89" customFormat="1" spans="1:17">
      <c r="A283" s="122">
        <v>45901</v>
      </c>
      <c r="B283" s="116" t="s">
        <v>285</v>
      </c>
      <c r="C283" s="78" t="s">
        <v>306</v>
      </c>
      <c r="D283" s="116" t="s">
        <v>307</v>
      </c>
      <c r="E283" s="116" t="s">
        <v>308</v>
      </c>
      <c r="F283" s="151">
        <v>45916</v>
      </c>
      <c r="G283" s="116" t="s">
        <v>86</v>
      </c>
      <c r="H283" s="116" t="s">
        <v>23</v>
      </c>
      <c r="I283" s="139">
        <v>9075</v>
      </c>
      <c r="J283" s="139">
        <v>0</v>
      </c>
      <c r="K283" s="139">
        <f t="shared" ref="K283:K288" si="20">I283-J283</f>
        <v>9075</v>
      </c>
      <c r="L283" s="156">
        <v>9075</v>
      </c>
      <c r="M283" s="139"/>
      <c r="N283" s="131">
        <f t="shared" si="19"/>
        <v>0</v>
      </c>
      <c r="O283" s="140" t="s">
        <v>310</v>
      </c>
      <c r="P283" s="141"/>
      <c r="Q283" s="89" t="s">
        <v>51</v>
      </c>
    </row>
    <row r="284" s="89" customFormat="1" spans="1:17">
      <c r="A284" s="122">
        <v>45901</v>
      </c>
      <c r="B284" s="116" t="s">
        <v>285</v>
      </c>
      <c r="C284" s="78" t="s">
        <v>306</v>
      </c>
      <c r="D284" s="116" t="s">
        <v>307</v>
      </c>
      <c r="E284" s="116" t="s">
        <v>308</v>
      </c>
      <c r="F284" s="151">
        <v>45916</v>
      </c>
      <c r="G284" s="116" t="s">
        <v>86</v>
      </c>
      <c r="H284" s="112" t="s">
        <v>21</v>
      </c>
      <c r="I284" s="139">
        <v>16123.8</v>
      </c>
      <c r="J284" s="139">
        <v>0</v>
      </c>
      <c r="K284" s="139">
        <f t="shared" si="20"/>
        <v>16123.8</v>
      </c>
      <c r="L284" s="156">
        <v>16123.8</v>
      </c>
      <c r="M284" s="139"/>
      <c r="N284" s="131">
        <f t="shared" si="19"/>
        <v>0</v>
      </c>
      <c r="O284" s="140" t="s">
        <v>310</v>
      </c>
      <c r="P284" s="141"/>
      <c r="Q284" s="89" t="s">
        <v>51</v>
      </c>
    </row>
    <row r="285" s="86" customFormat="1" spans="1:16">
      <c r="A285" s="111">
        <v>45839</v>
      </c>
      <c r="B285" s="116" t="s">
        <v>285</v>
      </c>
      <c r="C285" s="113" t="s">
        <v>311</v>
      </c>
      <c r="D285" s="112" t="s">
        <v>312</v>
      </c>
      <c r="E285" s="112" t="s">
        <v>313</v>
      </c>
      <c r="F285" s="151">
        <v>45824</v>
      </c>
      <c r="G285" s="112" t="s">
        <v>46</v>
      </c>
      <c r="H285" s="112" t="s">
        <v>23</v>
      </c>
      <c r="I285" s="130">
        <v>36795</v>
      </c>
      <c r="J285" s="130">
        <v>0</v>
      </c>
      <c r="K285" s="130">
        <v>36795</v>
      </c>
      <c r="L285" s="130">
        <v>36795</v>
      </c>
      <c r="M285" s="130"/>
      <c r="N285" s="131">
        <f t="shared" si="19"/>
        <v>0</v>
      </c>
      <c r="O285" s="132" t="s">
        <v>314</v>
      </c>
      <c r="P285" s="112"/>
    </row>
    <row r="286" s="86" customFormat="1" spans="1:16">
      <c r="A286" s="111">
        <v>45839</v>
      </c>
      <c r="B286" s="116" t="s">
        <v>285</v>
      </c>
      <c r="C286" s="113" t="s">
        <v>311</v>
      </c>
      <c r="D286" s="112" t="s">
        <v>312</v>
      </c>
      <c r="E286" s="112" t="s">
        <v>313</v>
      </c>
      <c r="F286" s="151">
        <v>45824</v>
      </c>
      <c r="G286" s="112" t="s">
        <v>46</v>
      </c>
      <c r="H286" s="112" t="s">
        <v>21</v>
      </c>
      <c r="I286" s="130">
        <v>33450</v>
      </c>
      <c r="J286" s="130">
        <v>0</v>
      </c>
      <c r="K286" s="130">
        <v>33450</v>
      </c>
      <c r="L286" s="130">
        <v>33450</v>
      </c>
      <c r="M286" s="130"/>
      <c r="N286" s="131">
        <f t="shared" si="19"/>
        <v>0</v>
      </c>
      <c r="O286" s="132" t="s">
        <v>314</v>
      </c>
      <c r="P286" s="112"/>
    </row>
    <row r="287" s="92" customFormat="1" spans="1:17">
      <c r="A287" s="122">
        <v>45901</v>
      </c>
      <c r="B287" s="116" t="s">
        <v>285</v>
      </c>
      <c r="C287" s="78" t="s">
        <v>311</v>
      </c>
      <c r="D287" s="116" t="s">
        <v>312</v>
      </c>
      <c r="E287" s="116" t="s">
        <v>313</v>
      </c>
      <c r="F287" s="151">
        <v>45916</v>
      </c>
      <c r="G287" s="116" t="s">
        <v>315</v>
      </c>
      <c r="H287" s="116" t="s">
        <v>23</v>
      </c>
      <c r="I287" s="139">
        <v>24530</v>
      </c>
      <c r="J287" s="139">
        <v>0</v>
      </c>
      <c r="K287" s="139">
        <f t="shared" si="20"/>
        <v>24530</v>
      </c>
      <c r="L287" s="139">
        <v>24530</v>
      </c>
      <c r="M287" s="139"/>
      <c r="N287" s="131">
        <f t="shared" si="19"/>
        <v>0</v>
      </c>
      <c r="O287" s="140" t="s">
        <v>316</v>
      </c>
      <c r="P287" s="141"/>
      <c r="Q287" s="92" t="s">
        <v>51</v>
      </c>
    </row>
    <row r="288" s="92" customFormat="1" spans="1:17">
      <c r="A288" s="122">
        <v>45901</v>
      </c>
      <c r="B288" s="116" t="s">
        <v>285</v>
      </c>
      <c r="C288" s="78" t="s">
        <v>311</v>
      </c>
      <c r="D288" s="116" t="s">
        <v>312</v>
      </c>
      <c r="E288" s="116" t="s">
        <v>313</v>
      </c>
      <c r="F288" s="151">
        <v>45916</v>
      </c>
      <c r="G288" s="116" t="s">
        <v>315</v>
      </c>
      <c r="H288" s="112" t="s">
        <v>21</v>
      </c>
      <c r="I288" s="139">
        <v>22300</v>
      </c>
      <c r="J288" s="139">
        <v>0</v>
      </c>
      <c r="K288" s="139">
        <f t="shared" si="20"/>
        <v>22300</v>
      </c>
      <c r="L288" s="139">
        <v>22300</v>
      </c>
      <c r="M288" s="139"/>
      <c r="N288" s="131">
        <f t="shared" si="19"/>
        <v>0</v>
      </c>
      <c r="O288" s="140" t="s">
        <v>316</v>
      </c>
      <c r="P288" s="141"/>
      <c r="Q288" s="92" t="s">
        <v>51</v>
      </c>
    </row>
    <row r="289" s="88" customFormat="1" spans="1:16">
      <c r="A289" s="118">
        <v>45962</v>
      </c>
      <c r="B289" s="116" t="s">
        <v>285</v>
      </c>
      <c r="C289" s="119" t="s">
        <v>311</v>
      </c>
      <c r="D289" s="114" t="s">
        <v>312</v>
      </c>
      <c r="E289" s="114" t="s">
        <v>313</v>
      </c>
      <c r="F289" s="151">
        <v>45976</v>
      </c>
      <c r="G289" s="114" t="s">
        <v>317</v>
      </c>
      <c r="H289" s="114" t="s">
        <v>23</v>
      </c>
      <c r="I289" s="131">
        <v>36795</v>
      </c>
      <c r="J289" s="131"/>
      <c r="K289" s="136">
        <v>36795</v>
      </c>
      <c r="L289" s="136">
        <v>36795</v>
      </c>
      <c r="M289" s="136"/>
      <c r="N289" s="131">
        <f t="shared" si="19"/>
        <v>0</v>
      </c>
      <c r="O289" s="137" t="s">
        <v>318</v>
      </c>
      <c r="P289" s="138"/>
    </row>
    <row r="290" s="88" customFormat="1" spans="1:16">
      <c r="A290" s="118">
        <v>45962</v>
      </c>
      <c r="B290" s="116" t="s">
        <v>285</v>
      </c>
      <c r="C290" s="119" t="s">
        <v>311</v>
      </c>
      <c r="D290" s="114" t="s">
        <v>312</v>
      </c>
      <c r="E290" s="114" t="s">
        <v>313</v>
      </c>
      <c r="F290" s="151">
        <v>45976</v>
      </c>
      <c r="G290" s="114" t="s">
        <v>317</v>
      </c>
      <c r="H290" s="112" t="s">
        <v>21</v>
      </c>
      <c r="I290" s="131">
        <v>33450</v>
      </c>
      <c r="J290" s="131"/>
      <c r="K290" s="136">
        <v>33450</v>
      </c>
      <c r="L290" s="136">
        <v>33450</v>
      </c>
      <c r="M290" s="136"/>
      <c r="N290" s="131">
        <f t="shared" si="19"/>
        <v>0</v>
      </c>
      <c r="O290" s="137" t="s">
        <v>319</v>
      </c>
      <c r="P290" s="138"/>
    </row>
    <row r="291" s="88" customFormat="1" spans="1:16">
      <c r="A291" s="118">
        <v>45962</v>
      </c>
      <c r="B291" s="116" t="s">
        <v>285</v>
      </c>
      <c r="C291" s="119" t="s">
        <v>311</v>
      </c>
      <c r="D291" s="114" t="s">
        <v>312</v>
      </c>
      <c r="E291" s="114" t="s">
        <v>313</v>
      </c>
      <c r="F291" s="151">
        <v>45976</v>
      </c>
      <c r="G291" s="114" t="s">
        <v>320</v>
      </c>
      <c r="H291" s="121" t="s">
        <v>30</v>
      </c>
      <c r="I291" s="131">
        <v>3000</v>
      </c>
      <c r="J291" s="131"/>
      <c r="K291" s="136">
        <v>3000</v>
      </c>
      <c r="L291" s="136">
        <v>3000</v>
      </c>
      <c r="M291" s="136"/>
      <c r="N291" s="131">
        <f t="shared" si="19"/>
        <v>0</v>
      </c>
      <c r="O291" s="137" t="s">
        <v>321</v>
      </c>
      <c r="P291" s="138"/>
    </row>
    <row r="292" s="86" customFormat="1" spans="1:16">
      <c r="A292" s="111">
        <v>45839</v>
      </c>
      <c r="B292" s="116" t="s">
        <v>285</v>
      </c>
      <c r="C292" s="113" t="s">
        <v>322</v>
      </c>
      <c r="D292" s="112" t="s">
        <v>323</v>
      </c>
      <c r="E292" s="112" t="s">
        <v>324</v>
      </c>
      <c r="F292" s="151">
        <v>45824</v>
      </c>
      <c r="G292" s="112" t="s">
        <v>46</v>
      </c>
      <c r="H292" s="112" t="s">
        <v>21</v>
      </c>
      <c r="I292" s="130">
        <v>19575</v>
      </c>
      <c r="J292" s="130">
        <v>0</v>
      </c>
      <c r="K292" s="130">
        <v>19575</v>
      </c>
      <c r="L292" s="130">
        <v>19575</v>
      </c>
      <c r="M292" s="130"/>
      <c r="N292" s="131">
        <f t="shared" si="19"/>
        <v>0</v>
      </c>
      <c r="O292" s="132" t="s">
        <v>325</v>
      </c>
      <c r="P292" s="112"/>
    </row>
    <row r="293" s="89" customFormat="1" spans="1:17">
      <c r="A293" s="122">
        <v>45901</v>
      </c>
      <c r="B293" s="116" t="s">
        <v>285</v>
      </c>
      <c r="C293" s="78" t="s">
        <v>322</v>
      </c>
      <c r="D293" s="116" t="s">
        <v>323</v>
      </c>
      <c r="E293" s="116" t="s">
        <v>324</v>
      </c>
      <c r="F293" s="151">
        <v>45916</v>
      </c>
      <c r="G293" s="116" t="s">
        <v>86</v>
      </c>
      <c r="H293" s="112" t="s">
        <v>21</v>
      </c>
      <c r="I293" s="139">
        <v>19575</v>
      </c>
      <c r="J293" s="139">
        <v>0</v>
      </c>
      <c r="K293" s="139">
        <f t="shared" ref="K293:K297" si="21">I293-J293</f>
        <v>19575</v>
      </c>
      <c r="L293" s="139">
        <v>19575</v>
      </c>
      <c r="M293" s="139"/>
      <c r="N293" s="131">
        <f t="shared" si="19"/>
        <v>0</v>
      </c>
      <c r="O293" s="140" t="s">
        <v>326</v>
      </c>
      <c r="P293" s="141"/>
      <c r="Q293" s="89" t="s">
        <v>51</v>
      </c>
    </row>
    <row r="294" s="89" customFormat="1" spans="1:16">
      <c r="A294" s="122">
        <v>45901</v>
      </c>
      <c r="B294" s="116" t="s">
        <v>285</v>
      </c>
      <c r="C294" s="165" t="s">
        <v>327</v>
      </c>
      <c r="D294" s="141" t="s">
        <v>328</v>
      </c>
      <c r="E294" s="141" t="s">
        <v>329</v>
      </c>
      <c r="F294" s="151">
        <v>45916</v>
      </c>
      <c r="G294" s="175" t="s">
        <v>330</v>
      </c>
      <c r="H294" s="141" t="s">
        <v>23</v>
      </c>
      <c r="I294" s="139">
        <v>7501.68</v>
      </c>
      <c r="J294" s="139">
        <v>0</v>
      </c>
      <c r="K294" s="139">
        <f t="shared" si="21"/>
        <v>7501.68</v>
      </c>
      <c r="L294" s="139">
        <f>1716.08+5000+785.6</f>
        <v>7501.68</v>
      </c>
      <c r="M294" s="139"/>
      <c r="N294" s="131">
        <f t="shared" si="19"/>
        <v>0</v>
      </c>
      <c r="O294" s="140" t="s">
        <v>331</v>
      </c>
      <c r="P294" s="167"/>
    </row>
    <row r="295" s="89" customFormat="1" spans="1:16">
      <c r="A295" s="122">
        <v>45901</v>
      </c>
      <c r="B295" s="116" t="s">
        <v>285</v>
      </c>
      <c r="C295" s="165" t="s">
        <v>327</v>
      </c>
      <c r="D295" s="141" t="s">
        <v>328</v>
      </c>
      <c r="E295" s="141" t="s">
        <v>329</v>
      </c>
      <c r="F295" s="151">
        <v>45916</v>
      </c>
      <c r="G295" s="175" t="s">
        <v>330</v>
      </c>
      <c r="H295" s="112" t="s">
        <v>21</v>
      </c>
      <c r="I295" s="139">
        <v>5001.68</v>
      </c>
      <c r="J295" s="139"/>
      <c r="K295" s="139">
        <f t="shared" si="21"/>
        <v>5001.68</v>
      </c>
      <c r="L295" s="139">
        <v>5001.68</v>
      </c>
      <c r="M295" s="139"/>
      <c r="N295" s="131">
        <f t="shared" si="19"/>
        <v>0</v>
      </c>
      <c r="O295" s="140" t="s">
        <v>332</v>
      </c>
      <c r="P295" s="167"/>
    </row>
    <row r="296" s="89" customFormat="1" spans="1:16">
      <c r="A296" s="122">
        <v>45901</v>
      </c>
      <c r="B296" s="116" t="s">
        <v>285</v>
      </c>
      <c r="C296" s="165" t="s">
        <v>327</v>
      </c>
      <c r="D296" s="141" t="s">
        <v>328</v>
      </c>
      <c r="E296" s="141" t="s">
        <v>329</v>
      </c>
      <c r="F296" s="151">
        <v>45916</v>
      </c>
      <c r="G296" s="141" t="s">
        <v>333</v>
      </c>
      <c r="H296" s="141" t="s">
        <v>23</v>
      </c>
      <c r="I296" s="139">
        <v>7501.68</v>
      </c>
      <c r="J296" s="139">
        <v>0</v>
      </c>
      <c r="K296" s="139">
        <f t="shared" si="21"/>
        <v>7501.68</v>
      </c>
      <c r="L296" s="139">
        <v>7501.68</v>
      </c>
      <c r="M296" s="139"/>
      <c r="N296" s="131">
        <f t="shared" si="19"/>
        <v>0</v>
      </c>
      <c r="O296" s="140" t="s">
        <v>334</v>
      </c>
      <c r="P296" s="167" t="s">
        <v>167</v>
      </c>
    </row>
    <row r="297" s="89" customFormat="1" spans="1:16">
      <c r="A297" s="122">
        <v>45901</v>
      </c>
      <c r="B297" s="116" t="s">
        <v>285</v>
      </c>
      <c r="C297" s="165" t="s">
        <v>327</v>
      </c>
      <c r="D297" s="141" t="s">
        <v>328</v>
      </c>
      <c r="E297" s="141" t="s">
        <v>329</v>
      </c>
      <c r="F297" s="151">
        <v>45916</v>
      </c>
      <c r="G297" s="141" t="s">
        <v>333</v>
      </c>
      <c r="H297" s="112" t="s">
        <v>21</v>
      </c>
      <c r="I297" s="139">
        <v>7501.68</v>
      </c>
      <c r="J297" s="139">
        <v>0</v>
      </c>
      <c r="K297" s="139">
        <f t="shared" si="21"/>
        <v>7501.68</v>
      </c>
      <c r="L297" s="139">
        <v>7501.68</v>
      </c>
      <c r="M297" s="139"/>
      <c r="N297" s="131">
        <f t="shared" si="19"/>
        <v>0</v>
      </c>
      <c r="O297" s="140" t="s">
        <v>334</v>
      </c>
      <c r="P297" s="167" t="s">
        <v>167</v>
      </c>
    </row>
    <row r="298" s="88" customFormat="1" spans="1:16">
      <c r="A298" s="118">
        <v>45962</v>
      </c>
      <c r="B298" s="116" t="s">
        <v>285</v>
      </c>
      <c r="C298" s="119" t="s">
        <v>327</v>
      </c>
      <c r="D298" s="114" t="s">
        <v>328</v>
      </c>
      <c r="E298" s="114" t="s">
        <v>329</v>
      </c>
      <c r="F298" s="151">
        <v>45966</v>
      </c>
      <c r="G298" s="114" t="s">
        <v>299</v>
      </c>
      <c r="H298" s="114" t="s">
        <v>23</v>
      </c>
      <c r="I298" s="131">
        <v>2500.56</v>
      </c>
      <c r="J298" s="131"/>
      <c r="K298" s="136">
        <v>2500.56</v>
      </c>
      <c r="L298" s="136">
        <v>2500.56</v>
      </c>
      <c r="M298" s="136"/>
      <c r="N298" s="131">
        <f t="shared" si="19"/>
        <v>0</v>
      </c>
      <c r="O298" s="137" t="s">
        <v>335</v>
      </c>
      <c r="P298" s="138"/>
    </row>
    <row r="299" s="88" customFormat="1" spans="1:16">
      <c r="A299" s="118">
        <v>45962</v>
      </c>
      <c r="B299" s="116" t="s">
        <v>285</v>
      </c>
      <c r="C299" s="119" t="s">
        <v>327</v>
      </c>
      <c r="D299" s="114" t="s">
        <v>328</v>
      </c>
      <c r="E299" s="114" t="s">
        <v>329</v>
      </c>
      <c r="F299" s="151">
        <v>45966</v>
      </c>
      <c r="G299" s="114" t="s">
        <v>300</v>
      </c>
      <c r="H299" s="114" t="s">
        <v>23</v>
      </c>
      <c r="I299" s="131">
        <v>2500.56</v>
      </c>
      <c r="J299" s="131"/>
      <c r="K299" s="136">
        <v>2500.56</v>
      </c>
      <c r="L299" s="136">
        <v>2500.56</v>
      </c>
      <c r="M299" s="136"/>
      <c r="N299" s="131">
        <f t="shared" si="19"/>
        <v>0</v>
      </c>
      <c r="O299" s="137" t="s">
        <v>335</v>
      </c>
      <c r="P299" s="138"/>
    </row>
    <row r="300" s="88" customFormat="1" spans="1:16">
      <c r="A300" s="118">
        <v>45962</v>
      </c>
      <c r="B300" s="116" t="s">
        <v>285</v>
      </c>
      <c r="C300" s="119" t="s">
        <v>327</v>
      </c>
      <c r="D300" s="114" t="s">
        <v>328</v>
      </c>
      <c r="E300" s="114" t="s">
        <v>329</v>
      </c>
      <c r="F300" s="151">
        <v>45966</v>
      </c>
      <c r="G300" s="114" t="s">
        <v>301</v>
      </c>
      <c r="H300" s="114" t="s">
        <v>23</v>
      </c>
      <c r="I300" s="131">
        <v>2500.56</v>
      </c>
      <c r="J300" s="131"/>
      <c r="K300" s="136">
        <v>2500.56</v>
      </c>
      <c r="L300" s="136">
        <v>2500.56</v>
      </c>
      <c r="M300" s="136"/>
      <c r="N300" s="131">
        <f t="shared" si="19"/>
        <v>0</v>
      </c>
      <c r="O300" s="137" t="s">
        <v>335</v>
      </c>
      <c r="P300" s="138"/>
    </row>
    <row r="301" s="88" customFormat="1" spans="1:16">
      <c r="A301" s="118">
        <v>45962</v>
      </c>
      <c r="B301" s="116" t="s">
        <v>285</v>
      </c>
      <c r="C301" s="119" t="s">
        <v>327</v>
      </c>
      <c r="D301" s="114" t="s">
        <v>328</v>
      </c>
      <c r="E301" s="114" t="s">
        <v>329</v>
      </c>
      <c r="F301" s="151">
        <v>45966</v>
      </c>
      <c r="G301" s="114" t="s">
        <v>299</v>
      </c>
      <c r="H301" s="112" t="s">
        <v>21</v>
      </c>
      <c r="I301" s="131">
        <v>2500.56</v>
      </c>
      <c r="J301" s="131"/>
      <c r="K301" s="136">
        <v>2500.56</v>
      </c>
      <c r="L301" s="136">
        <v>2500.56</v>
      </c>
      <c r="M301" s="136"/>
      <c r="N301" s="131">
        <f t="shared" si="19"/>
        <v>0</v>
      </c>
      <c r="O301" s="137" t="s">
        <v>335</v>
      </c>
      <c r="P301" s="138"/>
    </row>
    <row r="302" s="88" customFormat="1" spans="1:16">
      <c r="A302" s="118">
        <v>45962</v>
      </c>
      <c r="B302" s="116" t="s">
        <v>285</v>
      </c>
      <c r="C302" s="119" t="s">
        <v>327</v>
      </c>
      <c r="D302" s="114" t="s">
        <v>328</v>
      </c>
      <c r="E302" s="114" t="s">
        <v>329</v>
      </c>
      <c r="F302" s="151">
        <v>45966</v>
      </c>
      <c r="G302" s="114" t="s">
        <v>300</v>
      </c>
      <c r="H302" s="112" t="s">
        <v>21</v>
      </c>
      <c r="I302" s="131">
        <v>2500.56</v>
      </c>
      <c r="J302" s="131"/>
      <c r="K302" s="136">
        <v>2500.56</v>
      </c>
      <c r="L302" s="136">
        <v>2500.56</v>
      </c>
      <c r="M302" s="136"/>
      <c r="N302" s="131">
        <f t="shared" si="19"/>
        <v>0</v>
      </c>
      <c r="O302" s="137" t="s">
        <v>335</v>
      </c>
      <c r="P302" s="138"/>
    </row>
    <row r="303" s="88" customFormat="1" spans="1:16">
      <c r="A303" s="118">
        <v>45962</v>
      </c>
      <c r="B303" s="116" t="s">
        <v>285</v>
      </c>
      <c r="C303" s="119" t="s">
        <v>327</v>
      </c>
      <c r="D303" s="114" t="s">
        <v>328</v>
      </c>
      <c r="E303" s="114" t="s">
        <v>329</v>
      </c>
      <c r="F303" s="151">
        <v>45966</v>
      </c>
      <c r="G303" s="114" t="s">
        <v>301</v>
      </c>
      <c r="H303" s="112" t="s">
        <v>21</v>
      </c>
      <c r="I303" s="131">
        <v>2500.56</v>
      </c>
      <c r="J303" s="131"/>
      <c r="K303" s="136">
        <v>2500.56</v>
      </c>
      <c r="L303" s="136">
        <v>2500.56</v>
      </c>
      <c r="M303" s="136"/>
      <c r="N303" s="131">
        <f t="shared" si="19"/>
        <v>0</v>
      </c>
      <c r="O303" s="137" t="s">
        <v>335</v>
      </c>
      <c r="P303" s="138"/>
    </row>
    <row r="304" s="86" customFormat="1" spans="1:16">
      <c r="A304" s="111">
        <v>45839</v>
      </c>
      <c r="B304" s="116" t="s">
        <v>285</v>
      </c>
      <c r="C304" s="113" t="s">
        <v>336</v>
      </c>
      <c r="D304" s="112" t="s">
        <v>337</v>
      </c>
      <c r="E304" s="112" t="s">
        <v>338</v>
      </c>
      <c r="F304" s="151">
        <v>45824</v>
      </c>
      <c r="G304" s="112" t="s">
        <v>46</v>
      </c>
      <c r="H304" s="112" t="s">
        <v>21</v>
      </c>
      <c r="I304" s="130">
        <v>34440</v>
      </c>
      <c r="J304" s="130">
        <v>0</v>
      </c>
      <c r="K304" s="130">
        <v>34440</v>
      </c>
      <c r="L304" s="130">
        <v>34440</v>
      </c>
      <c r="M304" s="130"/>
      <c r="N304" s="131">
        <f t="shared" si="19"/>
        <v>0</v>
      </c>
      <c r="O304" s="132" t="s">
        <v>339</v>
      </c>
      <c r="P304" s="112"/>
    </row>
    <row r="305" s="86" customFormat="1" spans="1:16">
      <c r="A305" s="111">
        <v>45839</v>
      </c>
      <c r="B305" s="116" t="s">
        <v>285</v>
      </c>
      <c r="C305" s="113" t="s">
        <v>336</v>
      </c>
      <c r="D305" s="112" t="s">
        <v>337</v>
      </c>
      <c r="E305" s="112" t="s">
        <v>338</v>
      </c>
      <c r="F305" s="151">
        <v>45824</v>
      </c>
      <c r="G305" s="112" t="s">
        <v>46</v>
      </c>
      <c r="H305" s="112" t="s">
        <v>23</v>
      </c>
      <c r="I305" s="130">
        <v>12915</v>
      </c>
      <c r="J305" s="130">
        <v>0</v>
      </c>
      <c r="K305" s="130">
        <v>12915</v>
      </c>
      <c r="L305" s="130">
        <v>12915</v>
      </c>
      <c r="M305" s="130"/>
      <c r="N305" s="131">
        <f t="shared" si="19"/>
        <v>0</v>
      </c>
      <c r="O305" s="132" t="s">
        <v>340</v>
      </c>
      <c r="P305" s="112"/>
    </row>
    <row r="306" s="89" customFormat="1" spans="1:17">
      <c r="A306" s="122">
        <v>45901</v>
      </c>
      <c r="B306" s="116" t="s">
        <v>285</v>
      </c>
      <c r="C306" s="78" t="s">
        <v>336</v>
      </c>
      <c r="D306" s="116" t="s">
        <v>337</v>
      </c>
      <c r="E306" s="116" t="s">
        <v>338</v>
      </c>
      <c r="F306" s="151">
        <v>45916</v>
      </c>
      <c r="G306" s="116" t="s">
        <v>341</v>
      </c>
      <c r="H306" s="116" t="s">
        <v>23</v>
      </c>
      <c r="I306" s="139">
        <v>7092.52</v>
      </c>
      <c r="J306" s="139">
        <v>0</v>
      </c>
      <c r="K306" s="139">
        <f t="shared" ref="K306:K309" si="22">I306-J306</f>
        <v>7092.52</v>
      </c>
      <c r="L306" s="139">
        <v>7092.52</v>
      </c>
      <c r="M306" s="139"/>
      <c r="N306" s="131">
        <f t="shared" si="19"/>
        <v>0</v>
      </c>
      <c r="O306" s="140" t="s">
        <v>342</v>
      </c>
      <c r="P306" s="141"/>
      <c r="Q306" s="89" t="s">
        <v>51</v>
      </c>
    </row>
    <row r="307" s="89" customFormat="1" spans="1:17">
      <c r="A307" s="122">
        <v>45901</v>
      </c>
      <c r="B307" s="116" t="s">
        <v>285</v>
      </c>
      <c r="C307" s="78" t="s">
        <v>336</v>
      </c>
      <c r="D307" s="116" t="s">
        <v>337</v>
      </c>
      <c r="E307" s="116" t="s">
        <v>338</v>
      </c>
      <c r="F307" s="151">
        <v>45916</v>
      </c>
      <c r="G307" s="116" t="s">
        <v>343</v>
      </c>
      <c r="H307" s="116" t="s">
        <v>23</v>
      </c>
      <c r="I307" s="139">
        <v>6286.48</v>
      </c>
      <c r="J307" s="139">
        <v>0</v>
      </c>
      <c r="K307" s="139">
        <f t="shared" si="22"/>
        <v>6286.48</v>
      </c>
      <c r="L307" s="139">
        <v>6286.48</v>
      </c>
      <c r="M307" s="139"/>
      <c r="N307" s="131">
        <f t="shared" si="19"/>
        <v>0</v>
      </c>
      <c r="O307" s="140" t="s">
        <v>342</v>
      </c>
      <c r="P307" s="141"/>
      <c r="Q307" s="89" t="s">
        <v>51</v>
      </c>
    </row>
    <row r="308" s="89" customFormat="1" spans="1:17">
      <c r="A308" s="122">
        <v>45901</v>
      </c>
      <c r="B308" s="116" t="s">
        <v>285</v>
      </c>
      <c r="C308" s="78" t="s">
        <v>336</v>
      </c>
      <c r="D308" s="116" t="s">
        <v>337</v>
      </c>
      <c r="E308" s="116" t="s">
        <v>338</v>
      </c>
      <c r="F308" s="151">
        <v>45916</v>
      </c>
      <c r="G308" s="116" t="s">
        <v>341</v>
      </c>
      <c r="H308" s="112" t="s">
        <v>21</v>
      </c>
      <c r="I308" s="139">
        <v>18913.38</v>
      </c>
      <c r="J308" s="139">
        <v>0</v>
      </c>
      <c r="K308" s="139">
        <f t="shared" si="22"/>
        <v>18913.38</v>
      </c>
      <c r="L308" s="139">
        <v>18913.38</v>
      </c>
      <c r="M308" s="139"/>
      <c r="N308" s="131">
        <f t="shared" si="19"/>
        <v>0</v>
      </c>
      <c r="O308" s="140" t="s">
        <v>342</v>
      </c>
      <c r="P308" s="141"/>
      <c r="Q308" s="89" t="s">
        <v>51</v>
      </c>
    </row>
    <row r="309" s="89" customFormat="1" spans="1:17">
      <c r="A309" s="122">
        <v>45901</v>
      </c>
      <c r="B309" s="116" t="s">
        <v>285</v>
      </c>
      <c r="C309" s="78" t="s">
        <v>336</v>
      </c>
      <c r="D309" s="116" t="s">
        <v>337</v>
      </c>
      <c r="E309" s="116" t="s">
        <v>338</v>
      </c>
      <c r="F309" s="151">
        <v>45916</v>
      </c>
      <c r="G309" s="116" t="s">
        <v>343</v>
      </c>
      <c r="H309" s="112" t="s">
        <v>21</v>
      </c>
      <c r="I309" s="139">
        <v>16763.95</v>
      </c>
      <c r="J309" s="139">
        <v>0</v>
      </c>
      <c r="K309" s="139">
        <f t="shared" si="22"/>
        <v>16763.95</v>
      </c>
      <c r="L309" s="139">
        <v>16763.95</v>
      </c>
      <c r="M309" s="139"/>
      <c r="N309" s="131">
        <f t="shared" si="19"/>
        <v>0</v>
      </c>
      <c r="O309" s="140" t="s">
        <v>342</v>
      </c>
      <c r="P309" s="141"/>
      <c r="Q309" s="89" t="s">
        <v>51</v>
      </c>
    </row>
    <row r="310" s="88" customFormat="1" spans="1:16">
      <c r="A310" s="118">
        <v>45931</v>
      </c>
      <c r="B310" s="116" t="s">
        <v>285</v>
      </c>
      <c r="C310" s="119" t="s">
        <v>336</v>
      </c>
      <c r="D310" s="114" t="s">
        <v>337</v>
      </c>
      <c r="E310" s="114" t="s">
        <v>338</v>
      </c>
      <c r="F310" s="151">
        <v>45961</v>
      </c>
      <c r="G310" s="114" t="s">
        <v>344</v>
      </c>
      <c r="H310" s="121" t="s">
        <v>30</v>
      </c>
      <c r="I310" s="131">
        <v>250</v>
      </c>
      <c r="J310" s="131"/>
      <c r="K310" s="136">
        <v>250</v>
      </c>
      <c r="L310" s="136">
        <v>250</v>
      </c>
      <c r="M310" s="136"/>
      <c r="N310" s="131">
        <f t="shared" si="19"/>
        <v>0</v>
      </c>
      <c r="O310" s="137" t="s">
        <v>345</v>
      </c>
      <c r="P310" s="138"/>
    </row>
    <row r="311" s="88" customFormat="1" spans="1:16">
      <c r="A311" s="118">
        <v>45931</v>
      </c>
      <c r="B311" s="116" t="s">
        <v>285</v>
      </c>
      <c r="C311" s="119" t="s">
        <v>336</v>
      </c>
      <c r="D311" s="114" t="s">
        <v>337</v>
      </c>
      <c r="E311" s="114" t="s">
        <v>338</v>
      </c>
      <c r="F311" s="151">
        <v>45961</v>
      </c>
      <c r="G311" s="114" t="s">
        <v>346</v>
      </c>
      <c r="H311" s="121" t="s">
        <v>30</v>
      </c>
      <c r="I311" s="131">
        <v>250</v>
      </c>
      <c r="J311" s="131"/>
      <c r="K311" s="136">
        <v>250</v>
      </c>
      <c r="L311" s="136">
        <v>250</v>
      </c>
      <c r="M311" s="136"/>
      <c r="N311" s="131">
        <f t="shared" si="19"/>
        <v>0</v>
      </c>
      <c r="O311" s="137" t="s">
        <v>345</v>
      </c>
      <c r="P311" s="138"/>
    </row>
    <row r="312" s="88" customFormat="1" spans="1:16">
      <c r="A312" s="118">
        <v>45931</v>
      </c>
      <c r="B312" s="116" t="s">
        <v>285</v>
      </c>
      <c r="C312" s="119" t="s">
        <v>336</v>
      </c>
      <c r="D312" s="114" t="s">
        <v>337</v>
      </c>
      <c r="E312" s="114" t="s">
        <v>338</v>
      </c>
      <c r="F312" s="151">
        <v>45961</v>
      </c>
      <c r="G312" s="114" t="s">
        <v>347</v>
      </c>
      <c r="H312" s="121" t="s">
        <v>30</v>
      </c>
      <c r="I312" s="131">
        <v>250</v>
      </c>
      <c r="J312" s="131"/>
      <c r="K312" s="136">
        <v>250</v>
      </c>
      <c r="L312" s="136">
        <v>250</v>
      </c>
      <c r="M312" s="136"/>
      <c r="N312" s="131">
        <f t="shared" si="19"/>
        <v>0</v>
      </c>
      <c r="O312" s="137" t="s">
        <v>345</v>
      </c>
      <c r="P312" s="138"/>
    </row>
    <row r="313" s="88" customFormat="1" spans="1:16">
      <c r="A313" s="118">
        <v>45931</v>
      </c>
      <c r="B313" s="116" t="s">
        <v>285</v>
      </c>
      <c r="C313" s="119" t="s">
        <v>336</v>
      </c>
      <c r="D313" s="114" t="s">
        <v>337</v>
      </c>
      <c r="E313" s="114" t="s">
        <v>338</v>
      </c>
      <c r="F313" s="151">
        <v>45961</v>
      </c>
      <c r="G313" s="114" t="s">
        <v>348</v>
      </c>
      <c r="H313" s="121" t="s">
        <v>30</v>
      </c>
      <c r="I313" s="131">
        <v>250</v>
      </c>
      <c r="J313" s="131"/>
      <c r="K313" s="136">
        <v>250</v>
      </c>
      <c r="L313" s="136">
        <v>250</v>
      </c>
      <c r="M313" s="136"/>
      <c r="N313" s="131">
        <f t="shared" si="19"/>
        <v>0</v>
      </c>
      <c r="O313" s="137" t="s">
        <v>345</v>
      </c>
      <c r="P313" s="138"/>
    </row>
    <row r="314" s="88" customFormat="1" spans="1:16">
      <c r="A314" s="118">
        <v>45931</v>
      </c>
      <c r="B314" s="116" t="s">
        <v>285</v>
      </c>
      <c r="C314" s="119" t="s">
        <v>336</v>
      </c>
      <c r="D314" s="114" t="s">
        <v>337</v>
      </c>
      <c r="E314" s="114" t="s">
        <v>338</v>
      </c>
      <c r="F314" s="151">
        <v>45961</v>
      </c>
      <c r="G314" s="114" t="s">
        <v>349</v>
      </c>
      <c r="H314" s="121" t="s">
        <v>30</v>
      </c>
      <c r="I314" s="131">
        <v>250</v>
      </c>
      <c r="J314" s="131"/>
      <c r="K314" s="136">
        <v>250</v>
      </c>
      <c r="L314" s="136">
        <v>250</v>
      </c>
      <c r="M314" s="136"/>
      <c r="N314" s="131">
        <f t="shared" si="19"/>
        <v>0</v>
      </c>
      <c r="O314" s="137" t="s">
        <v>345</v>
      </c>
      <c r="P314" s="138"/>
    </row>
    <row r="315" s="88" customFormat="1" spans="1:16">
      <c r="A315" s="118">
        <v>45931</v>
      </c>
      <c r="B315" s="116" t="s">
        <v>285</v>
      </c>
      <c r="C315" s="119" t="s">
        <v>336</v>
      </c>
      <c r="D315" s="114" t="s">
        <v>337</v>
      </c>
      <c r="E315" s="114" t="s">
        <v>338</v>
      </c>
      <c r="F315" s="151">
        <v>45961</v>
      </c>
      <c r="G315" s="114" t="s">
        <v>350</v>
      </c>
      <c r="H315" s="121" t="s">
        <v>30</v>
      </c>
      <c r="I315" s="131">
        <v>250</v>
      </c>
      <c r="J315" s="131"/>
      <c r="K315" s="136">
        <v>250</v>
      </c>
      <c r="L315" s="136">
        <v>250</v>
      </c>
      <c r="M315" s="136"/>
      <c r="N315" s="131">
        <f t="shared" si="19"/>
        <v>0</v>
      </c>
      <c r="O315" s="137" t="s">
        <v>345</v>
      </c>
      <c r="P315" s="138"/>
    </row>
    <row r="316" s="88" customFormat="1" spans="1:16">
      <c r="A316" s="118">
        <v>45931</v>
      </c>
      <c r="B316" s="116" t="s">
        <v>285</v>
      </c>
      <c r="C316" s="119" t="s">
        <v>336</v>
      </c>
      <c r="D316" s="114" t="s">
        <v>337</v>
      </c>
      <c r="E316" s="114" t="s">
        <v>338</v>
      </c>
      <c r="F316" s="151">
        <v>45961</v>
      </c>
      <c r="G316" s="114" t="s">
        <v>351</v>
      </c>
      <c r="H316" s="121" t="s">
        <v>30</v>
      </c>
      <c r="I316" s="131">
        <v>250</v>
      </c>
      <c r="J316" s="131"/>
      <c r="K316" s="136">
        <v>250</v>
      </c>
      <c r="L316" s="136">
        <v>250</v>
      </c>
      <c r="M316" s="136"/>
      <c r="N316" s="131">
        <f t="shared" si="19"/>
        <v>0</v>
      </c>
      <c r="O316" s="137" t="s">
        <v>345</v>
      </c>
      <c r="P316" s="138"/>
    </row>
    <row r="317" s="88" customFormat="1" spans="1:16">
      <c r="A317" s="118">
        <v>45931</v>
      </c>
      <c r="B317" s="116" t="s">
        <v>285</v>
      </c>
      <c r="C317" s="119" t="s">
        <v>336</v>
      </c>
      <c r="D317" s="114" t="s">
        <v>337</v>
      </c>
      <c r="E317" s="114" t="s">
        <v>338</v>
      </c>
      <c r="F317" s="151">
        <v>45961</v>
      </c>
      <c r="G317" s="114" t="s">
        <v>352</v>
      </c>
      <c r="H317" s="121" t="s">
        <v>30</v>
      </c>
      <c r="I317" s="131">
        <v>250</v>
      </c>
      <c r="J317" s="131"/>
      <c r="K317" s="136">
        <v>250</v>
      </c>
      <c r="L317" s="136">
        <v>250</v>
      </c>
      <c r="M317" s="136"/>
      <c r="N317" s="131">
        <f t="shared" si="19"/>
        <v>0</v>
      </c>
      <c r="O317" s="137" t="s">
        <v>345</v>
      </c>
      <c r="P317" s="138"/>
    </row>
    <row r="318" s="88" customFormat="1" spans="1:16">
      <c r="A318" s="118">
        <v>45931</v>
      </c>
      <c r="B318" s="116" t="s">
        <v>285</v>
      </c>
      <c r="C318" s="119" t="s">
        <v>336</v>
      </c>
      <c r="D318" s="114" t="s">
        <v>337</v>
      </c>
      <c r="E318" s="114" t="s">
        <v>338</v>
      </c>
      <c r="F318" s="151">
        <v>45961</v>
      </c>
      <c r="G318" s="114" t="s">
        <v>170</v>
      </c>
      <c r="H318" s="121" t="s">
        <v>30</v>
      </c>
      <c r="I318" s="131">
        <v>250</v>
      </c>
      <c r="J318" s="131"/>
      <c r="K318" s="136">
        <v>250</v>
      </c>
      <c r="L318" s="136">
        <v>250</v>
      </c>
      <c r="M318" s="136"/>
      <c r="N318" s="131">
        <f t="shared" si="19"/>
        <v>0</v>
      </c>
      <c r="O318" s="137" t="s">
        <v>345</v>
      </c>
      <c r="P318" s="138"/>
    </row>
    <row r="319" s="88" customFormat="1" spans="1:16">
      <c r="A319" s="118">
        <v>45931</v>
      </c>
      <c r="B319" s="116" t="s">
        <v>285</v>
      </c>
      <c r="C319" s="119" t="s">
        <v>336</v>
      </c>
      <c r="D319" s="114" t="s">
        <v>337</v>
      </c>
      <c r="E319" s="114" t="s">
        <v>338</v>
      </c>
      <c r="F319" s="151">
        <v>45961</v>
      </c>
      <c r="G319" s="114" t="s">
        <v>172</v>
      </c>
      <c r="H319" s="121" t="s">
        <v>30</v>
      </c>
      <c r="I319" s="131">
        <v>250</v>
      </c>
      <c r="J319" s="131"/>
      <c r="K319" s="136">
        <v>250</v>
      </c>
      <c r="L319" s="136">
        <v>250</v>
      </c>
      <c r="M319" s="136"/>
      <c r="N319" s="131">
        <f t="shared" si="19"/>
        <v>0</v>
      </c>
      <c r="O319" s="137" t="s">
        <v>345</v>
      </c>
      <c r="P319" s="138"/>
    </row>
    <row r="320" s="88" customFormat="1" spans="1:16">
      <c r="A320" s="118">
        <v>45931</v>
      </c>
      <c r="B320" s="116" t="s">
        <v>285</v>
      </c>
      <c r="C320" s="119" t="s">
        <v>336</v>
      </c>
      <c r="D320" s="114" t="s">
        <v>337</v>
      </c>
      <c r="E320" s="114" t="s">
        <v>338</v>
      </c>
      <c r="F320" s="151">
        <v>45961</v>
      </c>
      <c r="G320" s="114" t="s">
        <v>173</v>
      </c>
      <c r="H320" s="121" t="s">
        <v>30</v>
      </c>
      <c r="I320" s="131">
        <v>250</v>
      </c>
      <c r="J320" s="131"/>
      <c r="K320" s="136">
        <v>250</v>
      </c>
      <c r="L320" s="136">
        <v>250</v>
      </c>
      <c r="M320" s="136"/>
      <c r="N320" s="131">
        <f t="shared" si="19"/>
        <v>0</v>
      </c>
      <c r="O320" s="137" t="s">
        <v>345</v>
      </c>
      <c r="P320" s="138"/>
    </row>
    <row r="321" s="88" customFormat="1" spans="1:16">
      <c r="A321" s="118">
        <v>45931</v>
      </c>
      <c r="B321" s="116" t="s">
        <v>285</v>
      </c>
      <c r="C321" s="119" t="s">
        <v>336</v>
      </c>
      <c r="D321" s="114" t="s">
        <v>337</v>
      </c>
      <c r="E321" s="114" t="s">
        <v>338</v>
      </c>
      <c r="F321" s="151">
        <v>45961</v>
      </c>
      <c r="G321" s="114" t="s">
        <v>353</v>
      </c>
      <c r="H321" s="121" t="s">
        <v>30</v>
      </c>
      <c r="I321" s="131">
        <v>250</v>
      </c>
      <c r="J321" s="131"/>
      <c r="K321" s="136">
        <v>250</v>
      </c>
      <c r="L321" s="136">
        <v>250</v>
      </c>
      <c r="M321" s="136"/>
      <c r="N321" s="131">
        <f t="shared" si="19"/>
        <v>0</v>
      </c>
      <c r="O321" s="137" t="s">
        <v>345</v>
      </c>
      <c r="P321" s="138"/>
    </row>
    <row r="322" s="86" customFormat="1" spans="1:16">
      <c r="A322" s="111">
        <v>45839</v>
      </c>
      <c r="B322" s="116" t="s">
        <v>285</v>
      </c>
      <c r="C322" s="113" t="s">
        <v>354</v>
      </c>
      <c r="D322" s="112" t="s">
        <v>355</v>
      </c>
      <c r="E322" s="112" t="s">
        <v>356</v>
      </c>
      <c r="F322" s="151">
        <v>45824</v>
      </c>
      <c r="G322" s="112" t="s">
        <v>58</v>
      </c>
      <c r="H322" s="112" t="s">
        <v>21</v>
      </c>
      <c r="I322" s="130">
        <v>3150</v>
      </c>
      <c r="J322" s="130">
        <v>0</v>
      </c>
      <c r="K322" s="130">
        <v>3150</v>
      </c>
      <c r="L322" s="130">
        <v>3150</v>
      </c>
      <c r="M322" s="130"/>
      <c r="N322" s="131">
        <f t="shared" si="19"/>
        <v>0</v>
      </c>
      <c r="O322" s="132" t="s">
        <v>271</v>
      </c>
      <c r="P322" s="112"/>
    </row>
    <row r="323" s="86" customFormat="1" spans="1:16">
      <c r="A323" s="111">
        <v>45839</v>
      </c>
      <c r="B323" s="116" t="s">
        <v>285</v>
      </c>
      <c r="C323" s="113" t="s">
        <v>354</v>
      </c>
      <c r="D323" s="112" t="s">
        <v>355</v>
      </c>
      <c r="E323" s="112" t="s">
        <v>356</v>
      </c>
      <c r="F323" s="151">
        <v>45824</v>
      </c>
      <c r="G323" s="112" t="s">
        <v>20</v>
      </c>
      <c r="H323" s="112" t="s">
        <v>21</v>
      </c>
      <c r="I323" s="130">
        <v>6000</v>
      </c>
      <c r="J323" s="130">
        <v>0</v>
      </c>
      <c r="K323" s="130">
        <v>6000</v>
      </c>
      <c r="L323" s="130">
        <v>6000</v>
      </c>
      <c r="M323" s="130"/>
      <c r="N323" s="131">
        <f t="shared" ref="N323:N386" si="23">K323-L323</f>
        <v>0</v>
      </c>
      <c r="O323" s="132" t="s">
        <v>271</v>
      </c>
      <c r="P323" s="112"/>
    </row>
    <row r="324" s="86" customFormat="1" spans="1:16">
      <c r="A324" s="111">
        <v>45839</v>
      </c>
      <c r="B324" s="116" t="s">
        <v>285</v>
      </c>
      <c r="C324" s="113" t="s">
        <v>354</v>
      </c>
      <c r="D324" s="112" t="s">
        <v>355</v>
      </c>
      <c r="E324" s="112" t="s">
        <v>356</v>
      </c>
      <c r="F324" s="151">
        <v>45824</v>
      </c>
      <c r="G324" s="112" t="s">
        <v>20</v>
      </c>
      <c r="H324" s="112" t="s">
        <v>23</v>
      </c>
      <c r="I324" s="130">
        <v>4000</v>
      </c>
      <c r="J324" s="130">
        <v>0</v>
      </c>
      <c r="K324" s="130">
        <v>4000</v>
      </c>
      <c r="L324" s="130">
        <v>4000</v>
      </c>
      <c r="M324" s="130"/>
      <c r="N324" s="131">
        <f t="shared" si="23"/>
        <v>0</v>
      </c>
      <c r="O324" s="132" t="s">
        <v>271</v>
      </c>
      <c r="P324" s="112"/>
    </row>
    <row r="325" s="86" customFormat="1" spans="1:16">
      <c r="A325" s="111">
        <v>45839</v>
      </c>
      <c r="B325" s="116" t="s">
        <v>285</v>
      </c>
      <c r="C325" s="113" t="s">
        <v>354</v>
      </c>
      <c r="D325" s="112" t="s">
        <v>355</v>
      </c>
      <c r="E325" s="112" t="s">
        <v>356</v>
      </c>
      <c r="F325" s="151">
        <v>45824</v>
      </c>
      <c r="G325" s="112" t="s">
        <v>58</v>
      </c>
      <c r="H325" s="112" t="s">
        <v>23</v>
      </c>
      <c r="I325" s="130">
        <v>2100</v>
      </c>
      <c r="J325" s="130">
        <v>0</v>
      </c>
      <c r="K325" s="130">
        <v>2100</v>
      </c>
      <c r="L325" s="130">
        <v>2100</v>
      </c>
      <c r="M325" s="130"/>
      <c r="N325" s="131">
        <f t="shared" si="23"/>
        <v>0</v>
      </c>
      <c r="O325" s="132" t="s">
        <v>271</v>
      </c>
      <c r="P325" s="112"/>
    </row>
    <row r="326" s="86" customFormat="1" spans="1:16">
      <c r="A326" s="111">
        <v>45870</v>
      </c>
      <c r="B326" s="116" t="s">
        <v>285</v>
      </c>
      <c r="C326" s="113" t="s">
        <v>354</v>
      </c>
      <c r="D326" s="112" t="s">
        <v>355</v>
      </c>
      <c r="E326" s="112" t="s">
        <v>356</v>
      </c>
      <c r="F326" s="151">
        <v>45900</v>
      </c>
      <c r="G326" s="112" t="s">
        <v>357</v>
      </c>
      <c r="H326" s="121" t="s">
        <v>30</v>
      </c>
      <c r="I326" s="159">
        <v>3000</v>
      </c>
      <c r="J326" s="133">
        <v>0</v>
      </c>
      <c r="K326" s="133">
        <f t="shared" ref="K326:K328" si="24">I326-J326</f>
        <v>3000</v>
      </c>
      <c r="L326" s="133">
        <v>3000</v>
      </c>
      <c r="M326" s="133"/>
      <c r="N326" s="131">
        <f t="shared" si="23"/>
        <v>0</v>
      </c>
      <c r="O326" s="132" t="s">
        <v>111</v>
      </c>
      <c r="P326" s="112"/>
    </row>
    <row r="327" s="89" customFormat="1" spans="1:17">
      <c r="A327" s="122">
        <v>45901</v>
      </c>
      <c r="B327" s="116" t="s">
        <v>285</v>
      </c>
      <c r="C327" s="78" t="s">
        <v>354</v>
      </c>
      <c r="D327" s="116" t="s">
        <v>355</v>
      </c>
      <c r="E327" s="116" t="s">
        <v>356</v>
      </c>
      <c r="F327" s="151">
        <v>45916</v>
      </c>
      <c r="G327" s="116" t="s">
        <v>86</v>
      </c>
      <c r="H327" s="116" t="s">
        <v>23</v>
      </c>
      <c r="I327" s="139">
        <v>6300</v>
      </c>
      <c r="J327" s="139">
        <v>0</v>
      </c>
      <c r="K327" s="139">
        <f t="shared" si="24"/>
        <v>6300</v>
      </c>
      <c r="L327" s="139">
        <v>6300</v>
      </c>
      <c r="M327" s="139"/>
      <c r="N327" s="131">
        <f t="shared" si="23"/>
        <v>0</v>
      </c>
      <c r="O327" s="140" t="s">
        <v>284</v>
      </c>
      <c r="P327" s="141"/>
      <c r="Q327" s="89" t="s">
        <v>51</v>
      </c>
    </row>
    <row r="328" s="89" customFormat="1" spans="1:17">
      <c r="A328" s="122">
        <v>45901</v>
      </c>
      <c r="B328" s="116" t="s">
        <v>285</v>
      </c>
      <c r="C328" s="78" t="s">
        <v>354</v>
      </c>
      <c r="D328" s="116" t="s">
        <v>355</v>
      </c>
      <c r="E328" s="116" t="s">
        <v>356</v>
      </c>
      <c r="F328" s="151">
        <v>45916</v>
      </c>
      <c r="G328" s="116" t="s">
        <v>86</v>
      </c>
      <c r="H328" s="112" t="s">
        <v>21</v>
      </c>
      <c r="I328" s="139">
        <v>9450</v>
      </c>
      <c r="J328" s="139">
        <v>0</v>
      </c>
      <c r="K328" s="139">
        <f t="shared" si="24"/>
        <v>9450</v>
      </c>
      <c r="L328" s="139">
        <v>9450</v>
      </c>
      <c r="M328" s="139"/>
      <c r="N328" s="131">
        <f t="shared" si="23"/>
        <v>0</v>
      </c>
      <c r="O328" s="140" t="s">
        <v>284</v>
      </c>
      <c r="P328" s="141"/>
      <c r="Q328" s="89" t="s">
        <v>51</v>
      </c>
    </row>
    <row r="329" s="86" customFormat="1" spans="1:16">
      <c r="A329" s="111">
        <v>45839</v>
      </c>
      <c r="B329" s="116" t="s">
        <v>285</v>
      </c>
      <c r="C329" s="113" t="s">
        <v>358</v>
      </c>
      <c r="D329" s="112" t="s">
        <v>359</v>
      </c>
      <c r="E329" s="112" t="s">
        <v>360</v>
      </c>
      <c r="F329" s="151">
        <v>45824</v>
      </c>
      <c r="G329" s="112" t="s">
        <v>46</v>
      </c>
      <c r="H329" s="112" t="s">
        <v>23</v>
      </c>
      <c r="I329" s="130">
        <v>7020</v>
      </c>
      <c r="J329" s="130">
        <v>0</v>
      </c>
      <c r="K329" s="130">
        <v>7020</v>
      </c>
      <c r="L329" s="130">
        <v>7020</v>
      </c>
      <c r="M329" s="130"/>
      <c r="N329" s="131">
        <f t="shared" si="23"/>
        <v>0</v>
      </c>
      <c r="O329" s="132" t="s">
        <v>361</v>
      </c>
      <c r="P329" s="112"/>
    </row>
    <row r="330" s="86" customFormat="1" spans="1:16">
      <c r="A330" s="111">
        <v>45839</v>
      </c>
      <c r="B330" s="116" t="s">
        <v>285</v>
      </c>
      <c r="C330" s="113" t="s">
        <v>358</v>
      </c>
      <c r="D330" s="112" t="s">
        <v>359</v>
      </c>
      <c r="E330" s="112" t="s">
        <v>360</v>
      </c>
      <c r="F330" s="151">
        <v>45824</v>
      </c>
      <c r="G330" s="112" t="s">
        <v>46</v>
      </c>
      <c r="H330" s="112" t="s">
        <v>21</v>
      </c>
      <c r="I330" s="130">
        <v>11126.7</v>
      </c>
      <c r="J330" s="130">
        <v>0</v>
      </c>
      <c r="K330" s="130">
        <v>11126.7</v>
      </c>
      <c r="L330" s="130">
        <v>11126.7</v>
      </c>
      <c r="M330" s="130"/>
      <c r="N330" s="131">
        <f t="shared" si="23"/>
        <v>0</v>
      </c>
      <c r="O330" s="132" t="s">
        <v>361</v>
      </c>
      <c r="P330" s="112"/>
    </row>
    <row r="331" s="89" customFormat="1" spans="1:17">
      <c r="A331" s="122">
        <v>45901</v>
      </c>
      <c r="B331" s="116" t="s">
        <v>285</v>
      </c>
      <c r="C331" s="78" t="s">
        <v>358</v>
      </c>
      <c r="D331" s="116" t="s">
        <v>359</v>
      </c>
      <c r="E331" s="116" t="s">
        <v>360</v>
      </c>
      <c r="F331" s="151">
        <v>45916</v>
      </c>
      <c r="G331" s="116" t="s">
        <v>86</v>
      </c>
      <c r="H331" s="116" t="s">
        <v>23</v>
      </c>
      <c r="I331" s="139">
        <v>7020</v>
      </c>
      <c r="J331" s="139">
        <v>0</v>
      </c>
      <c r="K331" s="139">
        <f t="shared" ref="K331:K336" si="25">I331-J331</f>
        <v>7020</v>
      </c>
      <c r="L331" s="139">
        <v>7020</v>
      </c>
      <c r="M331" s="139"/>
      <c r="N331" s="131">
        <f t="shared" si="23"/>
        <v>0</v>
      </c>
      <c r="O331" s="140" t="s">
        <v>61</v>
      </c>
      <c r="P331" s="141"/>
      <c r="Q331" s="89" t="s">
        <v>51</v>
      </c>
    </row>
    <row r="332" s="89" customFormat="1" spans="1:17">
      <c r="A332" s="122">
        <v>45901</v>
      </c>
      <c r="B332" s="116" t="s">
        <v>285</v>
      </c>
      <c r="C332" s="78" t="s">
        <v>358</v>
      </c>
      <c r="D332" s="116" t="s">
        <v>359</v>
      </c>
      <c r="E332" s="116" t="s">
        <v>360</v>
      </c>
      <c r="F332" s="151">
        <v>45916</v>
      </c>
      <c r="G332" s="116" t="s">
        <v>86</v>
      </c>
      <c r="H332" s="112" t="s">
        <v>21</v>
      </c>
      <c r="I332" s="139">
        <v>11126.7</v>
      </c>
      <c r="J332" s="139">
        <v>0</v>
      </c>
      <c r="K332" s="139">
        <f t="shared" si="25"/>
        <v>11126.7</v>
      </c>
      <c r="L332" s="139">
        <v>11126.7</v>
      </c>
      <c r="M332" s="139"/>
      <c r="N332" s="131">
        <f t="shared" si="23"/>
        <v>0</v>
      </c>
      <c r="O332" s="140" t="s">
        <v>362</v>
      </c>
      <c r="P332" s="141"/>
      <c r="Q332" s="89" t="s">
        <v>51</v>
      </c>
    </row>
    <row r="333" s="86" customFormat="1" spans="1:16">
      <c r="A333" s="111">
        <v>45839</v>
      </c>
      <c r="B333" s="116" t="s">
        <v>285</v>
      </c>
      <c r="C333" s="113" t="s">
        <v>363</v>
      </c>
      <c r="D333" s="112" t="s">
        <v>364</v>
      </c>
      <c r="E333" s="112" t="s">
        <v>365</v>
      </c>
      <c r="F333" s="151">
        <v>45824</v>
      </c>
      <c r="G333" s="112" t="s">
        <v>46</v>
      </c>
      <c r="H333" s="112" t="s">
        <v>23</v>
      </c>
      <c r="I333" s="130">
        <v>6000</v>
      </c>
      <c r="J333" s="130">
        <v>0</v>
      </c>
      <c r="K333" s="130">
        <v>6000</v>
      </c>
      <c r="L333" s="130">
        <v>6000</v>
      </c>
      <c r="M333" s="130"/>
      <c r="N333" s="131">
        <f t="shared" si="23"/>
        <v>0</v>
      </c>
      <c r="O333" s="132" t="s">
        <v>271</v>
      </c>
      <c r="P333" s="112"/>
    </row>
    <row r="334" s="86" customFormat="1" spans="1:16">
      <c r="A334" s="111">
        <v>45839</v>
      </c>
      <c r="B334" s="116" t="s">
        <v>285</v>
      </c>
      <c r="C334" s="113" t="s">
        <v>363</v>
      </c>
      <c r="D334" s="112" t="s">
        <v>364</v>
      </c>
      <c r="E334" s="112" t="s">
        <v>365</v>
      </c>
      <c r="F334" s="151">
        <v>45824</v>
      </c>
      <c r="G334" s="112" t="s">
        <v>46</v>
      </c>
      <c r="H334" s="112" t="s">
        <v>21</v>
      </c>
      <c r="I334" s="130">
        <v>7800</v>
      </c>
      <c r="J334" s="130">
        <v>0</v>
      </c>
      <c r="K334" s="130">
        <v>7800</v>
      </c>
      <c r="L334" s="130">
        <v>7800</v>
      </c>
      <c r="M334" s="130"/>
      <c r="N334" s="131">
        <f t="shared" si="23"/>
        <v>0</v>
      </c>
      <c r="O334" s="132" t="s">
        <v>271</v>
      </c>
      <c r="P334" s="112"/>
    </row>
    <row r="335" s="89" customFormat="1" spans="1:17">
      <c r="A335" s="122">
        <v>45901</v>
      </c>
      <c r="B335" s="116" t="s">
        <v>285</v>
      </c>
      <c r="C335" s="78" t="s">
        <v>363</v>
      </c>
      <c r="D335" s="116" t="s">
        <v>364</v>
      </c>
      <c r="E335" s="116" t="s">
        <v>365</v>
      </c>
      <c r="F335" s="151">
        <v>45916</v>
      </c>
      <c r="G335" s="116" t="s">
        <v>86</v>
      </c>
      <c r="H335" s="116" t="s">
        <v>23</v>
      </c>
      <c r="I335" s="139">
        <v>6000</v>
      </c>
      <c r="J335" s="139">
        <v>0</v>
      </c>
      <c r="K335" s="139">
        <f t="shared" si="25"/>
        <v>6000</v>
      </c>
      <c r="L335" s="139">
        <v>6000</v>
      </c>
      <c r="M335" s="139"/>
      <c r="N335" s="144">
        <f t="shared" si="23"/>
        <v>0</v>
      </c>
      <c r="O335" s="140" t="s">
        <v>366</v>
      </c>
      <c r="P335" s="141"/>
      <c r="Q335" s="89" t="s">
        <v>51</v>
      </c>
    </row>
    <row r="336" s="89" customFormat="1" spans="1:17">
      <c r="A336" s="122">
        <v>45901</v>
      </c>
      <c r="B336" s="116" t="s">
        <v>285</v>
      </c>
      <c r="C336" s="78" t="s">
        <v>363</v>
      </c>
      <c r="D336" s="116" t="s">
        <v>364</v>
      </c>
      <c r="E336" s="116" t="s">
        <v>365</v>
      </c>
      <c r="F336" s="151">
        <v>45916</v>
      </c>
      <c r="G336" s="116" t="s">
        <v>86</v>
      </c>
      <c r="H336" s="112" t="s">
        <v>21</v>
      </c>
      <c r="I336" s="139">
        <v>7800</v>
      </c>
      <c r="J336" s="139">
        <v>0</v>
      </c>
      <c r="K336" s="139">
        <f t="shared" si="25"/>
        <v>7800</v>
      </c>
      <c r="L336" s="139">
        <v>7800</v>
      </c>
      <c r="M336" s="139"/>
      <c r="N336" s="144">
        <f t="shared" si="23"/>
        <v>0</v>
      </c>
      <c r="O336" s="140" t="s">
        <v>366</v>
      </c>
      <c r="P336" s="141"/>
      <c r="Q336" s="89" t="s">
        <v>51</v>
      </c>
    </row>
    <row r="337" s="86" customFormat="1" spans="1:16">
      <c r="A337" s="111">
        <v>45839</v>
      </c>
      <c r="B337" s="116" t="s">
        <v>285</v>
      </c>
      <c r="C337" s="113" t="s">
        <v>367</v>
      </c>
      <c r="D337" s="112" t="s">
        <v>368</v>
      </c>
      <c r="E337" s="112" t="s">
        <v>369</v>
      </c>
      <c r="F337" s="151">
        <v>45824</v>
      </c>
      <c r="G337" s="112" t="s">
        <v>46</v>
      </c>
      <c r="H337" s="112" t="s">
        <v>21</v>
      </c>
      <c r="I337" s="130">
        <v>12600</v>
      </c>
      <c r="J337" s="130">
        <v>0</v>
      </c>
      <c r="K337" s="130">
        <v>12600</v>
      </c>
      <c r="L337" s="130">
        <v>12600</v>
      </c>
      <c r="M337" s="130"/>
      <c r="N337" s="131">
        <f t="shared" si="23"/>
        <v>0</v>
      </c>
      <c r="O337" s="132" t="s">
        <v>47</v>
      </c>
      <c r="P337" s="112"/>
    </row>
    <row r="338" s="86" customFormat="1" spans="1:16">
      <c r="A338" s="111">
        <v>45839</v>
      </c>
      <c r="B338" s="116" t="s">
        <v>285</v>
      </c>
      <c r="C338" s="113" t="s">
        <v>367</v>
      </c>
      <c r="D338" s="112" t="s">
        <v>368</v>
      </c>
      <c r="E338" s="112" t="s">
        <v>369</v>
      </c>
      <c r="F338" s="151">
        <v>45824</v>
      </c>
      <c r="G338" s="112" t="s">
        <v>46</v>
      </c>
      <c r="H338" s="112" t="s">
        <v>23</v>
      </c>
      <c r="I338" s="130">
        <v>5400</v>
      </c>
      <c r="J338" s="130">
        <v>0</v>
      </c>
      <c r="K338" s="130">
        <v>5400</v>
      </c>
      <c r="L338" s="130">
        <v>5400</v>
      </c>
      <c r="M338" s="130"/>
      <c r="N338" s="131">
        <f t="shared" si="23"/>
        <v>0</v>
      </c>
      <c r="O338" s="132" t="s">
        <v>47</v>
      </c>
      <c r="P338" s="112"/>
    </row>
    <row r="339" s="89" customFormat="1" spans="1:18">
      <c r="A339" s="122">
        <v>45901</v>
      </c>
      <c r="B339" s="116" t="s">
        <v>285</v>
      </c>
      <c r="C339" s="78" t="s">
        <v>367</v>
      </c>
      <c r="D339" s="116" t="s">
        <v>368</v>
      </c>
      <c r="E339" s="116" t="s">
        <v>369</v>
      </c>
      <c r="F339" s="151">
        <v>45916</v>
      </c>
      <c r="G339" s="116" t="s">
        <v>86</v>
      </c>
      <c r="H339" s="116" t="s">
        <v>23</v>
      </c>
      <c r="I339" s="139">
        <v>5400</v>
      </c>
      <c r="J339" s="139">
        <v>0</v>
      </c>
      <c r="K339" s="139">
        <f>I339-J339</f>
        <v>5400</v>
      </c>
      <c r="L339" s="139">
        <f>1800+1750+1800</f>
        <v>5350</v>
      </c>
      <c r="M339" s="139"/>
      <c r="N339" s="144">
        <f t="shared" si="23"/>
        <v>50</v>
      </c>
      <c r="O339" s="140" t="s">
        <v>370</v>
      </c>
      <c r="P339" s="141"/>
      <c r="Q339" s="89" t="s">
        <v>51</v>
      </c>
      <c r="R339" s="89" t="s">
        <v>371</v>
      </c>
    </row>
    <row r="340" s="89" customFormat="1" spans="1:17">
      <c r="A340" s="122">
        <v>45901</v>
      </c>
      <c r="B340" s="116" t="s">
        <v>285</v>
      </c>
      <c r="C340" s="78" t="s">
        <v>367</v>
      </c>
      <c r="D340" s="116" t="s">
        <v>368</v>
      </c>
      <c r="E340" s="116" t="s">
        <v>369</v>
      </c>
      <c r="F340" s="151">
        <v>45916</v>
      </c>
      <c r="G340" s="116" t="s">
        <v>86</v>
      </c>
      <c r="H340" s="112" t="s">
        <v>21</v>
      </c>
      <c r="I340" s="139">
        <v>12600</v>
      </c>
      <c r="J340" s="139">
        <v>0</v>
      </c>
      <c r="K340" s="139">
        <f>I340-J340</f>
        <v>12600</v>
      </c>
      <c r="L340" s="139">
        <f>4200+4200+4200</f>
        <v>12600</v>
      </c>
      <c r="M340" s="139"/>
      <c r="N340" s="144">
        <f t="shared" si="23"/>
        <v>0</v>
      </c>
      <c r="O340" s="140" t="s">
        <v>370</v>
      </c>
      <c r="P340" s="141"/>
      <c r="Q340" s="89" t="s">
        <v>51</v>
      </c>
    </row>
    <row r="341" s="88" customFormat="1" spans="1:16">
      <c r="A341" s="118">
        <v>45962</v>
      </c>
      <c r="B341" s="116" t="s">
        <v>285</v>
      </c>
      <c r="C341" s="119" t="s">
        <v>372</v>
      </c>
      <c r="D341" s="114" t="s">
        <v>373</v>
      </c>
      <c r="E341" s="114" t="s">
        <v>374</v>
      </c>
      <c r="F341" s="151">
        <v>45976</v>
      </c>
      <c r="G341" s="114" t="s">
        <v>98</v>
      </c>
      <c r="H341" s="114" t="s">
        <v>23</v>
      </c>
      <c r="I341" s="131">
        <v>3960</v>
      </c>
      <c r="J341" s="131"/>
      <c r="K341" s="136">
        <v>3960</v>
      </c>
      <c r="L341" s="136">
        <v>3960</v>
      </c>
      <c r="M341" s="136"/>
      <c r="N341" s="131">
        <f t="shared" si="23"/>
        <v>0</v>
      </c>
      <c r="O341" s="137" t="s">
        <v>375</v>
      </c>
      <c r="P341" s="138"/>
    </row>
    <row r="342" s="88" customFormat="1" spans="1:16">
      <c r="A342" s="118">
        <v>45962</v>
      </c>
      <c r="B342" s="116" t="s">
        <v>285</v>
      </c>
      <c r="C342" s="119" t="s">
        <v>372</v>
      </c>
      <c r="D342" s="114" t="s">
        <v>373</v>
      </c>
      <c r="E342" s="114" t="s">
        <v>374</v>
      </c>
      <c r="F342" s="151">
        <v>45976</v>
      </c>
      <c r="G342" s="114" t="s">
        <v>26</v>
      </c>
      <c r="H342" s="114" t="s">
        <v>23</v>
      </c>
      <c r="I342" s="131">
        <v>3960</v>
      </c>
      <c r="J342" s="131"/>
      <c r="K342" s="136">
        <v>3960</v>
      </c>
      <c r="L342" s="136">
        <v>3960</v>
      </c>
      <c r="M342" s="136"/>
      <c r="N342" s="131">
        <f t="shared" si="23"/>
        <v>0</v>
      </c>
      <c r="O342" s="137" t="s">
        <v>375</v>
      </c>
      <c r="P342" s="138"/>
    </row>
    <row r="343" s="88" customFormat="1" spans="1:16">
      <c r="A343" s="118">
        <v>45962</v>
      </c>
      <c r="B343" s="116" t="s">
        <v>285</v>
      </c>
      <c r="C343" s="119" t="s">
        <v>372</v>
      </c>
      <c r="D343" s="114" t="s">
        <v>373</v>
      </c>
      <c r="E343" s="114" t="s">
        <v>374</v>
      </c>
      <c r="F343" s="151">
        <v>45976</v>
      </c>
      <c r="G343" s="114" t="s">
        <v>98</v>
      </c>
      <c r="H343" s="112" t="s">
        <v>21</v>
      </c>
      <c r="I343" s="131">
        <v>1800</v>
      </c>
      <c r="J343" s="131"/>
      <c r="K343" s="136">
        <v>1800</v>
      </c>
      <c r="L343" s="136">
        <v>1800</v>
      </c>
      <c r="M343" s="136"/>
      <c r="N343" s="131">
        <f t="shared" si="23"/>
        <v>0</v>
      </c>
      <c r="O343" s="137" t="s">
        <v>375</v>
      </c>
      <c r="P343" s="138"/>
    </row>
    <row r="344" s="88" customFormat="1" spans="1:16">
      <c r="A344" s="118">
        <v>45962</v>
      </c>
      <c r="B344" s="116" t="s">
        <v>285</v>
      </c>
      <c r="C344" s="119" t="s">
        <v>372</v>
      </c>
      <c r="D344" s="114" t="s">
        <v>373</v>
      </c>
      <c r="E344" s="114" t="s">
        <v>374</v>
      </c>
      <c r="F344" s="151">
        <v>45976</v>
      </c>
      <c r="G344" s="114" t="s">
        <v>26</v>
      </c>
      <c r="H344" s="112" t="s">
        <v>21</v>
      </c>
      <c r="I344" s="131">
        <v>1800</v>
      </c>
      <c r="J344" s="131"/>
      <c r="K344" s="136">
        <v>1800</v>
      </c>
      <c r="L344" s="136">
        <v>1800</v>
      </c>
      <c r="M344" s="136"/>
      <c r="N344" s="131">
        <f t="shared" si="23"/>
        <v>0</v>
      </c>
      <c r="O344" s="137" t="s">
        <v>375</v>
      </c>
      <c r="P344" s="138"/>
    </row>
    <row r="345" s="86" customFormat="1" spans="1:16">
      <c r="A345" s="111">
        <v>45839</v>
      </c>
      <c r="B345" s="116" t="s">
        <v>285</v>
      </c>
      <c r="C345" s="113" t="s">
        <v>376</v>
      </c>
      <c r="D345" s="112" t="s">
        <v>377</v>
      </c>
      <c r="E345" s="112" t="s">
        <v>378</v>
      </c>
      <c r="F345" s="151">
        <v>45824</v>
      </c>
      <c r="G345" s="112" t="s">
        <v>46</v>
      </c>
      <c r="H345" s="112" t="s">
        <v>21</v>
      </c>
      <c r="I345" s="130">
        <v>8556</v>
      </c>
      <c r="J345" s="130">
        <v>0</v>
      </c>
      <c r="K345" s="130">
        <v>8556</v>
      </c>
      <c r="L345" s="130">
        <f>5996+2560</f>
        <v>8556</v>
      </c>
      <c r="M345" s="130"/>
      <c r="N345" s="131">
        <f t="shared" si="23"/>
        <v>0</v>
      </c>
      <c r="O345" s="132" t="s">
        <v>379</v>
      </c>
      <c r="P345" s="112"/>
    </row>
    <row r="346" s="86" customFormat="1" spans="1:16">
      <c r="A346" s="111">
        <v>45839</v>
      </c>
      <c r="B346" s="116" t="s">
        <v>285</v>
      </c>
      <c r="C346" s="113" t="s">
        <v>376</v>
      </c>
      <c r="D346" s="112" t="s">
        <v>377</v>
      </c>
      <c r="E346" s="112" t="s">
        <v>378</v>
      </c>
      <c r="F346" s="151">
        <v>45824</v>
      </c>
      <c r="G346" s="112" t="s">
        <v>46</v>
      </c>
      <c r="H346" s="112" t="s">
        <v>23</v>
      </c>
      <c r="I346" s="130">
        <v>7440</v>
      </c>
      <c r="J346" s="130">
        <v>0</v>
      </c>
      <c r="K346" s="130">
        <v>7440</v>
      </c>
      <c r="L346" s="130">
        <f>940+2000+3500+1000</f>
        <v>7440</v>
      </c>
      <c r="M346" s="130"/>
      <c r="N346" s="131">
        <f t="shared" si="23"/>
        <v>0</v>
      </c>
      <c r="O346" s="132" t="s">
        <v>380</v>
      </c>
      <c r="P346" s="112"/>
    </row>
    <row r="347" s="89" customFormat="1" spans="1:17">
      <c r="A347" s="122">
        <v>45901</v>
      </c>
      <c r="B347" s="116" t="s">
        <v>285</v>
      </c>
      <c r="C347" s="78" t="s">
        <v>376</v>
      </c>
      <c r="D347" s="116" t="s">
        <v>377</v>
      </c>
      <c r="E347" s="116" t="s">
        <v>378</v>
      </c>
      <c r="F347" s="151">
        <v>45916</v>
      </c>
      <c r="G347" s="116" t="s">
        <v>86</v>
      </c>
      <c r="H347" s="116" t="s">
        <v>23</v>
      </c>
      <c r="I347" s="139">
        <v>7440</v>
      </c>
      <c r="J347" s="139">
        <v>0</v>
      </c>
      <c r="K347" s="139">
        <f>I347-J347</f>
        <v>7440</v>
      </c>
      <c r="L347" s="139">
        <f>6516.57+923.43</f>
        <v>7440</v>
      </c>
      <c r="M347" s="139"/>
      <c r="N347" s="144">
        <f t="shared" si="23"/>
        <v>0</v>
      </c>
      <c r="O347" s="140" t="s">
        <v>381</v>
      </c>
      <c r="P347" s="141"/>
      <c r="Q347" s="89" t="s">
        <v>51</v>
      </c>
    </row>
    <row r="348" s="89" customFormat="1" spans="1:17">
      <c r="A348" s="122">
        <v>45901</v>
      </c>
      <c r="B348" s="116" t="s">
        <v>285</v>
      </c>
      <c r="C348" s="78" t="s">
        <v>376</v>
      </c>
      <c r="D348" s="116" t="s">
        <v>377</v>
      </c>
      <c r="E348" s="116" t="s">
        <v>378</v>
      </c>
      <c r="F348" s="151">
        <v>45916</v>
      </c>
      <c r="G348" s="116" t="s">
        <v>86</v>
      </c>
      <c r="H348" s="112" t="s">
        <v>21</v>
      </c>
      <c r="I348" s="139">
        <v>8556</v>
      </c>
      <c r="J348" s="139">
        <v>0</v>
      </c>
      <c r="K348" s="139">
        <f>I348-J348</f>
        <v>8556</v>
      </c>
      <c r="L348" s="139">
        <f>4000+4556</f>
        <v>8556</v>
      </c>
      <c r="M348" s="139"/>
      <c r="N348" s="144">
        <f t="shared" si="23"/>
        <v>0</v>
      </c>
      <c r="O348" s="140" t="s">
        <v>382</v>
      </c>
      <c r="P348" s="141"/>
      <c r="Q348" s="89" t="s">
        <v>51</v>
      </c>
    </row>
    <row r="349" s="86" customFormat="1" spans="1:16">
      <c r="A349" s="111">
        <v>45839</v>
      </c>
      <c r="B349" s="112" t="s">
        <v>285</v>
      </c>
      <c r="C349" s="113" t="s">
        <v>383</v>
      </c>
      <c r="D349" s="112" t="s">
        <v>384</v>
      </c>
      <c r="E349" s="176" t="s">
        <v>385</v>
      </c>
      <c r="F349" s="151">
        <v>45838</v>
      </c>
      <c r="G349" s="112" t="s">
        <v>115</v>
      </c>
      <c r="H349" s="112" t="s">
        <v>21</v>
      </c>
      <c r="I349" s="130">
        <v>4807.04</v>
      </c>
      <c r="J349" s="130">
        <v>0</v>
      </c>
      <c r="K349" s="130">
        <v>4807.04</v>
      </c>
      <c r="L349" s="179">
        <v>4807.04</v>
      </c>
      <c r="M349" s="130"/>
      <c r="N349" s="131">
        <f t="shared" si="23"/>
        <v>0</v>
      </c>
      <c r="O349" s="132" t="s">
        <v>256</v>
      </c>
      <c r="P349" s="112"/>
    </row>
    <row r="350" s="86" customFormat="1" spans="1:16">
      <c r="A350" s="111">
        <v>45839</v>
      </c>
      <c r="B350" s="112" t="s">
        <v>285</v>
      </c>
      <c r="C350" s="113" t="s">
        <v>383</v>
      </c>
      <c r="D350" s="112" t="s">
        <v>384</v>
      </c>
      <c r="E350" s="176" t="s">
        <v>385</v>
      </c>
      <c r="F350" s="151">
        <v>45838</v>
      </c>
      <c r="G350" s="112" t="s">
        <v>115</v>
      </c>
      <c r="H350" s="112" t="s">
        <v>23</v>
      </c>
      <c r="I350" s="130">
        <v>9033.12</v>
      </c>
      <c r="J350" s="130">
        <v>0</v>
      </c>
      <c r="K350" s="130">
        <v>9033.12</v>
      </c>
      <c r="L350" s="131">
        <f>I350-J350</f>
        <v>9033.12</v>
      </c>
      <c r="M350" s="130"/>
      <c r="N350" s="131">
        <f t="shared" si="23"/>
        <v>0</v>
      </c>
      <c r="O350" s="132" t="s">
        <v>256</v>
      </c>
      <c r="P350" s="112"/>
    </row>
    <row r="351" s="86" customFormat="1" spans="1:16">
      <c r="A351" s="111">
        <v>45839</v>
      </c>
      <c r="B351" s="112" t="s">
        <v>285</v>
      </c>
      <c r="C351" s="113" t="s">
        <v>383</v>
      </c>
      <c r="D351" s="112" t="s">
        <v>384</v>
      </c>
      <c r="E351" s="176" t="s">
        <v>385</v>
      </c>
      <c r="F351" s="151">
        <v>45838</v>
      </c>
      <c r="G351" s="112" t="s">
        <v>102</v>
      </c>
      <c r="H351" s="112" t="s">
        <v>23</v>
      </c>
      <c r="I351" s="130">
        <v>9033.12</v>
      </c>
      <c r="J351" s="130">
        <v>0</v>
      </c>
      <c r="K351" s="130">
        <v>9033.12</v>
      </c>
      <c r="L351" s="180">
        <v>9033.12</v>
      </c>
      <c r="M351" s="130"/>
      <c r="N351" s="131">
        <f t="shared" si="23"/>
        <v>0</v>
      </c>
      <c r="O351" s="132" t="s">
        <v>386</v>
      </c>
      <c r="P351" s="112"/>
    </row>
    <row r="352" s="86" customFormat="1" spans="1:16">
      <c r="A352" s="111">
        <v>45839</v>
      </c>
      <c r="B352" s="112" t="s">
        <v>285</v>
      </c>
      <c r="C352" s="113" t="s">
        <v>383</v>
      </c>
      <c r="D352" s="112" t="s">
        <v>384</v>
      </c>
      <c r="E352" s="176" t="s">
        <v>385</v>
      </c>
      <c r="F352" s="151">
        <v>45838</v>
      </c>
      <c r="G352" s="112" t="s">
        <v>55</v>
      </c>
      <c r="H352" s="112" t="s">
        <v>23</v>
      </c>
      <c r="I352" s="130">
        <v>9033.12</v>
      </c>
      <c r="J352" s="130">
        <v>0</v>
      </c>
      <c r="K352" s="130">
        <v>9033.12</v>
      </c>
      <c r="L352" s="130"/>
      <c r="M352" s="130"/>
      <c r="N352" s="131">
        <f t="shared" si="23"/>
        <v>9033.12</v>
      </c>
      <c r="O352" s="132"/>
      <c r="P352" s="112"/>
    </row>
    <row r="353" s="86" customFormat="1" spans="1:16">
      <c r="A353" s="111">
        <v>45839</v>
      </c>
      <c r="B353" s="112" t="s">
        <v>285</v>
      </c>
      <c r="C353" s="113" t="s">
        <v>383</v>
      </c>
      <c r="D353" s="112" t="s">
        <v>384</v>
      </c>
      <c r="E353" s="176" t="s">
        <v>385</v>
      </c>
      <c r="F353" s="151">
        <v>45869</v>
      </c>
      <c r="G353" s="112" t="s">
        <v>56</v>
      </c>
      <c r="H353" s="112" t="s">
        <v>23</v>
      </c>
      <c r="I353" s="130">
        <v>9033.12</v>
      </c>
      <c r="J353" s="130">
        <v>0</v>
      </c>
      <c r="K353" s="130">
        <f t="shared" ref="K353:K355" si="26">I353-J353</f>
        <v>9033.12</v>
      </c>
      <c r="L353" s="180">
        <v>9033.12</v>
      </c>
      <c r="M353" s="130"/>
      <c r="N353" s="131">
        <f t="shared" si="23"/>
        <v>0</v>
      </c>
      <c r="O353" s="132" t="s">
        <v>387</v>
      </c>
      <c r="P353" s="112"/>
    </row>
    <row r="354" s="86" customFormat="1" spans="1:16">
      <c r="A354" s="111">
        <v>45839</v>
      </c>
      <c r="B354" s="112" t="s">
        <v>285</v>
      </c>
      <c r="C354" s="113" t="s">
        <v>383</v>
      </c>
      <c r="D354" s="116" t="s">
        <v>384</v>
      </c>
      <c r="E354" s="176" t="s">
        <v>385</v>
      </c>
      <c r="F354" s="151">
        <v>45869</v>
      </c>
      <c r="G354" s="112" t="s">
        <v>102</v>
      </c>
      <c r="H354" s="112" t="s">
        <v>21</v>
      </c>
      <c r="I354" s="130">
        <v>4963.04</v>
      </c>
      <c r="J354" s="130">
        <v>0</v>
      </c>
      <c r="K354" s="130">
        <f t="shared" si="26"/>
        <v>4963.04</v>
      </c>
      <c r="L354" s="180">
        <v>4963.04</v>
      </c>
      <c r="M354" s="130"/>
      <c r="N354" s="131">
        <f t="shared" si="23"/>
        <v>0</v>
      </c>
      <c r="O354" s="132" t="s">
        <v>388</v>
      </c>
      <c r="P354" s="112"/>
    </row>
    <row r="355" s="86" customFormat="1" spans="1:16">
      <c r="A355" s="111">
        <v>45870</v>
      </c>
      <c r="B355" s="116" t="s">
        <v>285</v>
      </c>
      <c r="C355" s="78" t="s">
        <v>383</v>
      </c>
      <c r="D355" s="116" t="s">
        <v>384</v>
      </c>
      <c r="E355" s="177" t="s">
        <v>385</v>
      </c>
      <c r="F355" s="151">
        <v>45900</v>
      </c>
      <c r="G355" s="135" t="s">
        <v>55</v>
      </c>
      <c r="H355" s="112" t="s">
        <v>21</v>
      </c>
      <c r="I355" s="154">
        <v>4657.66</v>
      </c>
      <c r="J355" s="154">
        <v>0</v>
      </c>
      <c r="K355" s="133">
        <f t="shared" si="26"/>
        <v>4657.66</v>
      </c>
      <c r="L355" s="181">
        <v>4657.66</v>
      </c>
      <c r="M355" s="133"/>
      <c r="N355" s="131">
        <f t="shared" si="23"/>
        <v>0</v>
      </c>
      <c r="O355" s="134" t="s">
        <v>389</v>
      </c>
      <c r="P355" s="135"/>
    </row>
    <row r="356" s="89" customFormat="1" spans="1:16">
      <c r="A356" s="122">
        <v>45901</v>
      </c>
      <c r="B356" s="116" t="s">
        <v>285</v>
      </c>
      <c r="C356" s="78" t="s">
        <v>383</v>
      </c>
      <c r="D356" s="178" t="s">
        <v>384</v>
      </c>
      <c r="E356" s="177" t="s">
        <v>385</v>
      </c>
      <c r="F356" s="151">
        <v>45930</v>
      </c>
      <c r="G356" s="135" t="s">
        <v>56</v>
      </c>
      <c r="H356" s="112" t="s">
        <v>21</v>
      </c>
      <c r="I356" s="139">
        <v>2907.21</v>
      </c>
      <c r="J356" s="139">
        <v>0</v>
      </c>
      <c r="K356" s="154">
        <f>I356</f>
        <v>2907.21</v>
      </c>
      <c r="L356" s="139"/>
      <c r="M356" s="139"/>
      <c r="N356" s="131">
        <f t="shared" si="23"/>
        <v>2907.21</v>
      </c>
      <c r="O356" s="155" t="s">
        <v>390</v>
      </c>
      <c r="P356" s="141"/>
    </row>
    <row r="357" s="88" customFormat="1" spans="1:16">
      <c r="A357" s="118">
        <v>45962</v>
      </c>
      <c r="B357" s="116" t="s">
        <v>285</v>
      </c>
      <c r="C357" s="119" t="s">
        <v>383</v>
      </c>
      <c r="D357" s="114" t="s">
        <v>384</v>
      </c>
      <c r="E357" s="114" t="s">
        <v>391</v>
      </c>
      <c r="F357" s="151">
        <v>45976</v>
      </c>
      <c r="G357" s="114" t="s">
        <v>58</v>
      </c>
      <c r="H357" s="114" t="s">
        <v>23</v>
      </c>
      <c r="I357" s="131">
        <v>9170</v>
      </c>
      <c r="J357" s="131"/>
      <c r="K357" s="136">
        <v>9170</v>
      </c>
      <c r="L357" s="136">
        <v>9170</v>
      </c>
      <c r="M357" s="136"/>
      <c r="N357" s="131">
        <f t="shared" si="23"/>
        <v>0</v>
      </c>
      <c r="O357" s="137" t="s">
        <v>392</v>
      </c>
      <c r="P357" s="138"/>
    </row>
    <row r="358" s="88" customFormat="1" spans="1:16">
      <c r="A358" s="118">
        <v>45962</v>
      </c>
      <c r="B358" s="116" t="s">
        <v>285</v>
      </c>
      <c r="C358" s="119" t="s">
        <v>383</v>
      </c>
      <c r="D358" s="114" t="s">
        <v>384</v>
      </c>
      <c r="E358" s="114" t="s">
        <v>391</v>
      </c>
      <c r="F358" s="151">
        <v>45976</v>
      </c>
      <c r="G358" s="114" t="s">
        <v>58</v>
      </c>
      <c r="H358" s="112" t="s">
        <v>21</v>
      </c>
      <c r="I358" s="131">
        <v>0</v>
      </c>
      <c r="J358" s="131"/>
      <c r="K358" s="136">
        <v>0</v>
      </c>
      <c r="L358" s="136">
        <v>0</v>
      </c>
      <c r="M358" s="136"/>
      <c r="N358" s="131">
        <f t="shared" si="23"/>
        <v>0</v>
      </c>
      <c r="O358" s="137" t="s">
        <v>393</v>
      </c>
      <c r="P358" s="138"/>
    </row>
    <row r="359" s="88" customFormat="1" spans="1:16">
      <c r="A359" s="118">
        <v>45962</v>
      </c>
      <c r="B359" s="116" t="s">
        <v>285</v>
      </c>
      <c r="C359" s="119" t="s">
        <v>383</v>
      </c>
      <c r="D359" s="114" t="s">
        <v>384</v>
      </c>
      <c r="E359" s="114" t="s">
        <v>391</v>
      </c>
      <c r="F359" s="151">
        <v>45976</v>
      </c>
      <c r="G359" s="114" t="s">
        <v>60</v>
      </c>
      <c r="H359" s="114" t="s">
        <v>23</v>
      </c>
      <c r="I359" s="131">
        <v>9170</v>
      </c>
      <c r="J359" s="131"/>
      <c r="K359" s="136">
        <v>9170</v>
      </c>
      <c r="L359" s="182">
        <f>160+9010</f>
        <v>9170</v>
      </c>
      <c r="M359" s="136"/>
      <c r="N359" s="131">
        <f t="shared" si="23"/>
        <v>0</v>
      </c>
      <c r="O359" s="137" t="s">
        <v>394</v>
      </c>
      <c r="P359" s="138"/>
    </row>
    <row r="360" s="88" customFormat="1" spans="1:16">
      <c r="A360" s="118">
        <v>45962</v>
      </c>
      <c r="B360" s="116" t="s">
        <v>285</v>
      </c>
      <c r="C360" s="119" t="s">
        <v>383</v>
      </c>
      <c r="D360" s="114" t="s">
        <v>384</v>
      </c>
      <c r="E360" s="114" t="s">
        <v>391</v>
      </c>
      <c r="F360" s="151">
        <v>45976</v>
      </c>
      <c r="G360" s="114" t="s">
        <v>60</v>
      </c>
      <c r="H360" s="112" t="s">
        <v>21</v>
      </c>
      <c r="I360" s="131">
        <v>9170</v>
      </c>
      <c r="J360" s="131"/>
      <c r="K360" s="136">
        <v>9170</v>
      </c>
      <c r="L360" s="136">
        <v>9170</v>
      </c>
      <c r="M360" s="136"/>
      <c r="N360" s="131">
        <f t="shared" si="23"/>
        <v>0</v>
      </c>
      <c r="O360" s="137" t="s">
        <v>392</v>
      </c>
      <c r="P360" s="138"/>
    </row>
    <row r="361" s="88" customFormat="1" spans="1:16">
      <c r="A361" s="118">
        <v>45931</v>
      </c>
      <c r="B361" s="116" t="s">
        <v>285</v>
      </c>
      <c r="C361" s="119" t="s">
        <v>383</v>
      </c>
      <c r="D361" s="114" t="s">
        <v>384</v>
      </c>
      <c r="E361" s="114" t="s">
        <v>391</v>
      </c>
      <c r="F361" s="151">
        <v>45946</v>
      </c>
      <c r="G361" s="114" t="s">
        <v>28</v>
      </c>
      <c r="H361" s="114" t="s">
        <v>23</v>
      </c>
      <c r="I361" s="131">
        <v>9170</v>
      </c>
      <c r="J361" s="131"/>
      <c r="K361" s="136">
        <v>9170</v>
      </c>
      <c r="L361" s="136">
        <v>160</v>
      </c>
      <c r="M361" s="136"/>
      <c r="N361" s="131">
        <f t="shared" si="23"/>
        <v>9010</v>
      </c>
      <c r="O361" s="137" t="s">
        <v>392</v>
      </c>
      <c r="P361" s="138"/>
    </row>
    <row r="362" s="88" customFormat="1" spans="1:16">
      <c r="A362" s="118">
        <v>45931</v>
      </c>
      <c r="B362" s="116" t="s">
        <v>285</v>
      </c>
      <c r="C362" s="119" t="s">
        <v>383</v>
      </c>
      <c r="D362" s="114" t="s">
        <v>384</v>
      </c>
      <c r="E362" s="114" t="s">
        <v>391</v>
      </c>
      <c r="F362" s="151">
        <v>45946</v>
      </c>
      <c r="G362" s="114" t="s">
        <v>28</v>
      </c>
      <c r="H362" s="112" t="s">
        <v>21</v>
      </c>
      <c r="I362" s="131">
        <v>9170</v>
      </c>
      <c r="J362" s="131"/>
      <c r="K362" s="136">
        <v>9170</v>
      </c>
      <c r="L362" s="182">
        <f>6603.91+2566.09</f>
        <v>9170</v>
      </c>
      <c r="M362" s="136"/>
      <c r="N362" s="131">
        <f t="shared" si="23"/>
        <v>0</v>
      </c>
      <c r="O362" s="137" t="s">
        <v>394</v>
      </c>
      <c r="P362" s="138"/>
    </row>
    <row r="363" s="88" customFormat="1" spans="1:16">
      <c r="A363" s="118">
        <v>45962</v>
      </c>
      <c r="B363" s="116" t="s">
        <v>285</v>
      </c>
      <c r="C363" s="119" t="s">
        <v>383</v>
      </c>
      <c r="D363" s="114" t="s">
        <v>384</v>
      </c>
      <c r="E363" s="114" t="s">
        <v>391</v>
      </c>
      <c r="F363" s="151">
        <v>45976</v>
      </c>
      <c r="G363" s="114" t="s">
        <v>26</v>
      </c>
      <c r="H363" s="114" t="s">
        <v>23</v>
      </c>
      <c r="I363" s="131">
        <v>9170</v>
      </c>
      <c r="J363" s="131"/>
      <c r="K363" s="136">
        <v>9170</v>
      </c>
      <c r="L363" s="136">
        <v>9170</v>
      </c>
      <c r="M363" s="136"/>
      <c r="N363" s="131">
        <f t="shared" si="23"/>
        <v>0</v>
      </c>
      <c r="O363" s="137" t="s">
        <v>395</v>
      </c>
      <c r="P363" s="138"/>
    </row>
    <row r="364" s="88" customFormat="1" spans="1:16">
      <c r="A364" s="118">
        <v>45962</v>
      </c>
      <c r="B364" s="116" t="s">
        <v>285</v>
      </c>
      <c r="C364" s="119" t="s">
        <v>383</v>
      </c>
      <c r="D364" s="114" t="s">
        <v>384</v>
      </c>
      <c r="E364" s="114" t="s">
        <v>391</v>
      </c>
      <c r="F364" s="151">
        <v>45976</v>
      </c>
      <c r="G364" s="114" t="s">
        <v>357</v>
      </c>
      <c r="H364" s="112" t="s">
        <v>30</v>
      </c>
      <c r="I364" s="131">
        <v>3000</v>
      </c>
      <c r="J364" s="131"/>
      <c r="K364" s="136">
        <v>3000</v>
      </c>
      <c r="L364" s="136"/>
      <c r="M364" s="136"/>
      <c r="N364" s="131">
        <f t="shared" si="23"/>
        <v>3000</v>
      </c>
      <c r="O364" s="137" t="s">
        <v>394</v>
      </c>
      <c r="P364" s="138"/>
    </row>
    <row r="365" s="88" customFormat="1" spans="1:16">
      <c r="A365" s="118">
        <v>45962</v>
      </c>
      <c r="B365" s="116" t="s">
        <v>285</v>
      </c>
      <c r="C365" s="119" t="s">
        <v>383</v>
      </c>
      <c r="D365" s="114" t="s">
        <v>384</v>
      </c>
      <c r="E365" s="114" t="s">
        <v>391</v>
      </c>
      <c r="F365" s="151">
        <v>45976</v>
      </c>
      <c r="G365" s="114" t="s">
        <v>26</v>
      </c>
      <c r="H365" s="112" t="s">
        <v>21</v>
      </c>
      <c r="I365" s="131">
        <v>9170</v>
      </c>
      <c r="J365" s="131"/>
      <c r="K365" s="136">
        <v>9170</v>
      </c>
      <c r="L365" s="136">
        <f>6603.91+2566.09</f>
        <v>9170</v>
      </c>
      <c r="M365" s="136"/>
      <c r="N365" s="131">
        <f t="shared" si="23"/>
        <v>0</v>
      </c>
      <c r="O365" s="137" t="s">
        <v>395</v>
      </c>
      <c r="P365" s="138"/>
    </row>
    <row r="366" s="86" customFormat="1" spans="1:16">
      <c r="A366" s="111">
        <v>45839</v>
      </c>
      <c r="B366" s="116" t="s">
        <v>285</v>
      </c>
      <c r="C366" s="113" t="s">
        <v>396</v>
      </c>
      <c r="D366" s="112" t="s">
        <v>397</v>
      </c>
      <c r="E366" s="112" t="s">
        <v>398</v>
      </c>
      <c r="F366" s="151">
        <v>45824</v>
      </c>
      <c r="G366" s="112" t="s">
        <v>46</v>
      </c>
      <c r="H366" s="112" t="s">
        <v>23</v>
      </c>
      <c r="I366" s="130">
        <v>15060</v>
      </c>
      <c r="J366" s="130">
        <v>0</v>
      </c>
      <c r="K366" s="130">
        <v>15060</v>
      </c>
      <c r="L366" s="130">
        <f>K366</f>
        <v>15060</v>
      </c>
      <c r="M366" s="130"/>
      <c r="N366" s="131">
        <f t="shared" si="23"/>
        <v>0</v>
      </c>
      <c r="O366" s="132" t="s">
        <v>399</v>
      </c>
      <c r="P366" s="112"/>
    </row>
    <row r="367" s="86" customFormat="1" spans="1:16">
      <c r="A367" s="111">
        <v>45839</v>
      </c>
      <c r="B367" s="116" t="s">
        <v>285</v>
      </c>
      <c r="C367" s="163" t="s">
        <v>396</v>
      </c>
      <c r="D367" s="112" t="s">
        <v>397</v>
      </c>
      <c r="E367" s="112" t="s">
        <v>398</v>
      </c>
      <c r="F367" s="151">
        <v>45832</v>
      </c>
      <c r="G367" s="112" t="s">
        <v>115</v>
      </c>
      <c r="H367" s="112" t="s">
        <v>21</v>
      </c>
      <c r="I367" s="159">
        <v>3695.55</v>
      </c>
      <c r="J367" s="159">
        <v>0</v>
      </c>
      <c r="K367" s="159">
        <v>3695.55</v>
      </c>
      <c r="L367" s="160">
        <v>3695.55</v>
      </c>
      <c r="M367" s="160"/>
      <c r="N367" s="131">
        <f t="shared" si="23"/>
        <v>0</v>
      </c>
      <c r="O367" s="132" t="s">
        <v>400</v>
      </c>
      <c r="P367" s="112"/>
    </row>
    <row r="368" s="86" customFormat="1" spans="1:16">
      <c r="A368" s="111">
        <v>45839</v>
      </c>
      <c r="B368" s="116" t="s">
        <v>285</v>
      </c>
      <c r="C368" s="163" t="s">
        <v>396</v>
      </c>
      <c r="D368" s="112" t="s">
        <v>397</v>
      </c>
      <c r="E368" s="112" t="s">
        <v>398</v>
      </c>
      <c r="F368" s="151">
        <v>45869</v>
      </c>
      <c r="G368" s="112" t="s">
        <v>102</v>
      </c>
      <c r="H368" s="112" t="s">
        <v>21</v>
      </c>
      <c r="I368" s="130">
        <v>2835.35</v>
      </c>
      <c r="J368" s="130">
        <v>0</v>
      </c>
      <c r="K368" s="130">
        <f t="shared" ref="K368:K370" si="27">I368-J368</f>
        <v>2835.35</v>
      </c>
      <c r="L368" s="130">
        <v>2835.35</v>
      </c>
      <c r="M368" s="130"/>
      <c r="N368" s="131">
        <f t="shared" si="23"/>
        <v>0</v>
      </c>
      <c r="O368" s="132" t="s">
        <v>401</v>
      </c>
      <c r="P368" s="112"/>
    </row>
    <row r="369" s="86" customFormat="1" spans="1:16">
      <c r="A369" s="111">
        <v>45870</v>
      </c>
      <c r="B369" s="116" t="s">
        <v>285</v>
      </c>
      <c r="C369" s="163" t="s">
        <v>396</v>
      </c>
      <c r="D369" s="112" t="s">
        <v>397</v>
      </c>
      <c r="E369" s="112" t="s">
        <v>398</v>
      </c>
      <c r="F369" s="151">
        <v>45900</v>
      </c>
      <c r="G369" s="112" t="s">
        <v>55</v>
      </c>
      <c r="H369" s="112" t="s">
        <v>21</v>
      </c>
      <c r="I369" s="159">
        <v>3226.05</v>
      </c>
      <c r="J369" s="159">
        <v>0</v>
      </c>
      <c r="K369" s="133">
        <f t="shared" si="27"/>
        <v>3226.05</v>
      </c>
      <c r="L369" s="160">
        <v>3226.05</v>
      </c>
      <c r="M369" s="160"/>
      <c r="N369" s="131">
        <f t="shared" si="23"/>
        <v>0</v>
      </c>
      <c r="O369" s="183" t="s">
        <v>402</v>
      </c>
      <c r="P369" s="112"/>
    </row>
    <row r="370" s="89" customFormat="1" spans="1:17">
      <c r="A370" s="122">
        <v>45901</v>
      </c>
      <c r="B370" s="116" t="s">
        <v>285</v>
      </c>
      <c r="C370" s="78" t="s">
        <v>396</v>
      </c>
      <c r="D370" s="152" t="s">
        <v>397</v>
      </c>
      <c r="E370" s="116" t="s">
        <v>398</v>
      </c>
      <c r="F370" s="151">
        <v>45916</v>
      </c>
      <c r="G370" s="116" t="s">
        <v>86</v>
      </c>
      <c r="H370" s="116" t="s">
        <v>23</v>
      </c>
      <c r="I370" s="139">
        <v>15060</v>
      </c>
      <c r="J370" s="139">
        <v>0</v>
      </c>
      <c r="K370" s="139">
        <f t="shared" si="27"/>
        <v>15060</v>
      </c>
      <c r="L370" s="139">
        <v>15060</v>
      </c>
      <c r="M370" s="139"/>
      <c r="N370" s="131">
        <f t="shared" si="23"/>
        <v>0</v>
      </c>
      <c r="O370" s="132" t="s">
        <v>400</v>
      </c>
      <c r="P370" s="141"/>
      <c r="Q370" s="89" t="s">
        <v>51</v>
      </c>
    </row>
    <row r="371" s="89" customFormat="1" spans="1:16">
      <c r="A371" s="122">
        <v>45901</v>
      </c>
      <c r="B371" s="116" t="s">
        <v>285</v>
      </c>
      <c r="C371" s="164" t="s">
        <v>396</v>
      </c>
      <c r="D371" s="135" t="s">
        <v>397</v>
      </c>
      <c r="E371" s="135" t="s">
        <v>398</v>
      </c>
      <c r="F371" s="151">
        <v>45930</v>
      </c>
      <c r="G371" s="135" t="s">
        <v>56</v>
      </c>
      <c r="H371" s="112" t="s">
        <v>21</v>
      </c>
      <c r="I371" s="139">
        <v>5473.51</v>
      </c>
      <c r="J371" s="139">
        <v>0</v>
      </c>
      <c r="K371" s="154">
        <f>I371</f>
        <v>5473.51</v>
      </c>
      <c r="L371" s="139">
        <v>5473.51</v>
      </c>
      <c r="M371" s="139"/>
      <c r="N371" s="131">
        <f t="shared" si="23"/>
        <v>0</v>
      </c>
      <c r="O371" s="140" t="s">
        <v>403</v>
      </c>
      <c r="P371" s="141"/>
    </row>
    <row r="372" s="88" customFormat="1" spans="1:16">
      <c r="A372" s="118">
        <v>45931</v>
      </c>
      <c r="B372" s="116" t="s">
        <v>285</v>
      </c>
      <c r="C372" s="119" t="s">
        <v>396</v>
      </c>
      <c r="D372" s="114" t="s">
        <v>397</v>
      </c>
      <c r="E372" s="114" t="s">
        <v>398</v>
      </c>
      <c r="F372" s="151">
        <v>45938</v>
      </c>
      <c r="G372" s="114" t="s">
        <v>58</v>
      </c>
      <c r="H372" s="112" t="s">
        <v>21</v>
      </c>
      <c r="I372" s="131">
        <v>4298.77</v>
      </c>
      <c r="J372" s="131"/>
      <c r="K372" s="136">
        <v>4298.77</v>
      </c>
      <c r="L372" s="136">
        <v>4298.77</v>
      </c>
      <c r="M372" s="136"/>
      <c r="N372" s="131">
        <f t="shared" si="23"/>
        <v>0</v>
      </c>
      <c r="O372" s="137" t="s">
        <v>400</v>
      </c>
      <c r="P372" s="138"/>
    </row>
    <row r="373" s="88" customFormat="1" spans="1:16">
      <c r="A373" s="118">
        <v>45962</v>
      </c>
      <c r="B373" s="116" t="s">
        <v>285</v>
      </c>
      <c r="C373" s="119" t="s">
        <v>396</v>
      </c>
      <c r="D373" s="114" t="s">
        <v>397</v>
      </c>
      <c r="E373" s="114" t="s">
        <v>398</v>
      </c>
      <c r="F373" s="151">
        <v>45976</v>
      </c>
      <c r="G373" s="114" t="s">
        <v>60</v>
      </c>
      <c r="H373" s="112" t="s">
        <v>21</v>
      </c>
      <c r="I373" s="131">
        <v>4439.92</v>
      </c>
      <c r="J373" s="131"/>
      <c r="K373" s="136">
        <v>4439.92</v>
      </c>
      <c r="L373" s="136">
        <v>4439.92</v>
      </c>
      <c r="M373" s="136"/>
      <c r="N373" s="131">
        <f t="shared" si="23"/>
        <v>0</v>
      </c>
      <c r="O373" s="137" t="s">
        <v>404</v>
      </c>
      <c r="P373" s="138"/>
    </row>
    <row r="374" s="88" customFormat="1" spans="1:17">
      <c r="A374" s="122">
        <v>45901</v>
      </c>
      <c r="B374" s="116" t="s">
        <v>285</v>
      </c>
      <c r="C374" s="119" t="s">
        <v>405</v>
      </c>
      <c r="D374" s="138" t="s">
        <v>406</v>
      </c>
      <c r="E374" s="138" t="s">
        <v>407</v>
      </c>
      <c r="F374" s="151">
        <v>45916</v>
      </c>
      <c r="G374" s="138" t="s">
        <v>408</v>
      </c>
      <c r="H374" s="121" t="s">
        <v>30</v>
      </c>
      <c r="I374" s="131">
        <v>3000</v>
      </c>
      <c r="J374" s="139">
        <v>0</v>
      </c>
      <c r="K374" s="131">
        <v>3000</v>
      </c>
      <c r="L374" s="131">
        <v>3000</v>
      </c>
      <c r="M374" s="131"/>
      <c r="N374" s="131">
        <f t="shared" si="23"/>
        <v>0</v>
      </c>
      <c r="O374" s="169" t="s">
        <v>189</v>
      </c>
      <c r="P374" s="184" t="s">
        <v>409</v>
      </c>
      <c r="Q374" s="89" t="s">
        <v>51</v>
      </c>
    </row>
    <row r="375" s="88" customFormat="1" spans="1:17">
      <c r="A375" s="122">
        <v>45901</v>
      </c>
      <c r="B375" s="116" t="s">
        <v>285</v>
      </c>
      <c r="C375" s="119" t="s">
        <v>405</v>
      </c>
      <c r="D375" s="138" t="s">
        <v>406</v>
      </c>
      <c r="E375" s="138" t="s">
        <v>407</v>
      </c>
      <c r="F375" s="151">
        <v>45916</v>
      </c>
      <c r="G375" s="138" t="s">
        <v>86</v>
      </c>
      <c r="H375" s="138" t="s">
        <v>23</v>
      </c>
      <c r="I375" s="131">
        <v>9990</v>
      </c>
      <c r="J375" s="139">
        <v>0</v>
      </c>
      <c r="K375" s="131">
        <v>9990</v>
      </c>
      <c r="L375" s="139">
        <v>9990</v>
      </c>
      <c r="M375" s="139"/>
      <c r="N375" s="131">
        <f t="shared" si="23"/>
        <v>0</v>
      </c>
      <c r="O375" s="169" t="s">
        <v>189</v>
      </c>
      <c r="P375" s="184" t="s">
        <v>409</v>
      </c>
      <c r="Q375" s="89" t="s">
        <v>51</v>
      </c>
    </row>
    <row r="376" s="88" customFormat="1" spans="1:17">
      <c r="A376" s="122">
        <v>45901</v>
      </c>
      <c r="B376" s="116" t="s">
        <v>285</v>
      </c>
      <c r="C376" s="119" t="s">
        <v>405</v>
      </c>
      <c r="D376" s="138" t="s">
        <v>406</v>
      </c>
      <c r="E376" s="138" t="s">
        <v>407</v>
      </c>
      <c r="F376" s="151">
        <v>45916</v>
      </c>
      <c r="G376" s="138" t="s">
        <v>86</v>
      </c>
      <c r="H376" s="112" t="s">
        <v>21</v>
      </c>
      <c r="I376" s="131">
        <v>8991</v>
      </c>
      <c r="J376" s="139">
        <v>0</v>
      </c>
      <c r="K376" s="131">
        <v>8991</v>
      </c>
      <c r="L376" s="139">
        <v>8991</v>
      </c>
      <c r="M376" s="139"/>
      <c r="N376" s="131">
        <f t="shared" si="23"/>
        <v>0</v>
      </c>
      <c r="O376" s="169" t="s">
        <v>189</v>
      </c>
      <c r="P376" s="184" t="s">
        <v>409</v>
      </c>
      <c r="Q376" s="89" t="s">
        <v>51</v>
      </c>
    </row>
    <row r="377" s="86" customFormat="1" spans="1:16">
      <c r="A377" s="111">
        <v>45839</v>
      </c>
      <c r="B377" s="116" t="s">
        <v>285</v>
      </c>
      <c r="C377" s="113" t="s">
        <v>410</v>
      </c>
      <c r="D377" s="112" t="s">
        <v>411</v>
      </c>
      <c r="E377" s="112" t="s">
        <v>412</v>
      </c>
      <c r="F377" s="151">
        <v>45824</v>
      </c>
      <c r="G377" s="112" t="s">
        <v>55</v>
      </c>
      <c r="H377" s="112" t="s">
        <v>21</v>
      </c>
      <c r="I377" s="130">
        <v>2400</v>
      </c>
      <c r="J377" s="130">
        <v>0</v>
      </c>
      <c r="K377" s="130">
        <v>2400</v>
      </c>
      <c r="L377" s="130">
        <v>2400</v>
      </c>
      <c r="M377" s="130"/>
      <c r="N377" s="131">
        <f t="shared" si="23"/>
        <v>0</v>
      </c>
      <c r="O377" s="132" t="s">
        <v>256</v>
      </c>
      <c r="P377" s="112"/>
    </row>
    <row r="378" s="86" customFormat="1" spans="1:16">
      <c r="A378" s="111">
        <v>45839</v>
      </c>
      <c r="B378" s="116" t="s">
        <v>285</v>
      </c>
      <c r="C378" s="113" t="s">
        <v>410</v>
      </c>
      <c r="D378" s="112" t="s">
        <v>411</v>
      </c>
      <c r="E378" s="112" t="s">
        <v>412</v>
      </c>
      <c r="F378" s="151">
        <v>45824</v>
      </c>
      <c r="G378" s="112" t="s">
        <v>55</v>
      </c>
      <c r="H378" s="112" t="s">
        <v>23</v>
      </c>
      <c r="I378" s="130">
        <v>2625</v>
      </c>
      <c r="J378" s="130">
        <v>0</v>
      </c>
      <c r="K378" s="130">
        <v>2625</v>
      </c>
      <c r="L378" s="130">
        <v>2625</v>
      </c>
      <c r="M378" s="130"/>
      <c r="N378" s="131">
        <f t="shared" si="23"/>
        <v>0</v>
      </c>
      <c r="O378" s="132" t="s">
        <v>256</v>
      </c>
      <c r="P378" s="112"/>
    </row>
    <row r="379" s="86" customFormat="1" spans="1:16">
      <c r="A379" s="111">
        <v>45839</v>
      </c>
      <c r="B379" s="116" t="s">
        <v>285</v>
      </c>
      <c r="C379" s="113" t="s">
        <v>413</v>
      </c>
      <c r="D379" s="112" t="s">
        <v>414</v>
      </c>
      <c r="E379" s="112" t="s">
        <v>415</v>
      </c>
      <c r="F379" s="151">
        <v>45824</v>
      </c>
      <c r="G379" s="112" t="s">
        <v>46</v>
      </c>
      <c r="H379" s="112" t="s">
        <v>21</v>
      </c>
      <c r="I379" s="130">
        <v>16500</v>
      </c>
      <c r="J379" s="130">
        <v>0</v>
      </c>
      <c r="K379" s="130">
        <v>16500</v>
      </c>
      <c r="L379" s="130">
        <f>5500+2500+2500</f>
        <v>10500</v>
      </c>
      <c r="M379" s="130"/>
      <c r="N379" s="131">
        <f t="shared" si="23"/>
        <v>6000</v>
      </c>
      <c r="O379" s="132" t="s">
        <v>416</v>
      </c>
      <c r="P379" s="112"/>
    </row>
    <row r="380" s="89" customFormat="1" spans="1:17">
      <c r="A380" s="122">
        <v>45901</v>
      </c>
      <c r="B380" s="116" t="s">
        <v>285</v>
      </c>
      <c r="C380" s="78" t="s">
        <v>413</v>
      </c>
      <c r="D380" s="116" t="s">
        <v>414</v>
      </c>
      <c r="E380" s="116" t="s">
        <v>415</v>
      </c>
      <c r="F380" s="151">
        <v>45916</v>
      </c>
      <c r="G380" s="116" t="s">
        <v>60</v>
      </c>
      <c r="H380" s="112" t="s">
        <v>21</v>
      </c>
      <c r="I380" s="139">
        <v>5500</v>
      </c>
      <c r="J380" s="139">
        <v>0</v>
      </c>
      <c r="K380" s="139">
        <f>I380-J380</f>
        <v>5500</v>
      </c>
      <c r="L380" s="139">
        <v>5400</v>
      </c>
      <c r="M380" s="139"/>
      <c r="N380" s="131">
        <f t="shared" si="23"/>
        <v>100</v>
      </c>
      <c r="O380" s="140" t="s">
        <v>417</v>
      </c>
      <c r="P380" s="141"/>
      <c r="Q380" s="89" t="s">
        <v>51</v>
      </c>
    </row>
    <row r="381" s="89" customFormat="1" spans="1:16">
      <c r="A381" s="122">
        <v>45901</v>
      </c>
      <c r="B381" s="116" t="s">
        <v>285</v>
      </c>
      <c r="C381" s="165" t="s">
        <v>418</v>
      </c>
      <c r="D381" s="141" t="s">
        <v>419</v>
      </c>
      <c r="E381" s="141" t="s">
        <v>420</v>
      </c>
      <c r="F381" s="151">
        <v>45916</v>
      </c>
      <c r="G381" s="141" t="s">
        <v>421</v>
      </c>
      <c r="H381" s="121" t="s">
        <v>30</v>
      </c>
      <c r="I381" s="139">
        <v>1000</v>
      </c>
      <c r="J381" s="139">
        <v>0</v>
      </c>
      <c r="K381" s="139">
        <v>1000</v>
      </c>
      <c r="L381" s="139">
        <v>1000</v>
      </c>
      <c r="M381" s="139"/>
      <c r="N381" s="131">
        <f t="shared" si="23"/>
        <v>0</v>
      </c>
      <c r="O381" s="185" t="s">
        <v>422</v>
      </c>
      <c r="P381" s="167" t="s">
        <v>167</v>
      </c>
    </row>
    <row r="382" s="89" customFormat="1" spans="1:16">
      <c r="A382" s="122">
        <v>45901</v>
      </c>
      <c r="B382" s="116" t="s">
        <v>285</v>
      </c>
      <c r="C382" s="78" t="s">
        <v>418</v>
      </c>
      <c r="D382" s="116" t="s">
        <v>419</v>
      </c>
      <c r="E382" s="116" t="s">
        <v>420</v>
      </c>
      <c r="F382" s="151">
        <v>45916</v>
      </c>
      <c r="G382" s="116" t="s">
        <v>289</v>
      </c>
      <c r="H382" s="116" t="s">
        <v>23</v>
      </c>
      <c r="I382" s="139">
        <v>11340</v>
      </c>
      <c r="J382" s="139">
        <v>0</v>
      </c>
      <c r="K382" s="139">
        <v>11340</v>
      </c>
      <c r="L382" s="139">
        <v>11340</v>
      </c>
      <c r="M382" s="139"/>
      <c r="N382" s="131">
        <f t="shared" si="23"/>
        <v>0</v>
      </c>
      <c r="O382" s="140" t="s">
        <v>423</v>
      </c>
      <c r="P382" s="141"/>
    </row>
    <row r="383" s="89" customFormat="1" spans="1:16">
      <c r="A383" s="122">
        <v>45901</v>
      </c>
      <c r="B383" s="116" t="s">
        <v>285</v>
      </c>
      <c r="C383" s="165" t="s">
        <v>418</v>
      </c>
      <c r="D383" s="141" t="s">
        <v>419</v>
      </c>
      <c r="E383" s="141" t="s">
        <v>420</v>
      </c>
      <c r="F383" s="151">
        <v>45916</v>
      </c>
      <c r="G383" s="141" t="s">
        <v>424</v>
      </c>
      <c r="H383" s="141" t="s">
        <v>23</v>
      </c>
      <c r="I383" s="139">
        <v>11340</v>
      </c>
      <c r="J383" s="139">
        <v>0</v>
      </c>
      <c r="K383" s="139">
        <v>11340</v>
      </c>
      <c r="L383" s="139">
        <v>11340</v>
      </c>
      <c r="M383" s="139"/>
      <c r="N383" s="131">
        <f t="shared" si="23"/>
        <v>0</v>
      </c>
      <c r="O383" s="140" t="s">
        <v>425</v>
      </c>
      <c r="P383" s="167" t="s">
        <v>167</v>
      </c>
    </row>
    <row r="384" s="89" customFormat="1" spans="1:16">
      <c r="A384" s="122">
        <v>45901</v>
      </c>
      <c r="B384" s="116" t="s">
        <v>285</v>
      </c>
      <c r="C384" s="78" t="s">
        <v>418</v>
      </c>
      <c r="D384" s="116" t="s">
        <v>419</v>
      </c>
      <c r="E384" s="116" t="s">
        <v>420</v>
      </c>
      <c r="F384" s="151">
        <v>45916</v>
      </c>
      <c r="G384" s="116" t="s">
        <v>289</v>
      </c>
      <c r="H384" s="112" t="s">
        <v>21</v>
      </c>
      <c r="I384" s="139">
        <v>9450</v>
      </c>
      <c r="J384" s="139">
        <v>0</v>
      </c>
      <c r="K384" s="139">
        <v>9450</v>
      </c>
      <c r="L384" s="139">
        <v>9450</v>
      </c>
      <c r="M384" s="139"/>
      <c r="N384" s="131">
        <f t="shared" si="23"/>
        <v>0</v>
      </c>
      <c r="O384" s="140" t="s">
        <v>426</v>
      </c>
      <c r="P384" s="141"/>
    </row>
    <row r="385" s="92" customFormat="1" spans="1:16">
      <c r="A385" s="122">
        <v>45901</v>
      </c>
      <c r="B385" s="116" t="s">
        <v>285</v>
      </c>
      <c r="C385" s="165" t="s">
        <v>418</v>
      </c>
      <c r="D385" s="141" t="s">
        <v>419</v>
      </c>
      <c r="E385" s="141" t="s">
        <v>420</v>
      </c>
      <c r="F385" s="151">
        <v>45916</v>
      </c>
      <c r="G385" s="141" t="s">
        <v>424</v>
      </c>
      <c r="H385" s="112" t="s">
        <v>21</v>
      </c>
      <c r="I385" s="139">
        <v>9450</v>
      </c>
      <c r="J385" s="139">
        <v>0</v>
      </c>
      <c r="K385" s="139">
        <v>9450</v>
      </c>
      <c r="L385" s="139">
        <v>9450</v>
      </c>
      <c r="M385" s="139"/>
      <c r="N385" s="131">
        <f t="shared" si="23"/>
        <v>0</v>
      </c>
      <c r="O385" s="140" t="s">
        <v>427</v>
      </c>
      <c r="P385" s="167" t="s">
        <v>167</v>
      </c>
    </row>
    <row r="386" s="88" customFormat="1" spans="1:16">
      <c r="A386" s="118">
        <v>45962</v>
      </c>
      <c r="B386" s="116" t="s">
        <v>285</v>
      </c>
      <c r="C386" s="119" t="s">
        <v>418</v>
      </c>
      <c r="D386" s="114" t="s">
        <v>419</v>
      </c>
      <c r="E386" s="114" t="s">
        <v>420</v>
      </c>
      <c r="F386" s="151">
        <v>45976</v>
      </c>
      <c r="G386" s="114" t="s">
        <v>96</v>
      </c>
      <c r="H386" s="114" t="s">
        <v>23</v>
      </c>
      <c r="I386" s="136">
        <v>3780</v>
      </c>
      <c r="J386" s="131"/>
      <c r="K386" s="136">
        <v>3780</v>
      </c>
      <c r="L386" s="136">
        <v>3780</v>
      </c>
      <c r="M386" s="136"/>
      <c r="N386" s="131">
        <f t="shared" si="23"/>
        <v>0</v>
      </c>
      <c r="O386" s="185" t="s">
        <v>422</v>
      </c>
      <c r="P386" s="138"/>
    </row>
    <row r="387" s="88" customFormat="1" spans="1:16">
      <c r="A387" s="118">
        <v>45962</v>
      </c>
      <c r="B387" s="116" t="s">
        <v>285</v>
      </c>
      <c r="C387" s="119" t="s">
        <v>418</v>
      </c>
      <c r="D387" s="114" t="s">
        <v>419</v>
      </c>
      <c r="E387" s="114" t="s">
        <v>420</v>
      </c>
      <c r="F387" s="151">
        <v>45976</v>
      </c>
      <c r="G387" s="114" t="s">
        <v>98</v>
      </c>
      <c r="H387" s="114" t="s">
        <v>23</v>
      </c>
      <c r="I387" s="136">
        <v>3780</v>
      </c>
      <c r="J387" s="131"/>
      <c r="K387" s="136">
        <v>3780</v>
      </c>
      <c r="L387" s="136">
        <v>3780</v>
      </c>
      <c r="M387" s="136"/>
      <c r="N387" s="131">
        <f t="shared" ref="N387:N450" si="28">K387-L387</f>
        <v>0</v>
      </c>
      <c r="O387" s="185" t="s">
        <v>422</v>
      </c>
      <c r="P387" s="138"/>
    </row>
    <row r="388" s="88" customFormat="1" spans="1:16">
      <c r="A388" s="118">
        <v>45962</v>
      </c>
      <c r="B388" s="116" t="s">
        <v>285</v>
      </c>
      <c r="C388" s="119" t="s">
        <v>418</v>
      </c>
      <c r="D388" s="114" t="s">
        <v>419</v>
      </c>
      <c r="E388" s="114" t="s">
        <v>420</v>
      </c>
      <c r="F388" s="151">
        <v>45976</v>
      </c>
      <c r="G388" s="114" t="s">
        <v>26</v>
      </c>
      <c r="H388" s="114" t="s">
        <v>23</v>
      </c>
      <c r="I388" s="136">
        <v>3780</v>
      </c>
      <c r="J388" s="131"/>
      <c r="K388" s="136">
        <v>3780</v>
      </c>
      <c r="L388" s="136">
        <v>3780</v>
      </c>
      <c r="M388" s="136"/>
      <c r="N388" s="131">
        <f t="shared" si="28"/>
        <v>0</v>
      </c>
      <c r="O388" s="137" t="s">
        <v>428</v>
      </c>
      <c r="P388" s="138"/>
    </row>
    <row r="389" s="88" customFormat="1" spans="1:16">
      <c r="A389" s="118">
        <v>45962</v>
      </c>
      <c r="B389" s="116" t="s">
        <v>285</v>
      </c>
      <c r="C389" s="119" t="s">
        <v>418</v>
      </c>
      <c r="D389" s="114" t="s">
        <v>419</v>
      </c>
      <c r="E389" s="114" t="s">
        <v>420</v>
      </c>
      <c r="F389" s="151">
        <v>45976</v>
      </c>
      <c r="G389" s="114" t="s">
        <v>96</v>
      </c>
      <c r="H389" s="112" t="s">
        <v>21</v>
      </c>
      <c r="I389" s="136">
        <v>3150</v>
      </c>
      <c r="J389" s="131"/>
      <c r="K389" s="136">
        <v>3150</v>
      </c>
      <c r="L389" s="136">
        <v>3150</v>
      </c>
      <c r="M389" s="136"/>
      <c r="N389" s="131">
        <f t="shared" si="28"/>
        <v>0</v>
      </c>
      <c r="O389" s="185" t="s">
        <v>422</v>
      </c>
      <c r="P389" s="138"/>
    </row>
    <row r="390" s="88" customFormat="1" spans="1:16">
      <c r="A390" s="118">
        <v>45962</v>
      </c>
      <c r="B390" s="116" t="s">
        <v>285</v>
      </c>
      <c r="C390" s="119" t="s">
        <v>418</v>
      </c>
      <c r="D390" s="114" t="s">
        <v>419</v>
      </c>
      <c r="E390" s="114" t="s">
        <v>420</v>
      </c>
      <c r="F390" s="151">
        <v>45976</v>
      </c>
      <c r="G390" s="114" t="s">
        <v>98</v>
      </c>
      <c r="H390" s="112" t="s">
        <v>21</v>
      </c>
      <c r="I390" s="136">
        <v>3150</v>
      </c>
      <c r="J390" s="131"/>
      <c r="K390" s="136">
        <v>3150</v>
      </c>
      <c r="L390" s="136">
        <v>3150</v>
      </c>
      <c r="M390" s="136"/>
      <c r="N390" s="131">
        <f t="shared" si="28"/>
        <v>0</v>
      </c>
      <c r="O390" s="185" t="s">
        <v>422</v>
      </c>
      <c r="P390" s="138"/>
    </row>
    <row r="391" s="88" customFormat="1" spans="1:16">
      <c r="A391" s="118">
        <v>45962</v>
      </c>
      <c r="B391" s="116" t="s">
        <v>285</v>
      </c>
      <c r="C391" s="119" t="s">
        <v>418</v>
      </c>
      <c r="D391" s="114" t="s">
        <v>419</v>
      </c>
      <c r="E391" s="114" t="s">
        <v>420</v>
      </c>
      <c r="F391" s="151">
        <v>45976</v>
      </c>
      <c r="G391" s="114" t="s">
        <v>26</v>
      </c>
      <c r="H391" s="112" t="s">
        <v>21</v>
      </c>
      <c r="I391" s="136">
        <v>3150</v>
      </c>
      <c r="J391" s="131"/>
      <c r="K391" s="136">
        <v>3150</v>
      </c>
      <c r="L391" s="136">
        <v>3150</v>
      </c>
      <c r="M391" s="136"/>
      <c r="N391" s="131">
        <f t="shared" si="28"/>
        <v>0</v>
      </c>
      <c r="O391" s="137" t="s">
        <v>428</v>
      </c>
      <c r="P391" s="138"/>
    </row>
    <row r="392" s="86" customFormat="1" spans="1:16">
      <c r="A392" s="111">
        <v>45839</v>
      </c>
      <c r="B392" s="116" t="s">
        <v>285</v>
      </c>
      <c r="C392" s="113" t="s">
        <v>429</v>
      </c>
      <c r="D392" s="112" t="s">
        <v>430</v>
      </c>
      <c r="E392" s="112" t="s">
        <v>431</v>
      </c>
      <c r="F392" s="151">
        <v>45824</v>
      </c>
      <c r="G392" s="112" t="s">
        <v>46</v>
      </c>
      <c r="H392" s="112" t="s">
        <v>23</v>
      </c>
      <c r="I392" s="130">
        <v>17880</v>
      </c>
      <c r="J392" s="130">
        <v>0</v>
      </c>
      <c r="K392" s="130">
        <v>17880</v>
      </c>
      <c r="L392" s="130">
        <v>17880</v>
      </c>
      <c r="M392" s="130"/>
      <c r="N392" s="131">
        <f t="shared" si="28"/>
        <v>0</v>
      </c>
      <c r="O392" s="132" t="s">
        <v>217</v>
      </c>
      <c r="P392" s="112"/>
    </row>
    <row r="393" s="86" customFormat="1" spans="1:16">
      <c r="A393" s="111">
        <v>45839</v>
      </c>
      <c r="B393" s="116" t="s">
        <v>285</v>
      </c>
      <c r="C393" s="113" t="s">
        <v>429</v>
      </c>
      <c r="D393" s="112" t="s">
        <v>430</v>
      </c>
      <c r="E393" s="112" t="s">
        <v>431</v>
      </c>
      <c r="F393" s="151">
        <v>45824</v>
      </c>
      <c r="G393" s="112" t="s">
        <v>46</v>
      </c>
      <c r="H393" s="112" t="s">
        <v>21</v>
      </c>
      <c r="I393" s="130">
        <v>23244</v>
      </c>
      <c r="J393" s="130">
        <v>0</v>
      </c>
      <c r="K393" s="130">
        <v>23244</v>
      </c>
      <c r="L393" s="130">
        <v>23244</v>
      </c>
      <c r="M393" s="130"/>
      <c r="N393" s="131">
        <f t="shared" si="28"/>
        <v>0</v>
      </c>
      <c r="O393" s="132" t="s">
        <v>217</v>
      </c>
      <c r="P393" s="112"/>
    </row>
    <row r="394" s="89" customFormat="1" spans="1:17">
      <c r="A394" s="122">
        <v>45901</v>
      </c>
      <c r="B394" s="116" t="s">
        <v>285</v>
      </c>
      <c r="C394" s="78" t="s">
        <v>429</v>
      </c>
      <c r="D394" s="116" t="s">
        <v>430</v>
      </c>
      <c r="E394" s="116" t="s">
        <v>431</v>
      </c>
      <c r="F394" s="151">
        <v>45916</v>
      </c>
      <c r="G394" s="116" t="s">
        <v>432</v>
      </c>
      <c r="H394" s="116" t="s">
        <v>23</v>
      </c>
      <c r="I394" s="139">
        <v>11446.47</v>
      </c>
      <c r="J394" s="139">
        <v>0</v>
      </c>
      <c r="K394" s="139">
        <f t="shared" ref="K394:K398" si="29">I394-J394</f>
        <v>11446.47</v>
      </c>
      <c r="L394" s="139">
        <v>11446.47</v>
      </c>
      <c r="M394" s="139"/>
      <c r="N394" s="131">
        <f t="shared" si="28"/>
        <v>0</v>
      </c>
      <c r="O394" s="140" t="s">
        <v>50</v>
      </c>
      <c r="P394" s="141"/>
      <c r="Q394" s="89" t="s">
        <v>51</v>
      </c>
    </row>
    <row r="395" s="89" customFormat="1" spans="1:17">
      <c r="A395" s="122">
        <v>45901</v>
      </c>
      <c r="B395" s="116" t="s">
        <v>285</v>
      </c>
      <c r="C395" s="78" t="s">
        <v>429</v>
      </c>
      <c r="D395" s="116" t="s">
        <v>430</v>
      </c>
      <c r="E395" s="116" t="s">
        <v>431</v>
      </c>
      <c r="F395" s="151">
        <v>45916</v>
      </c>
      <c r="G395" s="116" t="s">
        <v>432</v>
      </c>
      <c r="H395" s="112" t="s">
        <v>21</v>
      </c>
      <c r="I395" s="139">
        <v>14880.41</v>
      </c>
      <c r="J395" s="139">
        <v>0</v>
      </c>
      <c r="K395" s="139">
        <f t="shared" si="29"/>
        <v>14880.41</v>
      </c>
      <c r="L395" s="139">
        <v>14880.41</v>
      </c>
      <c r="M395" s="139"/>
      <c r="N395" s="131">
        <f t="shared" si="28"/>
        <v>0</v>
      </c>
      <c r="O395" s="140" t="s">
        <v>50</v>
      </c>
      <c r="P395" s="141"/>
      <c r="Q395" s="89" t="s">
        <v>51</v>
      </c>
    </row>
    <row r="396" s="89" customFormat="1" spans="1:16">
      <c r="A396" s="122">
        <v>45901</v>
      </c>
      <c r="B396" s="116" t="s">
        <v>285</v>
      </c>
      <c r="C396" s="165" t="s">
        <v>433</v>
      </c>
      <c r="D396" s="141" t="s">
        <v>434</v>
      </c>
      <c r="E396" s="141" t="s">
        <v>435</v>
      </c>
      <c r="F396" s="151">
        <v>45916</v>
      </c>
      <c r="G396" s="141" t="s">
        <v>436</v>
      </c>
      <c r="H396" s="141" t="s">
        <v>23</v>
      </c>
      <c r="I396" s="139">
        <v>18368.63</v>
      </c>
      <c r="J396" s="139">
        <v>0</v>
      </c>
      <c r="K396" s="139">
        <v>18368.63</v>
      </c>
      <c r="L396" s="139">
        <v>18368.63</v>
      </c>
      <c r="M396" s="139"/>
      <c r="N396" s="131">
        <f t="shared" si="28"/>
        <v>0</v>
      </c>
      <c r="O396" s="140" t="s">
        <v>437</v>
      </c>
      <c r="P396" s="167" t="s">
        <v>438</v>
      </c>
    </row>
    <row r="397" s="89" customFormat="1" spans="1:16">
      <c r="A397" s="122">
        <v>45901</v>
      </c>
      <c r="B397" s="116" t="s">
        <v>285</v>
      </c>
      <c r="C397" s="165" t="s">
        <v>433</v>
      </c>
      <c r="D397" s="141" t="s">
        <v>434</v>
      </c>
      <c r="E397" s="141" t="s">
        <v>435</v>
      </c>
      <c r="F397" s="151">
        <v>45916</v>
      </c>
      <c r="G397" s="141" t="s">
        <v>439</v>
      </c>
      <c r="H397" s="121" t="s">
        <v>30</v>
      </c>
      <c r="I397" s="139">
        <v>3000</v>
      </c>
      <c r="J397" s="139">
        <v>0</v>
      </c>
      <c r="K397" s="139">
        <v>3000</v>
      </c>
      <c r="L397" s="139">
        <v>3000</v>
      </c>
      <c r="M397" s="139"/>
      <c r="N397" s="131">
        <f t="shared" si="28"/>
        <v>0</v>
      </c>
      <c r="O397" s="140" t="s">
        <v>437</v>
      </c>
      <c r="P397" s="167" t="s">
        <v>167</v>
      </c>
    </row>
    <row r="398" s="89" customFormat="1" spans="1:17">
      <c r="A398" s="122">
        <v>45901</v>
      </c>
      <c r="B398" s="116" t="s">
        <v>285</v>
      </c>
      <c r="C398" s="165" t="s">
        <v>433</v>
      </c>
      <c r="D398" s="141" t="s">
        <v>434</v>
      </c>
      <c r="E398" s="141" t="s">
        <v>435</v>
      </c>
      <c r="F398" s="151">
        <v>45916</v>
      </c>
      <c r="G398" s="141" t="s">
        <v>86</v>
      </c>
      <c r="H398" s="141" t="s">
        <v>23</v>
      </c>
      <c r="I398" s="139">
        <v>12690</v>
      </c>
      <c r="J398" s="139">
        <v>0</v>
      </c>
      <c r="K398" s="139">
        <f t="shared" si="29"/>
        <v>12690</v>
      </c>
      <c r="L398" s="139">
        <v>12690</v>
      </c>
      <c r="M398" s="139"/>
      <c r="N398" s="131">
        <f t="shared" si="28"/>
        <v>0</v>
      </c>
      <c r="O398" s="140" t="s">
        <v>229</v>
      </c>
      <c r="P398" s="167"/>
      <c r="Q398" s="89" t="s">
        <v>51</v>
      </c>
    </row>
    <row r="399" s="89" customFormat="1" spans="1:16">
      <c r="A399" s="122">
        <v>45901</v>
      </c>
      <c r="B399" s="116" t="s">
        <v>285</v>
      </c>
      <c r="C399" s="165" t="s">
        <v>433</v>
      </c>
      <c r="D399" s="141" t="s">
        <v>434</v>
      </c>
      <c r="E399" s="141" t="s">
        <v>435</v>
      </c>
      <c r="F399" s="151">
        <v>45916</v>
      </c>
      <c r="G399" s="141" t="s">
        <v>436</v>
      </c>
      <c r="H399" s="112" t="s">
        <v>21</v>
      </c>
      <c r="I399" s="139">
        <v>16348.08</v>
      </c>
      <c r="J399" s="139">
        <v>0</v>
      </c>
      <c r="K399" s="139">
        <v>16348.08</v>
      </c>
      <c r="L399" s="139">
        <v>16348.08</v>
      </c>
      <c r="M399" s="139"/>
      <c r="N399" s="131">
        <f t="shared" si="28"/>
        <v>0</v>
      </c>
      <c r="O399" s="140" t="s">
        <v>437</v>
      </c>
      <c r="P399" s="167" t="s">
        <v>438</v>
      </c>
    </row>
    <row r="400" s="89" customFormat="1" spans="1:17">
      <c r="A400" s="122">
        <v>45901</v>
      </c>
      <c r="B400" s="116" t="s">
        <v>285</v>
      </c>
      <c r="C400" s="165" t="s">
        <v>433</v>
      </c>
      <c r="D400" s="141" t="s">
        <v>434</v>
      </c>
      <c r="E400" s="141" t="s">
        <v>435</v>
      </c>
      <c r="F400" s="151">
        <v>45916</v>
      </c>
      <c r="G400" s="141" t="s">
        <v>86</v>
      </c>
      <c r="H400" s="112" t="s">
        <v>21</v>
      </c>
      <c r="I400" s="139">
        <v>11294.1</v>
      </c>
      <c r="J400" s="139">
        <v>0</v>
      </c>
      <c r="K400" s="139">
        <f t="shared" ref="K400:K404" si="30">I400-J400</f>
        <v>11294.1</v>
      </c>
      <c r="L400" s="139">
        <v>11294.1</v>
      </c>
      <c r="M400" s="139"/>
      <c r="N400" s="131">
        <f t="shared" si="28"/>
        <v>0</v>
      </c>
      <c r="O400" s="140" t="s">
        <v>229</v>
      </c>
      <c r="P400" s="167"/>
      <c r="Q400" s="89" t="s">
        <v>51</v>
      </c>
    </row>
    <row r="401" s="86" customFormat="1" spans="1:16">
      <c r="A401" s="111">
        <v>45839</v>
      </c>
      <c r="B401" s="116" t="s">
        <v>285</v>
      </c>
      <c r="C401" s="113" t="s">
        <v>440</v>
      </c>
      <c r="D401" s="112" t="s">
        <v>441</v>
      </c>
      <c r="E401" s="112" t="s">
        <v>442</v>
      </c>
      <c r="F401" s="151">
        <v>45824</v>
      </c>
      <c r="G401" s="112" t="s">
        <v>46</v>
      </c>
      <c r="H401" s="112" t="s">
        <v>23</v>
      </c>
      <c r="I401" s="130">
        <v>26400</v>
      </c>
      <c r="J401" s="130">
        <v>0</v>
      </c>
      <c r="K401" s="130">
        <v>26400</v>
      </c>
      <c r="L401" s="130">
        <v>26400</v>
      </c>
      <c r="M401" s="130"/>
      <c r="N401" s="131">
        <f t="shared" si="28"/>
        <v>0</v>
      </c>
      <c r="O401" s="132" t="s">
        <v>256</v>
      </c>
      <c r="P401" s="112"/>
    </row>
    <row r="402" s="86" customFormat="1" spans="1:16">
      <c r="A402" s="111">
        <v>45839</v>
      </c>
      <c r="B402" s="116" t="s">
        <v>285</v>
      </c>
      <c r="C402" s="113" t="s">
        <v>440</v>
      </c>
      <c r="D402" s="112" t="s">
        <v>441</v>
      </c>
      <c r="E402" s="112" t="s">
        <v>442</v>
      </c>
      <c r="F402" s="151">
        <v>45824</v>
      </c>
      <c r="G402" s="112" t="s">
        <v>46</v>
      </c>
      <c r="H402" s="112" t="s">
        <v>21</v>
      </c>
      <c r="I402" s="130">
        <v>33600</v>
      </c>
      <c r="J402" s="130">
        <v>0</v>
      </c>
      <c r="K402" s="130">
        <v>33600</v>
      </c>
      <c r="L402" s="130">
        <v>33600</v>
      </c>
      <c r="M402" s="130"/>
      <c r="N402" s="131">
        <f t="shared" si="28"/>
        <v>0</v>
      </c>
      <c r="O402" s="132" t="s">
        <v>256</v>
      </c>
      <c r="P402" s="112"/>
    </row>
    <row r="403" s="89" customFormat="1" spans="1:17">
      <c r="A403" s="122">
        <v>45901</v>
      </c>
      <c r="B403" s="116" t="s">
        <v>285</v>
      </c>
      <c r="C403" s="78" t="s">
        <v>440</v>
      </c>
      <c r="D403" s="116" t="s">
        <v>441</v>
      </c>
      <c r="E403" s="116" t="s">
        <v>442</v>
      </c>
      <c r="F403" s="151">
        <v>45916</v>
      </c>
      <c r="G403" s="116" t="s">
        <v>86</v>
      </c>
      <c r="H403" s="116" t="s">
        <v>23</v>
      </c>
      <c r="I403" s="139">
        <v>26400</v>
      </c>
      <c r="J403" s="139">
        <v>0</v>
      </c>
      <c r="K403" s="139">
        <f t="shared" si="30"/>
        <v>26400</v>
      </c>
      <c r="L403" s="139">
        <f>K403</f>
        <v>26400</v>
      </c>
      <c r="M403" s="139"/>
      <c r="N403" s="131">
        <f t="shared" si="28"/>
        <v>0</v>
      </c>
      <c r="O403" s="140" t="s">
        <v>443</v>
      </c>
      <c r="P403" s="141"/>
      <c r="Q403" s="89" t="s">
        <v>51</v>
      </c>
    </row>
    <row r="404" s="89" customFormat="1" spans="1:17">
      <c r="A404" s="122">
        <v>45901</v>
      </c>
      <c r="B404" s="116" t="s">
        <v>285</v>
      </c>
      <c r="C404" s="78" t="s">
        <v>440</v>
      </c>
      <c r="D404" s="116" t="s">
        <v>441</v>
      </c>
      <c r="E404" s="116" t="s">
        <v>442</v>
      </c>
      <c r="F404" s="151">
        <v>45916</v>
      </c>
      <c r="G404" s="116" t="s">
        <v>86</v>
      </c>
      <c r="H404" s="112" t="s">
        <v>21</v>
      </c>
      <c r="I404" s="139">
        <v>33600</v>
      </c>
      <c r="J404" s="139">
        <v>0</v>
      </c>
      <c r="K404" s="139">
        <f t="shared" si="30"/>
        <v>33600</v>
      </c>
      <c r="L404" s="139">
        <f>K404</f>
        <v>33600</v>
      </c>
      <c r="M404" s="139"/>
      <c r="N404" s="131">
        <f t="shared" si="28"/>
        <v>0</v>
      </c>
      <c r="O404" s="140" t="s">
        <v>443</v>
      </c>
      <c r="P404" s="141"/>
      <c r="Q404" s="89" t="s">
        <v>51</v>
      </c>
    </row>
    <row r="405" s="86" customFormat="1" spans="1:16">
      <c r="A405" s="111">
        <v>45839</v>
      </c>
      <c r="B405" s="116" t="s">
        <v>285</v>
      </c>
      <c r="C405" s="113" t="s">
        <v>444</v>
      </c>
      <c r="D405" s="112" t="s">
        <v>445</v>
      </c>
      <c r="E405" s="112" t="s">
        <v>446</v>
      </c>
      <c r="F405" s="151">
        <v>45824</v>
      </c>
      <c r="G405" s="112" t="s">
        <v>55</v>
      </c>
      <c r="H405" s="112" t="s">
        <v>23</v>
      </c>
      <c r="I405" s="130">
        <v>10780</v>
      </c>
      <c r="J405" s="130">
        <v>0</v>
      </c>
      <c r="K405" s="130">
        <v>10780</v>
      </c>
      <c r="L405" s="130">
        <v>10780</v>
      </c>
      <c r="M405" s="130"/>
      <c r="N405" s="131">
        <f t="shared" si="28"/>
        <v>0</v>
      </c>
      <c r="O405" s="132" t="s">
        <v>325</v>
      </c>
      <c r="P405" s="112"/>
    </row>
    <row r="406" s="86" customFormat="1" spans="1:16">
      <c r="A406" s="111">
        <v>45839</v>
      </c>
      <c r="B406" s="116" t="s">
        <v>285</v>
      </c>
      <c r="C406" s="113" t="s">
        <v>444</v>
      </c>
      <c r="D406" s="112" t="s">
        <v>445</v>
      </c>
      <c r="E406" s="112" t="s">
        <v>446</v>
      </c>
      <c r="F406" s="151">
        <v>45824</v>
      </c>
      <c r="G406" s="112" t="s">
        <v>55</v>
      </c>
      <c r="H406" s="112" t="s">
        <v>21</v>
      </c>
      <c r="I406" s="130">
        <v>5880</v>
      </c>
      <c r="J406" s="130">
        <v>0</v>
      </c>
      <c r="K406" s="130">
        <v>5880</v>
      </c>
      <c r="L406" s="130">
        <v>5880</v>
      </c>
      <c r="M406" s="130"/>
      <c r="N406" s="131">
        <f t="shared" si="28"/>
        <v>0</v>
      </c>
      <c r="O406" s="132" t="s">
        <v>325</v>
      </c>
      <c r="P406" s="112"/>
    </row>
    <row r="407" s="89" customFormat="1" spans="1:16">
      <c r="A407" s="122">
        <v>45901</v>
      </c>
      <c r="B407" s="116" t="s">
        <v>285</v>
      </c>
      <c r="C407" s="165" t="s">
        <v>444</v>
      </c>
      <c r="D407" s="141" t="s">
        <v>445</v>
      </c>
      <c r="E407" s="141" t="s">
        <v>446</v>
      </c>
      <c r="F407" s="151">
        <v>45916</v>
      </c>
      <c r="G407" s="141" t="s">
        <v>241</v>
      </c>
      <c r="H407" s="141" t="s">
        <v>23</v>
      </c>
      <c r="I407" s="139">
        <v>26460</v>
      </c>
      <c r="J407" s="139">
        <v>0</v>
      </c>
      <c r="K407" s="139">
        <v>26460</v>
      </c>
      <c r="L407" s="139">
        <v>26460</v>
      </c>
      <c r="M407" s="139"/>
      <c r="N407" s="131">
        <f t="shared" si="28"/>
        <v>0</v>
      </c>
      <c r="O407" s="140" t="s">
        <v>326</v>
      </c>
      <c r="P407" s="167" t="s">
        <v>167</v>
      </c>
    </row>
    <row r="408" s="89" customFormat="1" spans="1:16">
      <c r="A408" s="122">
        <v>45901</v>
      </c>
      <c r="B408" s="116" t="s">
        <v>285</v>
      </c>
      <c r="C408" s="165" t="s">
        <v>444</v>
      </c>
      <c r="D408" s="141" t="s">
        <v>445</v>
      </c>
      <c r="E408" s="141" t="s">
        <v>446</v>
      </c>
      <c r="F408" s="151">
        <v>45916</v>
      </c>
      <c r="G408" s="141" t="s">
        <v>261</v>
      </c>
      <c r="H408" s="121" t="s">
        <v>30</v>
      </c>
      <c r="I408" s="139">
        <v>3000</v>
      </c>
      <c r="J408" s="139">
        <v>0</v>
      </c>
      <c r="K408" s="139">
        <v>3000</v>
      </c>
      <c r="L408" s="139">
        <v>3000</v>
      </c>
      <c r="M408" s="139"/>
      <c r="N408" s="131">
        <f t="shared" si="28"/>
        <v>0</v>
      </c>
      <c r="O408" s="140" t="s">
        <v>326</v>
      </c>
      <c r="P408" s="167" t="s">
        <v>167</v>
      </c>
    </row>
    <row r="409" s="89" customFormat="1" spans="1:16">
      <c r="A409" s="122">
        <v>45901</v>
      </c>
      <c r="B409" s="116" t="s">
        <v>285</v>
      </c>
      <c r="C409" s="165" t="s">
        <v>444</v>
      </c>
      <c r="D409" s="141" t="s">
        <v>445</v>
      </c>
      <c r="E409" s="141" t="s">
        <v>446</v>
      </c>
      <c r="F409" s="151">
        <v>45916</v>
      </c>
      <c r="G409" s="141" t="s">
        <v>241</v>
      </c>
      <c r="H409" s="112" t="s">
        <v>21</v>
      </c>
      <c r="I409" s="139">
        <v>11760</v>
      </c>
      <c r="J409" s="139">
        <v>0</v>
      </c>
      <c r="K409" s="139">
        <v>11760</v>
      </c>
      <c r="L409" s="139">
        <v>11760</v>
      </c>
      <c r="M409" s="139"/>
      <c r="N409" s="131">
        <f t="shared" si="28"/>
        <v>0</v>
      </c>
      <c r="O409" s="140" t="s">
        <v>326</v>
      </c>
      <c r="P409" s="167" t="s">
        <v>167</v>
      </c>
    </row>
    <row r="410" s="88" customFormat="1" spans="1:16">
      <c r="A410" s="118">
        <v>45931</v>
      </c>
      <c r="B410" s="116" t="s">
        <v>285</v>
      </c>
      <c r="C410" s="119" t="s">
        <v>444</v>
      </c>
      <c r="D410" s="114" t="s">
        <v>445</v>
      </c>
      <c r="E410" s="114" t="s">
        <v>446</v>
      </c>
      <c r="F410" s="151">
        <v>45946</v>
      </c>
      <c r="G410" s="114" t="s">
        <v>98</v>
      </c>
      <c r="H410" s="114" t="s">
        <v>23</v>
      </c>
      <c r="I410" s="131">
        <v>8820</v>
      </c>
      <c r="J410" s="131"/>
      <c r="K410" s="136">
        <v>8820</v>
      </c>
      <c r="L410" s="136">
        <v>8820</v>
      </c>
      <c r="M410" s="136"/>
      <c r="N410" s="131">
        <f t="shared" si="28"/>
        <v>0</v>
      </c>
      <c r="O410" s="137" t="s">
        <v>305</v>
      </c>
      <c r="P410" s="138"/>
    </row>
    <row r="411" s="88" customFormat="1" spans="1:16">
      <c r="A411" s="118">
        <v>45931</v>
      </c>
      <c r="B411" s="116" t="s">
        <v>285</v>
      </c>
      <c r="C411" s="119" t="s">
        <v>444</v>
      </c>
      <c r="D411" s="114" t="s">
        <v>445</v>
      </c>
      <c r="E411" s="114" t="s">
        <v>446</v>
      </c>
      <c r="F411" s="151">
        <v>45946</v>
      </c>
      <c r="G411" s="114" t="s">
        <v>26</v>
      </c>
      <c r="H411" s="114" t="s">
        <v>23</v>
      </c>
      <c r="I411" s="131">
        <v>8820</v>
      </c>
      <c r="J411" s="131"/>
      <c r="K411" s="136">
        <v>8820</v>
      </c>
      <c r="L411" s="136">
        <v>8820</v>
      </c>
      <c r="M411" s="136"/>
      <c r="N411" s="131">
        <f t="shared" si="28"/>
        <v>0</v>
      </c>
      <c r="O411" s="137" t="s">
        <v>305</v>
      </c>
      <c r="P411" s="138"/>
    </row>
    <row r="412" s="88" customFormat="1" spans="1:16">
      <c r="A412" s="118">
        <v>45931</v>
      </c>
      <c r="B412" s="116" t="s">
        <v>285</v>
      </c>
      <c r="C412" s="119" t="s">
        <v>444</v>
      </c>
      <c r="D412" s="114" t="s">
        <v>445</v>
      </c>
      <c r="E412" s="114" t="s">
        <v>446</v>
      </c>
      <c r="F412" s="151">
        <v>45946</v>
      </c>
      <c r="G412" s="114" t="s">
        <v>28</v>
      </c>
      <c r="H412" s="114" t="s">
        <v>23</v>
      </c>
      <c r="I412" s="131">
        <v>8820</v>
      </c>
      <c r="J412" s="131"/>
      <c r="K412" s="136">
        <v>8820</v>
      </c>
      <c r="L412" s="136">
        <v>8820</v>
      </c>
      <c r="M412" s="136"/>
      <c r="N412" s="131">
        <f t="shared" si="28"/>
        <v>0</v>
      </c>
      <c r="O412" s="137" t="s">
        <v>305</v>
      </c>
      <c r="P412" s="138"/>
    </row>
    <row r="413" s="88" customFormat="1" spans="1:16">
      <c r="A413" s="118">
        <v>45931</v>
      </c>
      <c r="B413" s="116" t="s">
        <v>285</v>
      </c>
      <c r="C413" s="119" t="s">
        <v>444</v>
      </c>
      <c r="D413" s="114" t="s">
        <v>445</v>
      </c>
      <c r="E413" s="114" t="s">
        <v>446</v>
      </c>
      <c r="F413" s="151">
        <v>45946</v>
      </c>
      <c r="G413" s="114" t="s">
        <v>98</v>
      </c>
      <c r="H413" s="112" t="s">
        <v>21</v>
      </c>
      <c r="I413" s="131">
        <v>3920</v>
      </c>
      <c r="J413" s="131"/>
      <c r="K413" s="136">
        <v>3920</v>
      </c>
      <c r="L413" s="136">
        <v>3920</v>
      </c>
      <c r="M413" s="136"/>
      <c r="N413" s="131">
        <f t="shared" si="28"/>
        <v>0</v>
      </c>
      <c r="O413" s="137" t="s">
        <v>305</v>
      </c>
      <c r="P413" s="138"/>
    </row>
    <row r="414" s="88" customFormat="1" spans="1:16">
      <c r="A414" s="118">
        <v>45931</v>
      </c>
      <c r="B414" s="116" t="s">
        <v>285</v>
      </c>
      <c r="C414" s="119" t="s">
        <v>444</v>
      </c>
      <c r="D414" s="114" t="s">
        <v>445</v>
      </c>
      <c r="E414" s="114" t="s">
        <v>446</v>
      </c>
      <c r="F414" s="151">
        <v>45946</v>
      </c>
      <c r="G414" s="114" t="s">
        <v>26</v>
      </c>
      <c r="H414" s="112" t="s">
        <v>21</v>
      </c>
      <c r="I414" s="131">
        <v>3920</v>
      </c>
      <c r="J414" s="131"/>
      <c r="K414" s="136">
        <v>3920</v>
      </c>
      <c r="L414" s="136">
        <v>3920</v>
      </c>
      <c r="M414" s="136"/>
      <c r="N414" s="131">
        <f t="shared" si="28"/>
        <v>0</v>
      </c>
      <c r="O414" s="137" t="s">
        <v>305</v>
      </c>
      <c r="P414" s="138"/>
    </row>
    <row r="415" s="88" customFormat="1" spans="1:16">
      <c r="A415" s="118">
        <v>45931</v>
      </c>
      <c r="B415" s="116" t="s">
        <v>285</v>
      </c>
      <c r="C415" s="119" t="s">
        <v>444</v>
      </c>
      <c r="D415" s="114" t="s">
        <v>445</v>
      </c>
      <c r="E415" s="114" t="s">
        <v>446</v>
      </c>
      <c r="F415" s="151">
        <v>45946</v>
      </c>
      <c r="G415" s="114" t="s">
        <v>28</v>
      </c>
      <c r="H415" s="112" t="s">
        <v>21</v>
      </c>
      <c r="I415" s="131">
        <v>3920</v>
      </c>
      <c r="J415" s="131"/>
      <c r="K415" s="136">
        <v>3920</v>
      </c>
      <c r="L415" s="136">
        <v>3920</v>
      </c>
      <c r="M415" s="136"/>
      <c r="N415" s="131">
        <f t="shared" si="28"/>
        <v>0</v>
      </c>
      <c r="O415" s="137" t="s">
        <v>305</v>
      </c>
      <c r="P415" s="138"/>
    </row>
    <row r="416" s="86" customFormat="1" spans="1:16">
      <c r="A416" s="111">
        <v>45839</v>
      </c>
      <c r="B416" s="116" t="s">
        <v>285</v>
      </c>
      <c r="C416" s="113" t="s">
        <v>447</v>
      </c>
      <c r="D416" s="112" t="s">
        <v>448</v>
      </c>
      <c r="E416" s="112" t="s">
        <v>449</v>
      </c>
      <c r="F416" s="151">
        <v>45824</v>
      </c>
      <c r="G416" s="112" t="s">
        <v>55</v>
      </c>
      <c r="H416" s="112" t="s">
        <v>23</v>
      </c>
      <c r="I416" s="130">
        <v>3030</v>
      </c>
      <c r="J416" s="130">
        <v>0</v>
      </c>
      <c r="K416" s="130">
        <v>3030</v>
      </c>
      <c r="L416" s="130">
        <v>3030</v>
      </c>
      <c r="M416" s="130"/>
      <c r="N416" s="131">
        <f t="shared" si="28"/>
        <v>0</v>
      </c>
      <c r="O416" s="132" t="s">
        <v>314</v>
      </c>
      <c r="P416" s="112"/>
    </row>
    <row r="417" s="86" customFormat="1" spans="1:16">
      <c r="A417" s="111">
        <v>45839</v>
      </c>
      <c r="B417" s="116" t="s">
        <v>285</v>
      </c>
      <c r="C417" s="113" t="s">
        <v>447</v>
      </c>
      <c r="D417" s="112" t="s">
        <v>448</v>
      </c>
      <c r="E417" s="112" t="s">
        <v>449</v>
      </c>
      <c r="F417" s="151">
        <v>45824</v>
      </c>
      <c r="G417" s="112" t="s">
        <v>55</v>
      </c>
      <c r="H417" s="112" t="s">
        <v>21</v>
      </c>
      <c r="I417" s="130">
        <v>5555</v>
      </c>
      <c r="J417" s="130">
        <v>0</v>
      </c>
      <c r="K417" s="130">
        <v>5555</v>
      </c>
      <c r="L417" s="130">
        <v>5555</v>
      </c>
      <c r="M417" s="130"/>
      <c r="N417" s="131">
        <f t="shared" si="28"/>
        <v>0</v>
      </c>
      <c r="O417" s="132" t="s">
        <v>314</v>
      </c>
      <c r="P417" s="112"/>
    </row>
    <row r="418" s="89" customFormat="1" spans="1:16">
      <c r="A418" s="122">
        <v>45901</v>
      </c>
      <c r="B418" s="116" t="s">
        <v>285</v>
      </c>
      <c r="C418" s="165" t="s">
        <v>447</v>
      </c>
      <c r="D418" s="141" t="s">
        <v>448</v>
      </c>
      <c r="E418" s="141" t="s">
        <v>449</v>
      </c>
      <c r="F418" s="151">
        <v>45916</v>
      </c>
      <c r="G418" s="141" t="s">
        <v>241</v>
      </c>
      <c r="H418" s="141" t="s">
        <v>23</v>
      </c>
      <c r="I418" s="139">
        <v>9090</v>
      </c>
      <c r="J418" s="139">
        <v>0</v>
      </c>
      <c r="K418" s="139">
        <v>9090</v>
      </c>
      <c r="L418" s="139">
        <v>9090</v>
      </c>
      <c r="M418" s="139"/>
      <c r="N418" s="131">
        <f t="shared" si="28"/>
        <v>0</v>
      </c>
      <c r="O418" s="140" t="s">
        <v>326</v>
      </c>
      <c r="P418" s="167" t="s">
        <v>167</v>
      </c>
    </row>
    <row r="419" s="89" customFormat="1" spans="1:16">
      <c r="A419" s="122">
        <v>45901</v>
      </c>
      <c r="B419" s="116" t="s">
        <v>285</v>
      </c>
      <c r="C419" s="165" t="s">
        <v>447</v>
      </c>
      <c r="D419" s="141" t="s">
        <v>448</v>
      </c>
      <c r="E419" s="141" t="s">
        <v>449</v>
      </c>
      <c r="F419" s="151">
        <v>45916</v>
      </c>
      <c r="G419" s="141" t="s">
        <v>261</v>
      </c>
      <c r="H419" s="121" t="s">
        <v>30</v>
      </c>
      <c r="I419" s="139">
        <v>2700</v>
      </c>
      <c r="J419" s="139">
        <v>0</v>
      </c>
      <c r="K419" s="139">
        <v>2700</v>
      </c>
      <c r="L419" s="139">
        <v>2700</v>
      </c>
      <c r="M419" s="139"/>
      <c r="N419" s="131">
        <f t="shared" si="28"/>
        <v>0</v>
      </c>
      <c r="O419" s="140" t="s">
        <v>326</v>
      </c>
      <c r="P419" s="167" t="s">
        <v>167</v>
      </c>
    </row>
    <row r="420" s="89" customFormat="1" spans="1:16">
      <c r="A420" s="122">
        <v>45901</v>
      </c>
      <c r="B420" s="116" t="s">
        <v>285</v>
      </c>
      <c r="C420" s="165" t="s">
        <v>447</v>
      </c>
      <c r="D420" s="141" t="s">
        <v>448</v>
      </c>
      <c r="E420" s="141" t="s">
        <v>449</v>
      </c>
      <c r="F420" s="151">
        <v>45916</v>
      </c>
      <c r="G420" s="141" t="s">
        <v>241</v>
      </c>
      <c r="H420" s="112" t="s">
        <v>21</v>
      </c>
      <c r="I420" s="139">
        <v>16665</v>
      </c>
      <c r="J420" s="139">
        <v>0</v>
      </c>
      <c r="K420" s="139">
        <v>16665</v>
      </c>
      <c r="L420" s="139">
        <v>16665</v>
      </c>
      <c r="M420" s="139"/>
      <c r="N420" s="131">
        <f t="shared" si="28"/>
        <v>0</v>
      </c>
      <c r="O420" s="140" t="s">
        <v>326</v>
      </c>
      <c r="P420" s="167" t="s">
        <v>167</v>
      </c>
    </row>
    <row r="421" s="88" customFormat="1" spans="1:16">
      <c r="A421" s="118">
        <v>45931</v>
      </c>
      <c r="B421" s="116" t="s">
        <v>285</v>
      </c>
      <c r="C421" s="119" t="s">
        <v>447</v>
      </c>
      <c r="D421" s="114" t="s">
        <v>448</v>
      </c>
      <c r="E421" s="114" t="s">
        <v>449</v>
      </c>
      <c r="F421" s="151">
        <v>45946</v>
      </c>
      <c r="G421" s="114" t="s">
        <v>98</v>
      </c>
      <c r="H421" s="114" t="s">
        <v>23</v>
      </c>
      <c r="I421" s="131">
        <v>3030</v>
      </c>
      <c r="J421" s="131"/>
      <c r="K421" s="136">
        <v>3030</v>
      </c>
      <c r="L421" s="136">
        <v>3030</v>
      </c>
      <c r="M421" s="136"/>
      <c r="N421" s="131">
        <f t="shared" si="28"/>
        <v>0</v>
      </c>
      <c r="O421" s="137"/>
      <c r="P421" s="138"/>
    </row>
    <row r="422" s="88" customFormat="1" spans="1:16">
      <c r="A422" s="118">
        <v>45931</v>
      </c>
      <c r="B422" s="116" t="s">
        <v>285</v>
      </c>
      <c r="C422" s="119" t="s">
        <v>447</v>
      </c>
      <c r="D422" s="114" t="s">
        <v>448</v>
      </c>
      <c r="E422" s="114" t="s">
        <v>449</v>
      </c>
      <c r="F422" s="151">
        <v>45946</v>
      </c>
      <c r="G422" s="114" t="s">
        <v>26</v>
      </c>
      <c r="H422" s="114" t="s">
        <v>23</v>
      </c>
      <c r="I422" s="131">
        <v>3030</v>
      </c>
      <c r="J422" s="131"/>
      <c r="K422" s="136">
        <v>3030</v>
      </c>
      <c r="L422" s="136">
        <v>3030</v>
      </c>
      <c r="M422" s="136"/>
      <c r="N422" s="131">
        <f t="shared" si="28"/>
        <v>0</v>
      </c>
      <c r="O422" s="137"/>
      <c r="P422" s="138"/>
    </row>
    <row r="423" s="88" customFormat="1" spans="1:16">
      <c r="A423" s="118">
        <v>45931</v>
      </c>
      <c r="B423" s="116" t="s">
        <v>285</v>
      </c>
      <c r="C423" s="119" t="s">
        <v>447</v>
      </c>
      <c r="D423" s="114" t="s">
        <v>448</v>
      </c>
      <c r="E423" s="114" t="s">
        <v>449</v>
      </c>
      <c r="F423" s="151">
        <v>45946</v>
      </c>
      <c r="G423" s="114" t="s">
        <v>28</v>
      </c>
      <c r="H423" s="114" t="s">
        <v>23</v>
      </c>
      <c r="I423" s="131">
        <v>3030</v>
      </c>
      <c r="J423" s="131"/>
      <c r="K423" s="136">
        <v>3030</v>
      </c>
      <c r="L423" s="136">
        <v>3030</v>
      </c>
      <c r="M423" s="136"/>
      <c r="N423" s="131">
        <f t="shared" si="28"/>
        <v>0</v>
      </c>
      <c r="O423" s="137"/>
      <c r="P423" s="138"/>
    </row>
    <row r="424" s="88" customFormat="1" spans="1:16">
      <c r="A424" s="118">
        <v>45931</v>
      </c>
      <c r="B424" s="116" t="s">
        <v>285</v>
      </c>
      <c r="C424" s="119" t="s">
        <v>447</v>
      </c>
      <c r="D424" s="114" t="s">
        <v>448</v>
      </c>
      <c r="E424" s="114" t="s">
        <v>449</v>
      </c>
      <c r="F424" s="151">
        <v>45946</v>
      </c>
      <c r="G424" s="114" t="s">
        <v>98</v>
      </c>
      <c r="H424" s="112" t="s">
        <v>21</v>
      </c>
      <c r="I424" s="131">
        <v>5555</v>
      </c>
      <c r="J424" s="131"/>
      <c r="K424" s="136">
        <v>5555</v>
      </c>
      <c r="L424" s="136">
        <v>5555</v>
      </c>
      <c r="M424" s="136"/>
      <c r="N424" s="131">
        <f t="shared" si="28"/>
        <v>0</v>
      </c>
      <c r="O424" s="137" t="s">
        <v>191</v>
      </c>
      <c r="P424" s="138"/>
    </row>
    <row r="425" s="88" customFormat="1" spans="1:16">
      <c r="A425" s="118">
        <v>45931</v>
      </c>
      <c r="B425" s="116" t="s">
        <v>285</v>
      </c>
      <c r="C425" s="119" t="s">
        <v>447</v>
      </c>
      <c r="D425" s="114" t="s">
        <v>448</v>
      </c>
      <c r="E425" s="114" t="s">
        <v>449</v>
      </c>
      <c r="F425" s="151">
        <v>45946</v>
      </c>
      <c r="G425" s="114" t="s">
        <v>26</v>
      </c>
      <c r="H425" s="112" t="s">
        <v>21</v>
      </c>
      <c r="I425" s="131">
        <v>5555</v>
      </c>
      <c r="J425" s="131"/>
      <c r="K425" s="136">
        <v>5555</v>
      </c>
      <c r="L425" s="136">
        <v>5555</v>
      </c>
      <c r="M425" s="136"/>
      <c r="N425" s="131">
        <f t="shared" si="28"/>
        <v>0</v>
      </c>
      <c r="O425" s="137" t="s">
        <v>191</v>
      </c>
      <c r="P425" s="138"/>
    </row>
    <row r="426" s="88" customFormat="1" spans="1:16">
      <c r="A426" s="118">
        <v>45931</v>
      </c>
      <c r="B426" s="116" t="s">
        <v>285</v>
      </c>
      <c r="C426" s="119" t="s">
        <v>447</v>
      </c>
      <c r="D426" s="114" t="s">
        <v>448</v>
      </c>
      <c r="E426" s="114" t="s">
        <v>449</v>
      </c>
      <c r="F426" s="151">
        <v>45946</v>
      </c>
      <c r="G426" s="114" t="s">
        <v>28</v>
      </c>
      <c r="H426" s="112" t="s">
        <v>21</v>
      </c>
      <c r="I426" s="131">
        <v>5555</v>
      </c>
      <c r="J426" s="131"/>
      <c r="K426" s="136">
        <v>5555</v>
      </c>
      <c r="L426" s="136">
        <v>5555</v>
      </c>
      <c r="M426" s="136"/>
      <c r="N426" s="131">
        <f t="shared" si="28"/>
        <v>0</v>
      </c>
      <c r="O426" s="137" t="s">
        <v>191</v>
      </c>
      <c r="P426" s="138"/>
    </row>
    <row r="427" s="86" customFormat="1" spans="1:16">
      <c r="A427" s="111">
        <v>45839</v>
      </c>
      <c r="B427" s="116" t="s">
        <v>285</v>
      </c>
      <c r="C427" s="113" t="s">
        <v>450</v>
      </c>
      <c r="D427" s="112" t="s">
        <v>451</v>
      </c>
      <c r="E427" s="112" t="s">
        <v>452</v>
      </c>
      <c r="F427" s="151">
        <v>45824</v>
      </c>
      <c r="G427" s="112" t="s">
        <v>55</v>
      </c>
      <c r="H427" s="112" t="s">
        <v>21</v>
      </c>
      <c r="I427" s="130">
        <v>6300</v>
      </c>
      <c r="J427" s="130">
        <v>0</v>
      </c>
      <c r="K427" s="130">
        <v>6300</v>
      </c>
      <c r="L427" s="130">
        <v>6300</v>
      </c>
      <c r="M427" s="130"/>
      <c r="N427" s="131">
        <f t="shared" si="28"/>
        <v>0</v>
      </c>
      <c r="O427" s="132" t="s">
        <v>256</v>
      </c>
      <c r="P427" s="112"/>
    </row>
    <row r="428" s="86" customFormat="1" spans="1:16">
      <c r="A428" s="111">
        <v>45839</v>
      </c>
      <c r="B428" s="116" t="s">
        <v>285</v>
      </c>
      <c r="C428" s="113" t="s">
        <v>450</v>
      </c>
      <c r="D428" s="112" t="s">
        <v>451</v>
      </c>
      <c r="E428" s="112" t="s">
        <v>452</v>
      </c>
      <c r="F428" s="151">
        <v>45824</v>
      </c>
      <c r="G428" s="112" t="s">
        <v>55</v>
      </c>
      <c r="H428" s="112" t="s">
        <v>23</v>
      </c>
      <c r="I428" s="130">
        <v>5775</v>
      </c>
      <c r="J428" s="130">
        <v>0</v>
      </c>
      <c r="K428" s="130">
        <v>5775</v>
      </c>
      <c r="L428" s="130">
        <v>5775</v>
      </c>
      <c r="M428" s="130"/>
      <c r="N428" s="131">
        <f t="shared" si="28"/>
        <v>0</v>
      </c>
      <c r="O428" s="132" t="s">
        <v>256</v>
      </c>
      <c r="P428" s="112"/>
    </row>
    <row r="429" s="86" customFormat="1" spans="1:16">
      <c r="A429" s="111">
        <v>45839</v>
      </c>
      <c r="B429" s="116" t="s">
        <v>285</v>
      </c>
      <c r="C429" s="113" t="s">
        <v>450</v>
      </c>
      <c r="D429" s="112" t="s">
        <v>451</v>
      </c>
      <c r="E429" s="112" t="s">
        <v>452</v>
      </c>
      <c r="F429" s="151">
        <v>45855</v>
      </c>
      <c r="G429" s="112" t="s">
        <v>56</v>
      </c>
      <c r="H429" s="112" t="s">
        <v>21</v>
      </c>
      <c r="I429" s="130">
        <v>6300</v>
      </c>
      <c r="J429" s="130">
        <v>0</v>
      </c>
      <c r="K429" s="130">
        <f t="shared" ref="K429:K434" si="31">I429-J429</f>
        <v>6300</v>
      </c>
      <c r="L429" s="130">
        <f>125+6175</f>
        <v>6300</v>
      </c>
      <c r="M429" s="130"/>
      <c r="N429" s="131">
        <f t="shared" si="28"/>
        <v>0</v>
      </c>
      <c r="O429" s="132" t="s">
        <v>453</v>
      </c>
      <c r="P429" s="112"/>
    </row>
    <row r="430" s="86" customFormat="1" spans="1:16">
      <c r="A430" s="111">
        <v>45839</v>
      </c>
      <c r="B430" s="116" t="s">
        <v>285</v>
      </c>
      <c r="C430" s="113" t="s">
        <v>450</v>
      </c>
      <c r="D430" s="112" t="s">
        <v>451</v>
      </c>
      <c r="E430" s="112" t="s">
        <v>452</v>
      </c>
      <c r="F430" s="151">
        <v>45855</v>
      </c>
      <c r="G430" s="112" t="s">
        <v>56</v>
      </c>
      <c r="H430" s="112" t="s">
        <v>23</v>
      </c>
      <c r="I430" s="130">
        <v>5775</v>
      </c>
      <c r="J430" s="130">
        <v>0</v>
      </c>
      <c r="K430" s="130">
        <f t="shared" si="31"/>
        <v>5775</v>
      </c>
      <c r="L430" s="130">
        <f>4100+1675</f>
        <v>5775</v>
      </c>
      <c r="M430" s="130"/>
      <c r="N430" s="131">
        <f t="shared" si="28"/>
        <v>0</v>
      </c>
      <c r="O430" s="132" t="s">
        <v>454</v>
      </c>
      <c r="P430" s="112"/>
    </row>
    <row r="431" s="87" customFormat="1" spans="1:16">
      <c r="A431" s="111">
        <v>45870</v>
      </c>
      <c r="B431" s="116" t="s">
        <v>285</v>
      </c>
      <c r="C431" s="78" t="s">
        <v>450</v>
      </c>
      <c r="D431" s="116" t="s">
        <v>451</v>
      </c>
      <c r="E431" s="116" t="s">
        <v>452</v>
      </c>
      <c r="F431" s="151">
        <v>45886</v>
      </c>
      <c r="G431" s="116" t="s">
        <v>58</v>
      </c>
      <c r="H431" s="112" t="s">
        <v>21</v>
      </c>
      <c r="I431" s="133">
        <v>6300</v>
      </c>
      <c r="J431" s="133">
        <v>0</v>
      </c>
      <c r="K431" s="133">
        <f t="shared" si="31"/>
        <v>6300</v>
      </c>
      <c r="L431" s="133">
        <v>6300</v>
      </c>
      <c r="M431" s="133"/>
      <c r="N431" s="131">
        <f t="shared" si="28"/>
        <v>0</v>
      </c>
      <c r="O431" s="134" t="s">
        <v>455</v>
      </c>
      <c r="P431" s="135"/>
    </row>
    <row r="432" s="87" customFormat="1" spans="1:16">
      <c r="A432" s="111">
        <v>45870</v>
      </c>
      <c r="B432" s="116" t="s">
        <v>285</v>
      </c>
      <c r="C432" s="78" t="s">
        <v>450</v>
      </c>
      <c r="D432" s="116" t="s">
        <v>451</v>
      </c>
      <c r="E432" s="116" t="s">
        <v>452</v>
      </c>
      <c r="F432" s="151">
        <v>45886</v>
      </c>
      <c r="G432" s="116" t="s">
        <v>58</v>
      </c>
      <c r="H432" s="116" t="s">
        <v>23</v>
      </c>
      <c r="I432" s="133">
        <v>5775</v>
      </c>
      <c r="J432" s="133">
        <v>0</v>
      </c>
      <c r="K432" s="133">
        <f t="shared" si="31"/>
        <v>5775</v>
      </c>
      <c r="L432" s="133">
        <v>5775</v>
      </c>
      <c r="M432" s="133"/>
      <c r="N432" s="131">
        <f t="shared" si="28"/>
        <v>0</v>
      </c>
      <c r="O432" s="134" t="s">
        <v>455</v>
      </c>
      <c r="P432" s="135"/>
    </row>
    <row r="433" s="89" customFormat="1" spans="1:17">
      <c r="A433" s="122">
        <v>45901</v>
      </c>
      <c r="B433" s="116" t="s">
        <v>285</v>
      </c>
      <c r="C433" s="78" t="s">
        <v>450</v>
      </c>
      <c r="D433" s="116" t="s">
        <v>451</v>
      </c>
      <c r="E433" s="116" t="s">
        <v>452</v>
      </c>
      <c r="F433" s="151">
        <v>45916</v>
      </c>
      <c r="G433" s="116" t="s">
        <v>60</v>
      </c>
      <c r="H433" s="116" t="s">
        <v>23</v>
      </c>
      <c r="I433" s="139">
        <v>5775</v>
      </c>
      <c r="J433" s="139">
        <v>0</v>
      </c>
      <c r="K433" s="139">
        <f t="shared" si="31"/>
        <v>5775</v>
      </c>
      <c r="L433" s="139">
        <f>3750+1760.27+264.73</f>
        <v>5775</v>
      </c>
      <c r="M433" s="139"/>
      <c r="N433" s="131">
        <f t="shared" si="28"/>
        <v>0</v>
      </c>
      <c r="O433" s="140" t="s">
        <v>456</v>
      </c>
      <c r="P433" s="141"/>
      <c r="Q433" s="89" t="s">
        <v>51</v>
      </c>
    </row>
    <row r="434" s="89" customFormat="1" spans="1:17">
      <c r="A434" s="122">
        <v>45901</v>
      </c>
      <c r="B434" s="116" t="s">
        <v>285</v>
      </c>
      <c r="C434" s="78" t="s">
        <v>450</v>
      </c>
      <c r="D434" s="116" t="s">
        <v>451</v>
      </c>
      <c r="E434" s="116" t="s">
        <v>452</v>
      </c>
      <c r="F434" s="151">
        <v>45916</v>
      </c>
      <c r="G434" s="116" t="s">
        <v>60</v>
      </c>
      <c r="H434" s="112" t="s">
        <v>21</v>
      </c>
      <c r="I434" s="139">
        <v>6300</v>
      </c>
      <c r="J434" s="139">
        <v>0</v>
      </c>
      <c r="K434" s="139">
        <f t="shared" si="31"/>
        <v>6300</v>
      </c>
      <c r="L434" s="139">
        <v>6300</v>
      </c>
      <c r="M434" s="139"/>
      <c r="N434" s="131">
        <f t="shared" si="28"/>
        <v>0</v>
      </c>
      <c r="O434" s="137" t="s">
        <v>457</v>
      </c>
      <c r="P434" s="141"/>
      <c r="Q434" s="89" t="s">
        <v>51</v>
      </c>
    </row>
    <row r="435" s="88" customFormat="1" spans="1:16">
      <c r="A435" s="118">
        <v>45931</v>
      </c>
      <c r="B435" s="116" t="s">
        <v>285</v>
      </c>
      <c r="C435" s="119" t="s">
        <v>450</v>
      </c>
      <c r="D435" s="114" t="s">
        <v>451</v>
      </c>
      <c r="E435" s="114" t="s">
        <v>452</v>
      </c>
      <c r="F435" s="151">
        <v>45946</v>
      </c>
      <c r="G435" s="114" t="s">
        <v>458</v>
      </c>
      <c r="H435" s="114" t="s">
        <v>23</v>
      </c>
      <c r="I435" s="131">
        <v>3797.26</v>
      </c>
      <c r="J435" s="131"/>
      <c r="K435" s="136">
        <v>3797.26</v>
      </c>
      <c r="L435" s="136">
        <v>3797.26</v>
      </c>
      <c r="M435" s="136"/>
      <c r="N435" s="131">
        <f t="shared" si="28"/>
        <v>0</v>
      </c>
      <c r="O435" s="137" t="s">
        <v>457</v>
      </c>
      <c r="P435" s="138"/>
    </row>
    <row r="436" s="88" customFormat="1" spans="1:16">
      <c r="A436" s="118">
        <v>45931</v>
      </c>
      <c r="B436" s="116" t="s">
        <v>285</v>
      </c>
      <c r="C436" s="119" t="s">
        <v>450</v>
      </c>
      <c r="D436" s="114" t="s">
        <v>451</v>
      </c>
      <c r="E436" s="114" t="s">
        <v>452</v>
      </c>
      <c r="F436" s="151">
        <v>45946</v>
      </c>
      <c r="G436" s="114" t="s">
        <v>458</v>
      </c>
      <c r="H436" s="112" t="s">
        <v>21</v>
      </c>
      <c r="I436" s="131">
        <v>4142.47</v>
      </c>
      <c r="J436" s="131"/>
      <c r="K436" s="136">
        <v>4142.47</v>
      </c>
      <c r="L436" s="136">
        <v>4142.47</v>
      </c>
      <c r="M436" s="136"/>
      <c r="N436" s="131">
        <f t="shared" si="28"/>
        <v>0</v>
      </c>
      <c r="O436" s="137" t="s">
        <v>457</v>
      </c>
      <c r="P436" s="138"/>
    </row>
    <row r="437" s="86" customFormat="1" spans="1:16">
      <c r="A437" s="111">
        <v>45839</v>
      </c>
      <c r="B437" s="116" t="s">
        <v>285</v>
      </c>
      <c r="C437" s="113" t="s">
        <v>459</v>
      </c>
      <c r="D437" s="112" t="s">
        <v>460</v>
      </c>
      <c r="E437" s="112" t="s">
        <v>461</v>
      </c>
      <c r="F437" s="151">
        <v>45824</v>
      </c>
      <c r="G437" s="112" t="s">
        <v>46</v>
      </c>
      <c r="H437" s="112" t="s">
        <v>21</v>
      </c>
      <c r="I437" s="130">
        <v>18748.8</v>
      </c>
      <c r="J437" s="130">
        <v>0</v>
      </c>
      <c r="K437" s="130">
        <v>18748.8</v>
      </c>
      <c r="L437" s="130">
        <v>18748.8</v>
      </c>
      <c r="M437" s="130"/>
      <c r="N437" s="131">
        <f t="shared" si="28"/>
        <v>0</v>
      </c>
      <c r="O437" s="132" t="s">
        <v>47</v>
      </c>
      <c r="P437" s="112"/>
    </row>
    <row r="438" s="86" customFormat="1" spans="1:16">
      <c r="A438" s="111">
        <v>45839</v>
      </c>
      <c r="B438" s="116" t="s">
        <v>285</v>
      </c>
      <c r="C438" s="113" t="s">
        <v>459</v>
      </c>
      <c r="D438" s="112" t="s">
        <v>460</v>
      </c>
      <c r="E438" s="112" t="s">
        <v>461</v>
      </c>
      <c r="F438" s="151">
        <v>45824</v>
      </c>
      <c r="G438" s="112" t="s">
        <v>46</v>
      </c>
      <c r="H438" s="112" t="s">
        <v>23</v>
      </c>
      <c r="I438" s="130">
        <v>7425</v>
      </c>
      <c r="J438" s="130">
        <v>0</v>
      </c>
      <c r="K438" s="130">
        <v>7425</v>
      </c>
      <c r="L438" s="130">
        <v>7425</v>
      </c>
      <c r="M438" s="130"/>
      <c r="N438" s="131">
        <f t="shared" si="28"/>
        <v>0</v>
      </c>
      <c r="O438" s="132" t="s">
        <v>47</v>
      </c>
      <c r="P438" s="112"/>
    </row>
    <row r="439" s="89" customFormat="1" spans="1:17">
      <c r="A439" s="122">
        <v>45901</v>
      </c>
      <c r="B439" s="116" t="s">
        <v>285</v>
      </c>
      <c r="C439" s="78" t="s">
        <v>459</v>
      </c>
      <c r="D439" s="116" t="s">
        <v>460</v>
      </c>
      <c r="E439" s="116" t="s">
        <v>461</v>
      </c>
      <c r="F439" s="151">
        <v>45916</v>
      </c>
      <c r="G439" s="116" t="s">
        <v>86</v>
      </c>
      <c r="H439" s="116" t="s">
        <v>23</v>
      </c>
      <c r="I439" s="139">
        <v>7425</v>
      </c>
      <c r="J439" s="139">
        <v>0</v>
      </c>
      <c r="K439" s="139">
        <f t="shared" ref="K439:K444" si="32">I439-J439</f>
        <v>7425</v>
      </c>
      <c r="L439" s="139">
        <v>7425</v>
      </c>
      <c r="M439" s="139"/>
      <c r="N439" s="131">
        <f t="shared" si="28"/>
        <v>0</v>
      </c>
      <c r="O439" s="140" t="s">
        <v>129</v>
      </c>
      <c r="P439" s="141"/>
      <c r="Q439" s="89" t="s">
        <v>51</v>
      </c>
    </row>
    <row r="440" s="89" customFormat="1" spans="1:17">
      <c r="A440" s="122">
        <v>45901</v>
      </c>
      <c r="B440" s="116" t="s">
        <v>285</v>
      </c>
      <c r="C440" s="78" t="s">
        <v>459</v>
      </c>
      <c r="D440" s="116" t="s">
        <v>460</v>
      </c>
      <c r="E440" s="116" t="s">
        <v>461</v>
      </c>
      <c r="F440" s="151">
        <v>45916</v>
      </c>
      <c r="G440" s="116" t="s">
        <v>86</v>
      </c>
      <c r="H440" s="112" t="s">
        <v>21</v>
      </c>
      <c r="I440" s="139">
        <v>18748.8</v>
      </c>
      <c r="J440" s="139">
        <v>0</v>
      </c>
      <c r="K440" s="139">
        <f t="shared" si="32"/>
        <v>18748.8</v>
      </c>
      <c r="L440" s="139">
        <f>15448.8</f>
        <v>15448.8</v>
      </c>
      <c r="M440" s="139"/>
      <c r="N440" s="144">
        <f t="shared" si="28"/>
        <v>3300</v>
      </c>
      <c r="O440" s="140" t="s">
        <v>129</v>
      </c>
      <c r="P440" s="141"/>
      <c r="Q440" s="89" t="s">
        <v>51</v>
      </c>
    </row>
    <row r="441" s="86" customFormat="1" spans="1:16">
      <c r="A441" s="111">
        <v>45839</v>
      </c>
      <c r="B441" s="116" t="s">
        <v>285</v>
      </c>
      <c r="C441" s="113" t="s">
        <v>462</v>
      </c>
      <c r="D441" s="112" t="s">
        <v>463</v>
      </c>
      <c r="E441" s="112" t="s">
        <v>464</v>
      </c>
      <c r="F441" s="151">
        <v>45824</v>
      </c>
      <c r="G441" s="112" t="s">
        <v>46</v>
      </c>
      <c r="H441" s="112" t="s">
        <v>21</v>
      </c>
      <c r="I441" s="130">
        <v>35854.5</v>
      </c>
      <c r="J441" s="130">
        <v>0</v>
      </c>
      <c r="K441" s="130">
        <v>35854.5</v>
      </c>
      <c r="L441" s="130">
        <v>35854.5</v>
      </c>
      <c r="M441" s="130"/>
      <c r="N441" s="131">
        <f t="shared" si="28"/>
        <v>0</v>
      </c>
      <c r="O441" s="132" t="s">
        <v>465</v>
      </c>
      <c r="P441" s="112"/>
    </row>
    <row r="442" s="86" customFormat="1" spans="1:16">
      <c r="A442" s="111">
        <v>45839</v>
      </c>
      <c r="B442" s="116" t="s">
        <v>285</v>
      </c>
      <c r="C442" s="113" t="s">
        <v>462</v>
      </c>
      <c r="D442" s="112" t="s">
        <v>463</v>
      </c>
      <c r="E442" s="112" t="s">
        <v>464</v>
      </c>
      <c r="F442" s="151">
        <v>45824</v>
      </c>
      <c r="G442" s="112" t="s">
        <v>46</v>
      </c>
      <c r="H442" s="112" t="s">
        <v>23</v>
      </c>
      <c r="I442" s="130">
        <v>33825</v>
      </c>
      <c r="J442" s="130">
        <v>0</v>
      </c>
      <c r="K442" s="130">
        <v>33825</v>
      </c>
      <c r="L442" s="130">
        <v>33825</v>
      </c>
      <c r="M442" s="130"/>
      <c r="N442" s="131">
        <f t="shared" si="28"/>
        <v>0</v>
      </c>
      <c r="O442" s="132" t="s">
        <v>465</v>
      </c>
      <c r="P442" s="112"/>
    </row>
    <row r="443" s="89" customFormat="1" spans="1:17">
      <c r="A443" s="122">
        <v>45901</v>
      </c>
      <c r="B443" s="116" t="s">
        <v>285</v>
      </c>
      <c r="C443" s="78" t="s">
        <v>462</v>
      </c>
      <c r="D443" s="116" t="s">
        <v>463</v>
      </c>
      <c r="E443" s="116" t="s">
        <v>464</v>
      </c>
      <c r="F443" s="151">
        <v>45916</v>
      </c>
      <c r="G443" s="116" t="s">
        <v>122</v>
      </c>
      <c r="H443" s="116" t="s">
        <v>23</v>
      </c>
      <c r="I443" s="139">
        <v>18688.7</v>
      </c>
      <c r="J443" s="139">
        <v>0</v>
      </c>
      <c r="K443" s="139">
        <f t="shared" si="32"/>
        <v>18688.7</v>
      </c>
      <c r="L443" s="139">
        <v>18688.7</v>
      </c>
      <c r="M443" s="139"/>
      <c r="N443" s="131">
        <f t="shared" si="28"/>
        <v>0</v>
      </c>
      <c r="O443" s="140" t="s">
        <v>237</v>
      </c>
      <c r="P443" s="141"/>
      <c r="Q443" s="89" t="s">
        <v>51</v>
      </c>
    </row>
    <row r="444" s="89" customFormat="1" spans="1:17">
      <c r="A444" s="122">
        <v>45901</v>
      </c>
      <c r="B444" s="116" t="s">
        <v>285</v>
      </c>
      <c r="C444" s="78" t="s">
        <v>462</v>
      </c>
      <c r="D444" s="116" t="s">
        <v>463</v>
      </c>
      <c r="E444" s="116" t="s">
        <v>464</v>
      </c>
      <c r="F444" s="151">
        <v>45916</v>
      </c>
      <c r="G444" s="116" t="s">
        <v>122</v>
      </c>
      <c r="H444" s="112" t="s">
        <v>21</v>
      </c>
      <c r="I444" s="139">
        <v>19810.02</v>
      </c>
      <c r="J444" s="139">
        <v>0</v>
      </c>
      <c r="K444" s="139">
        <f t="shared" si="32"/>
        <v>19810.02</v>
      </c>
      <c r="L444" s="139">
        <v>19810.02</v>
      </c>
      <c r="M444" s="139"/>
      <c r="N444" s="131">
        <f t="shared" si="28"/>
        <v>0</v>
      </c>
      <c r="O444" s="140" t="s">
        <v>237</v>
      </c>
      <c r="P444" s="141"/>
      <c r="Q444" s="89" t="s">
        <v>51</v>
      </c>
    </row>
    <row r="445" s="89" customFormat="1" spans="1:16">
      <c r="A445" s="122">
        <v>45901</v>
      </c>
      <c r="B445" s="116" t="s">
        <v>285</v>
      </c>
      <c r="C445" s="165" t="s">
        <v>466</v>
      </c>
      <c r="D445" s="141" t="s">
        <v>467</v>
      </c>
      <c r="E445" s="141" t="s">
        <v>270</v>
      </c>
      <c r="F445" s="151">
        <v>45916</v>
      </c>
      <c r="G445" s="141" t="s">
        <v>46</v>
      </c>
      <c r="H445" s="141" t="s">
        <v>23</v>
      </c>
      <c r="I445" s="139">
        <v>23100</v>
      </c>
      <c r="J445" s="139">
        <v>0</v>
      </c>
      <c r="K445" s="139">
        <v>23100</v>
      </c>
      <c r="L445" s="139">
        <v>23100</v>
      </c>
      <c r="M445" s="139"/>
      <c r="N445" s="131">
        <f t="shared" si="28"/>
        <v>0</v>
      </c>
      <c r="O445" s="140" t="s">
        <v>220</v>
      </c>
      <c r="P445" s="167" t="s">
        <v>167</v>
      </c>
    </row>
    <row r="446" s="89" customFormat="1" spans="1:16">
      <c r="A446" s="122">
        <v>45901</v>
      </c>
      <c r="B446" s="116" t="s">
        <v>285</v>
      </c>
      <c r="C446" s="165" t="s">
        <v>466</v>
      </c>
      <c r="D446" s="141" t="s">
        <v>467</v>
      </c>
      <c r="E446" s="141" t="s">
        <v>270</v>
      </c>
      <c r="F446" s="151">
        <v>45916</v>
      </c>
      <c r="G446" s="141" t="s">
        <v>210</v>
      </c>
      <c r="H446" s="121" t="s">
        <v>30</v>
      </c>
      <c r="I446" s="139">
        <v>3000</v>
      </c>
      <c r="J446" s="139">
        <v>0</v>
      </c>
      <c r="K446" s="139">
        <v>3000</v>
      </c>
      <c r="L446" s="139">
        <v>3000</v>
      </c>
      <c r="M446" s="139"/>
      <c r="N446" s="131">
        <f t="shared" si="28"/>
        <v>0</v>
      </c>
      <c r="O446" s="140" t="s">
        <v>220</v>
      </c>
      <c r="P446" s="167" t="s">
        <v>167</v>
      </c>
    </row>
    <row r="447" s="89" customFormat="1" spans="1:16">
      <c r="A447" s="122">
        <v>45901</v>
      </c>
      <c r="B447" s="116" t="s">
        <v>285</v>
      </c>
      <c r="C447" s="165" t="s">
        <v>466</v>
      </c>
      <c r="D447" s="141" t="s">
        <v>467</v>
      </c>
      <c r="E447" s="141" t="s">
        <v>270</v>
      </c>
      <c r="F447" s="151">
        <v>45916</v>
      </c>
      <c r="G447" s="141" t="s">
        <v>46</v>
      </c>
      <c r="H447" s="112" t="s">
        <v>21</v>
      </c>
      <c r="I447" s="139">
        <v>13650</v>
      </c>
      <c r="J447" s="139">
        <v>0</v>
      </c>
      <c r="K447" s="139">
        <v>13650</v>
      </c>
      <c r="L447" s="139">
        <v>13650</v>
      </c>
      <c r="M447" s="139"/>
      <c r="N447" s="131">
        <f t="shared" si="28"/>
        <v>0</v>
      </c>
      <c r="O447" s="140" t="s">
        <v>220</v>
      </c>
      <c r="P447" s="167" t="s">
        <v>167</v>
      </c>
    </row>
    <row r="448" s="89" customFormat="1" spans="1:17">
      <c r="A448" s="122">
        <v>45901</v>
      </c>
      <c r="B448" s="116" t="s">
        <v>285</v>
      </c>
      <c r="C448" s="165" t="s">
        <v>466</v>
      </c>
      <c r="D448" s="141" t="s">
        <v>467</v>
      </c>
      <c r="E448" s="141" t="s">
        <v>270</v>
      </c>
      <c r="F448" s="151">
        <v>45916</v>
      </c>
      <c r="G448" s="175" t="s">
        <v>86</v>
      </c>
      <c r="H448" s="186" t="s">
        <v>23</v>
      </c>
      <c r="I448" s="139">
        <v>23100</v>
      </c>
      <c r="J448" s="139">
        <v>0</v>
      </c>
      <c r="K448" s="139">
        <f>I448-J448</f>
        <v>23100</v>
      </c>
      <c r="L448" s="139">
        <v>23100</v>
      </c>
      <c r="M448" s="139"/>
      <c r="N448" s="131">
        <f t="shared" si="28"/>
        <v>0</v>
      </c>
      <c r="O448" s="140" t="s">
        <v>220</v>
      </c>
      <c r="P448" s="167"/>
      <c r="Q448" s="89" t="s">
        <v>51</v>
      </c>
    </row>
    <row r="449" s="89" customFormat="1" spans="1:17">
      <c r="A449" s="122">
        <v>45901</v>
      </c>
      <c r="B449" s="116" t="s">
        <v>285</v>
      </c>
      <c r="C449" s="165" t="s">
        <v>466</v>
      </c>
      <c r="D449" s="141" t="s">
        <v>467</v>
      </c>
      <c r="E449" s="141" t="s">
        <v>270</v>
      </c>
      <c r="F449" s="151">
        <v>45916</v>
      </c>
      <c r="G449" s="175" t="s">
        <v>86</v>
      </c>
      <c r="H449" s="112" t="s">
        <v>21</v>
      </c>
      <c r="I449" s="139">
        <v>13650</v>
      </c>
      <c r="J449" s="139">
        <v>0</v>
      </c>
      <c r="K449" s="139">
        <f>I449-J449</f>
        <v>13650</v>
      </c>
      <c r="L449" s="139">
        <v>13650</v>
      </c>
      <c r="M449" s="139"/>
      <c r="N449" s="131">
        <f t="shared" si="28"/>
        <v>0</v>
      </c>
      <c r="O449" s="140" t="s">
        <v>220</v>
      </c>
      <c r="P449" s="167"/>
      <c r="Q449" s="89" t="s">
        <v>51</v>
      </c>
    </row>
    <row r="450" s="86" customFormat="1" spans="1:16">
      <c r="A450" s="111">
        <v>45839</v>
      </c>
      <c r="B450" s="116" t="s">
        <v>285</v>
      </c>
      <c r="C450" s="113" t="s">
        <v>468</v>
      </c>
      <c r="D450" s="112" t="s">
        <v>469</v>
      </c>
      <c r="E450" s="112" t="s">
        <v>470</v>
      </c>
      <c r="F450" s="151">
        <v>45824</v>
      </c>
      <c r="G450" s="112" t="s">
        <v>55</v>
      </c>
      <c r="H450" s="112" t="s">
        <v>23</v>
      </c>
      <c r="I450" s="130">
        <v>2932</v>
      </c>
      <c r="J450" s="130">
        <v>0</v>
      </c>
      <c r="K450" s="130">
        <v>2932</v>
      </c>
      <c r="L450" s="130">
        <v>2932</v>
      </c>
      <c r="M450" s="130"/>
      <c r="N450" s="131">
        <f t="shared" si="28"/>
        <v>0</v>
      </c>
      <c r="O450" s="132" t="s">
        <v>257</v>
      </c>
      <c r="P450" s="112"/>
    </row>
    <row r="451" s="86" customFormat="1" spans="1:16">
      <c r="A451" s="111">
        <v>45839</v>
      </c>
      <c r="B451" s="116" t="s">
        <v>285</v>
      </c>
      <c r="C451" s="113" t="s">
        <v>468</v>
      </c>
      <c r="D451" s="112" t="s">
        <v>469</v>
      </c>
      <c r="E451" s="112" t="s">
        <v>470</v>
      </c>
      <c r="F451" s="151">
        <v>45824</v>
      </c>
      <c r="G451" s="112" t="s">
        <v>55</v>
      </c>
      <c r="H451" s="112" t="s">
        <v>21</v>
      </c>
      <c r="I451" s="130">
        <v>4398</v>
      </c>
      <c r="J451" s="130">
        <v>0</v>
      </c>
      <c r="K451" s="130">
        <v>4398</v>
      </c>
      <c r="L451" s="130">
        <v>4398</v>
      </c>
      <c r="M451" s="130"/>
      <c r="N451" s="131">
        <f t="shared" ref="N451:N514" si="33">K451-L451</f>
        <v>0</v>
      </c>
      <c r="O451" s="132" t="s">
        <v>257</v>
      </c>
      <c r="P451" s="112"/>
    </row>
    <row r="452" s="86" customFormat="1" spans="1:16">
      <c r="A452" s="111">
        <v>45839</v>
      </c>
      <c r="B452" s="116" t="s">
        <v>285</v>
      </c>
      <c r="C452" s="113" t="s">
        <v>471</v>
      </c>
      <c r="D452" s="112" t="s">
        <v>472</v>
      </c>
      <c r="E452" s="112" t="s">
        <v>473</v>
      </c>
      <c r="F452" s="151">
        <v>45824</v>
      </c>
      <c r="G452" s="112" t="s">
        <v>46</v>
      </c>
      <c r="H452" s="112" t="s">
        <v>21</v>
      </c>
      <c r="I452" s="130">
        <v>10607.76</v>
      </c>
      <c r="J452" s="130">
        <v>0</v>
      </c>
      <c r="K452" s="130">
        <v>10607.76</v>
      </c>
      <c r="L452" s="130">
        <v>10607.76</v>
      </c>
      <c r="M452" s="130"/>
      <c r="N452" s="131">
        <f t="shared" si="33"/>
        <v>0</v>
      </c>
      <c r="O452" s="132" t="s">
        <v>474</v>
      </c>
      <c r="P452" s="112"/>
    </row>
    <row r="453" s="86" customFormat="1" spans="1:16">
      <c r="A453" s="111">
        <v>45839</v>
      </c>
      <c r="B453" s="116" t="s">
        <v>285</v>
      </c>
      <c r="C453" s="113" t="s">
        <v>471</v>
      </c>
      <c r="D453" s="112" t="s">
        <v>472</v>
      </c>
      <c r="E453" s="112" t="s">
        <v>473</v>
      </c>
      <c r="F453" s="151">
        <v>45824</v>
      </c>
      <c r="G453" s="112" t="s">
        <v>46</v>
      </c>
      <c r="H453" s="112" t="s">
        <v>23</v>
      </c>
      <c r="I453" s="130">
        <v>11880</v>
      </c>
      <c r="J453" s="130">
        <v>0</v>
      </c>
      <c r="K453" s="130">
        <v>11880</v>
      </c>
      <c r="L453" s="130">
        <v>11880</v>
      </c>
      <c r="M453" s="130"/>
      <c r="N453" s="131">
        <f t="shared" si="33"/>
        <v>0</v>
      </c>
      <c r="O453" s="132" t="s">
        <v>475</v>
      </c>
      <c r="P453" s="112"/>
    </row>
    <row r="454" s="89" customFormat="1" spans="1:17">
      <c r="A454" s="122">
        <v>45901</v>
      </c>
      <c r="B454" s="116" t="s">
        <v>285</v>
      </c>
      <c r="C454" s="78" t="s">
        <v>471</v>
      </c>
      <c r="D454" s="116" t="s">
        <v>472</v>
      </c>
      <c r="E454" s="116" t="s">
        <v>473</v>
      </c>
      <c r="F454" s="151">
        <v>45916</v>
      </c>
      <c r="G454" s="116" t="s">
        <v>86</v>
      </c>
      <c r="H454" s="116" t="s">
        <v>23</v>
      </c>
      <c r="I454" s="139">
        <v>11880</v>
      </c>
      <c r="J454" s="139">
        <v>0</v>
      </c>
      <c r="K454" s="139">
        <f t="shared" ref="K454:K459" si="34">I454-J454</f>
        <v>11880</v>
      </c>
      <c r="L454" s="139">
        <f>3960+7920</f>
        <v>11880</v>
      </c>
      <c r="M454" s="139"/>
      <c r="N454" s="144">
        <f t="shared" si="33"/>
        <v>0</v>
      </c>
      <c r="O454" s="140" t="s">
        <v>476</v>
      </c>
      <c r="P454" s="141"/>
      <c r="Q454" s="89" t="s">
        <v>51</v>
      </c>
    </row>
    <row r="455" s="89" customFormat="1" spans="1:17">
      <c r="A455" s="122">
        <v>45901</v>
      </c>
      <c r="B455" s="116" t="s">
        <v>285</v>
      </c>
      <c r="C455" s="78" t="s">
        <v>471</v>
      </c>
      <c r="D455" s="116" t="s">
        <v>472</v>
      </c>
      <c r="E455" s="116" t="s">
        <v>473</v>
      </c>
      <c r="F455" s="151">
        <v>45916</v>
      </c>
      <c r="G455" s="116" t="s">
        <v>86</v>
      </c>
      <c r="H455" s="112" t="s">
        <v>21</v>
      </c>
      <c r="I455" s="139">
        <v>10607.76</v>
      </c>
      <c r="J455" s="139">
        <v>0</v>
      </c>
      <c r="K455" s="139">
        <f t="shared" si="34"/>
        <v>10607.76</v>
      </c>
      <c r="L455" s="139">
        <f>3535.92+7071.84</f>
        <v>10607.76</v>
      </c>
      <c r="M455" s="139"/>
      <c r="N455" s="144">
        <f t="shared" si="33"/>
        <v>0</v>
      </c>
      <c r="O455" s="140" t="s">
        <v>476</v>
      </c>
      <c r="P455" s="141"/>
      <c r="Q455" s="89" t="s">
        <v>51</v>
      </c>
    </row>
    <row r="456" s="86" customFormat="1" spans="1:16">
      <c r="A456" s="111">
        <v>45839</v>
      </c>
      <c r="B456" s="116" t="s">
        <v>285</v>
      </c>
      <c r="C456" s="113" t="s">
        <v>477</v>
      </c>
      <c r="D456" s="112" t="s">
        <v>478</v>
      </c>
      <c r="E456" s="112" t="s">
        <v>479</v>
      </c>
      <c r="F456" s="151">
        <v>45824</v>
      </c>
      <c r="G456" s="112" t="s">
        <v>55</v>
      </c>
      <c r="H456" s="112" t="s">
        <v>23</v>
      </c>
      <c r="I456" s="130">
        <v>2860</v>
      </c>
      <c r="J456" s="130">
        <v>0</v>
      </c>
      <c r="K456" s="130">
        <v>2860</v>
      </c>
      <c r="L456" s="130">
        <v>2860</v>
      </c>
      <c r="M456" s="130"/>
      <c r="N456" s="131">
        <f t="shared" si="33"/>
        <v>0</v>
      </c>
      <c r="O456" s="132" t="s">
        <v>256</v>
      </c>
      <c r="P456" s="112"/>
    </row>
    <row r="457" s="86" customFormat="1" spans="1:16">
      <c r="A457" s="111">
        <v>45839</v>
      </c>
      <c r="B457" s="116" t="s">
        <v>285</v>
      </c>
      <c r="C457" s="113" t="s">
        <v>477</v>
      </c>
      <c r="D457" s="112" t="s">
        <v>478</v>
      </c>
      <c r="E457" s="112" t="s">
        <v>479</v>
      </c>
      <c r="F457" s="151">
        <v>45824</v>
      </c>
      <c r="G457" s="112" t="s">
        <v>55</v>
      </c>
      <c r="H457" s="112" t="s">
        <v>21</v>
      </c>
      <c r="I457" s="130">
        <v>2574</v>
      </c>
      <c r="J457" s="130">
        <v>0</v>
      </c>
      <c r="K457" s="130">
        <v>2574</v>
      </c>
      <c r="L457" s="130">
        <v>2574</v>
      </c>
      <c r="M457" s="130"/>
      <c r="N457" s="131">
        <f t="shared" si="33"/>
        <v>0</v>
      </c>
      <c r="O457" s="132" t="s">
        <v>256</v>
      </c>
      <c r="P457" s="112"/>
    </row>
    <row r="458" s="89" customFormat="1" spans="1:17">
      <c r="A458" s="122">
        <v>45901</v>
      </c>
      <c r="B458" s="116" t="s">
        <v>285</v>
      </c>
      <c r="C458" s="165" t="s">
        <v>477</v>
      </c>
      <c r="D458" s="135" t="s">
        <v>478</v>
      </c>
      <c r="E458" s="141" t="s">
        <v>479</v>
      </c>
      <c r="F458" s="151">
        <v>45916</v>
      </c>
      <c r="G458" s="141" t="s">
        <v>315</v>
      </c>
      <c r="H458" s="141" t="s">
        <v>23</v>
      </c>
      <c r="I458" s="189">
        <v>5720</v>
      </c>
      <c r="J458" s="139">
        <v>0</v>
      </c>
      <c r="K458" s="139">
        <f t="shared" si="34"/>
        <v>5720</v>
      </c>
      <c r="L458" s="154">
        <f>2860*2</f>
        <v>5720</v>
      </c>
      <c r="M458" s="154"/>
      <c r="N458" s="131">
        <f t="shared" si="33"/>
        <v>0</v>
      </c>
      <c r="O458" s="140" t="s">
        <v>480</v>
      </c>
      <c r="P458" s="167"/>
      <c r="Q458" s="89" t="s">
        <v>51</v>
      </c>
    </row>
    <row r="459" s="89" customFormat="1" spans="1:17">
      <c r="A459" s="122">
        <v>45901</v>
      </c>
      <c r="B459" s="116" t="s">
        <v>285</v>
      </c>
      <c r="C459" s="165" t="s">
        <v>477</v>
      </c>
      <c r="D459" s="135" t="s">
        <v>478</v>
      </c>
      <c r="E459" s="141" t="s">
        <v>479</v>
      </c>
      <c r="F459" s="151">
        <v>45916</v>
      </c>
      <c r="G459" s="141" t="s">
        <v>315</v>
      </c>
      <c r="H459" s="112" t="s">
        <v>21</v>
      </c>
      <c r="I459" s="189">
        <v>2600</v>
      </c>
      <c r="J459" s="139">
        <v>0</v>
      </c>
      <c r="K459" s="139">
        <f t="shared" si="34"/>
        <v>2600</v>
      </c>
      <c r="L459" s="139">
        <f>1300*2</f>
        <v>2600</v>
      </c>
      <c r="M459" s="139"/>
      <c r="N459" s="131">
        <f t="shared" si="33"/>
        <v>0</v>
      </c>
      <c r="O459" s="140" t="s">
        <v>480</v>
      </c>
      <c r="P459" s="167"/>
      <c r="Q459" s="89" t="s">
        <v>51</v>
      </c>
    </row>
    <row r="460" s="89" customFormat="1" spans="1:16">
      <c r="A460" s="122">
        <v>45901</v>
      </c>
      <c r="B460" s="116" t="s">
        <v>285</v>
      </c>
      <c r="C460" s="165" t="s">
        <v>477</v>
      </c>
      <c r="D460" s="135" t="s">
        <v>478</v>
      </c>
      <c r="E460" s="141" t="s">
        <v>479</v>
      </c>
      <c r="F460" s="151">
        <v>45930</v>
      </c>
      <c r="G460" s="141" t="s">
        <v>260</v>
      </c>
      <c r="H460" s="141" t="s">
        <v>23</v>
      </c>
      <c r="I460" s="189">
        <v>5720</v>
      </c>
      <c r="J460" s="139">
        <v>0</v>
      </c>
      <c r="K460" s="189">
        <v>5720</v>
      </c>
      <c r="L460" s="154">
        <v>5720</v>
      </c>
      <c r="M460" s="154"/>
      <c r="N460" s="131">
        <f t="shared" si="33"/>
        <v>0</v>
      </c>
      <c r="O460" s="140" t="s">
        <v>145</v>
      </c>
      <c r="P460" s="167" t="s">
        <v>167</v>
      </c>
    </row>
    <row r="461" s="89" customFormat="1" spans="1:16">
      <c r="A461" s="122">
        <v>45901</v>
      </c>
      <c r="B461" s="116" t="s">
        <v>285</v>
      </c>
      <c r="C461" s="165" t="s">
        <v>477</v>
      </c>
      <c r="D461" s="135" t="s">
        <v>478</v>
      </c>
      <c r="E461" s="141" t="s">
        <v>479</v>
      </c>
      <c r="F461" s="151">
        <v>45930</v>
      </c>
      <c r="G461" s="141" t="s">
        <v>481</v>
      </c>
      <c r="H461" s="121" t="s">
        <v>30</v>
      </c>
      <c r="I461" s="189">
        <v>1500</v>
      </c>
      <c r="J461" s="139">
        <v>0</v>
      </c>
      <c r="K461" s="189">
        <v>1500</v>
      </c>
      <c r="L461" s="139">
        <v>1500</v>
      </c>
      <c r="M461" s="139"/>
      <c r="N461" s="131">
        <f t="shared" si="33"/>
        <v>0</v>
      </c>
      <c r="O461" s="140" t="s">
        <v>145</v>
      </c>
      <c r="P461" s="167" t="s">
        <v>167</v>
      </c>
    </row>
    <row r="462" s="89" customFormat="1" spans="1:16">
      <c r="A462" s="122">
        <v>45901</v>
      </c>
      <c r="B462" s="116" t="s">
        <v>285</v>
      </c>
      <c r="C462" s="165" t="s">
        <v>477</v>
      </c>
      <c r="D462" s="135" t="s">
        <v>478</v>
      </c>
      <c r="E462" s="141" t="s">
        <v>479</v>
      </c>
      <c r="F462" s="151">
        <v>45930</v>
      </c>
      <c r="G462" s="141" t="s">
        <v>260</v>
      </c>
      <c r="H462" s="112" t="s">
        <v>21</v>
      </c>
      <c r="I462" s="189">
        <v>2600</v>
      </c>
      <c r="J462" s="139">
        <v>0</v>
      </c>
      <c r="K462" s="189">
        <v>2600</v>
      </c>
      <c r="L462" s="139">
        <v>2600</v>
      </c>
      <c r="M462" s="139"/>
      <c r="N462" s="131">
        <f t="shared" si="33"/>
        <v>0</v>
      </c>
      <c r="O462" s="140" t="s">
        <v>145</v>
      </c>
      <c r="P462" s="167" t="s">
        <v>167</v>
      </c>
    </row>
    <row r="463" s="88" customFormat="1" spans="1:16">
      <c r="A463" s="118">
        <v>45962</v>
      </c>
      <c r="B463" s="116" t="s">
        <v>285</v>
      </c>
      <c r="C463" s="119" t="s">
        <v>477</v>
      </c>
      <c r="D463" s="114" t="s">
        <v>478</v>
      </c>
      <c r="E463" s="114" t="s">
        <v>479</v>
      </c>
      <c r="F463" s="151">
        <v>45976</v>
      </c>
      <c r="G463" s="114" t="s">
        <v>98</v>
      </c>
      <c r="H463" s="114" t="s">
        <v>23</v>
      </c>
      <c r="I463" s="131">
        <v>2860</v>
      </c>
      <c r="J463" s="131"/>
      <c r="K463" s="136">
        <v>2860</v>
      </c>
      <c r="L463" s="136">
        <v>2860</v>
      </c>
      <c r="M463" s="136"/>
      <c r="N463" s="131">
        <f t="shared" si="33"/>
        <v>0</v>
      </c>
      <c r="O463" s="137" t="s">
        <v>482</v>
      </c>
      <c r="P463" s="138"/>
    </row>
    <row r="464" s="88" customFormat="1" spans="1:16">
      <c r="A464" s="118">
        <v>45962</v>
      </c>
      <c r="B464" s="116" t="s">
        <v>285</v>
      </c>
      <c r="C464" s="119" t="s">
        <v>477</v>
      </c>
      <c r="D464" s="114" t="s">
        <v>478</v>
      </c>
      <c r="E464" s="114" t="s">
        <v>479</v>
      </c>
      <c r="F464" s="151">
        <v>45976</v>
      </c>
      <c r="G464" s="114" t="s">
        <v>26</v>
      </c>
      <c r="H464" s="114" t="s">
        <v>23</v>
      </c>
      <c r="I464" s="131">
        <v>2860</v>
      </c>
      <c r="J464" s="131"/>
      <c r="K464" s="136">
        <v>2860</v>
      </c>
      <c r="L464" s="136">
        <v>2860</v>
      </c>
      <c r="M464" s="136"/>
      <c r="N464" s="131">
        <f t="shared" si="33"/>
        <v>0</v>
      </c>
      <c r="O464" s="140" t="s">
        <v>483</v>
      </c>
      <c r="P464" s="138"/>
    </row>
    <row r="465" s="88" customFormat="1" spans="1:16">
      <c r="A465" s="118">
        <v>45962</v>
      </c>
      <c r="B465" s="116" t="s">
        <v>285</v>
      </c>
      <c r="C465" s="119" t="s">
        <v>477</v>
      </c>
      <c r="D465" s="114" t="s">
        <v>478</v>
      </c>
      <c r="E465" s="114" t="s">
        <v>479</v>
      </c>
      <c r="F465" s="151">
        <v>45976</v>
      </c>
      <c r="G465" s="114" t="s">
        <v>98</v>
      </c>
      <c r="H465" s="112" t="s">
        <v>21</v>
      </c>
      <c r="I465" s="131">
        <v>1300</v>
      </c>
      <c r="J465" s="131"/>
      <c r="K465" s="136">
        <v>1300</v>
      </c>
      <c r="L465" s="136">
        <v>1300</v>
      </c>
      <c r="M465" s="136"/>
      <c r="N465" s="131">
        <f t="shared" si="33"/>
        <v>0</v>
      </c>
      <c r="O465" s="137" t="s">
        <v>482</v>
      </c>
      <c r="P465" s="138"/>
    </row>
    <row r="466" s="88" customFormat="1" spans="1:16">
      <c r="A466" s="118">
        <v>45962</v>
      </c>
      <c r="B466" s="116" t="s">
        <v>285</v>
      </c>
      <c r="C466" s="119" t="s">
        <v>477</v>
      </c>
      <c r="D466" s="114" t="s">
        <v>478</v>
      </c>
      <c r="E466" s="114" t="s">
        <v>479</v>
      </c>
      <c r="F466" s="151">
        <v>45976</v>
      </c>
      <c r="G466" s="114" t="s">
        <v>26</v>
      </c>
      <c r="H466" s="112" t="s">
        <v>21</v>
      </c>
      <c r="I466" s="131">
        <v>1300</v>
      </c>
      <c r="J466" s="131"/>
      <c r="K466" s="136">
        <v>1300</v>
      </c>
      <c r="L466" s="136">
        <v>1300</v>
      </c>
      <c r="M466" s="136"/>
      <c r="N466" s="131">
        <f t="shared" si="33"/>
        <v>0</v>
      </c>
      <c r="O466" s="137" t="s">
        <v>483</v>
      </c>
      <c r="P466" s="138"/>
    </row>
    <row r="467" s="86" customFormat="1" spans="1:16">
      <c r="A467" s="111">
        <v>45839</v>
      </c>
      <c r="B467" s="116" t="s">
        <v>285</v>
      </c>
      <c r="C467" s="113" t="s">
        <v>484</v>
      </c>
      <c r="D467" s="112" t="s">
        <v>485</v>
      </c>
      <c r="E467" s="112" t="s">
        <v>486</v>
      </c>
      <c r="F467" s="151">
        <v>45824</v>
      </c>
      <c r="G467" s="112" t="s">
        <v>46</v>
      </c>
      <c r="H467" s="112" t="s">
        <v>23</v>
      </c>
      <c r="I467" s="130">
        <v>9405</v>
      </c>
      <c r="J467" s="130">
        <v>0</v>
      </c>
      <c r="K467" s="130">
        <v>9405</v>
      </c>
      <c r="L467" s="130">
        <v>9405</v>
      </c>
      <c r="M467" s="130"/>
      <c r="N467" s="131">
        <f t="shared" si="33"/>
        <v>0</v>
      </c>
      <c r="O467" s="132" t="s">
        <v>487</v>
      </c>
      <c r="P467" s="112"/>
    </row>
    <row r="468" s="86" customFormat="1" spans="1:16">
      <c r="A468" s="111">
        <v>45839</v>
      </c>
      <c r="B468" s="116" t="s">
        <v>285</v>
      </c>
      <c r="C468" s="113" t="s">
        <v>484</v>
      </c>
      <c r="D468" s="112" t="s">
        <v>485</v>
      </c>
      <c r="E468" s="112" t="s">
        <v>486</v>
      </c>
      <c r="F468" s="151">
        <v>45824</v>
      </c>
      <c r="G468" s="112" t="s">
        <v>46</v>
      </c>
      <c r="H468" s="112" t="s">
        <v>21</v>
      </c>
      <c r="I468" s="130">
        <v>8550</v>
      </c>
      <c r="J468" s="130">
        <v>0</v>
      </c>
      <c r="K468" s="130">
        <v>8550</v>
      </c>
      <c r="L468" s="130">
        <v>8550</v>
      </c>
      <c r="M468" s="130"/>
      <c r="N468" s="131">
        <f t="shared" si="33"/>
        <v>0</v>
      </c>
      <c r="O468" s="132" t="s">
        <v>487</v>
      </c>
      <c r="P468" s="112"/>
    </row>
    <row r="469" s="89" customFormat="1" spans="1:17">
      <c r="A469" s="122">
        <v>45901</v>
      </c>
      <c r="B469" s="116" t="s">
        <v>285</v>
      </c>
      <c r="C469" s="78" t="s">
        <v>484</v>
      </c>
      <c r="D469" s="116" t="s">
        <v>485</v>
      </c>
      <c r="E469" s="116" t="s">
        <v>486</v>
      </c>
      <c r="F469" s="151">
        <v>45916</v>
      </c>
      <c r="G469" s="116" t="s">
        <v>86</v>
      </c>
      <c r="H469" s="116" t="s">
        <v>23</v>
      </c>
      <c r="I469" s="139">
        <v>9405</v>
      </c>
      <c r="J469" s="139">
        <v>0</v>
      </c>
      <c r="K469" s="139">
        <f>I469-J469</f>
        <v>9405</v>
      </c>
      <c r="L469" s="139">
        <v>9405</v>
      </c>
      <c r="M469" s="139"/>
      <c r="N469" s="131">
        <f t="shared" si="33"/>
        <v>0</v>
      </c>
      <c r="O469" s="140" t="s">
        <v>151</v>
      </c>
      <c r="P469" s="141"/>
      <c r="Q469" s="89" t="s">
        <v>51</v>
      </c>
    </row>
    <row r="470" s="89" customFormat="1" spans="1:17">
      <c r="A470" s="122">
        <v>45901</v>
      </c>
      <c r="B470" s="116" t="s">
        <v>285</v>
      </c>
      <c r="C470" s="78" t="s">
        <v>484</v>
      </c>
      <c r="D470" s="116" t="s">
        <v>485</v>
      </c>
      <c r="E470" s="116" t="s">
        <v>486</v>
      </c>
      <c r="F470" s="151">
        <v>45916</v>
      </c>
      <c r="G470" s="116" t="s">
        <v>86</v>
      </c>
      <c r="H470" s="112" t="s">
        <v>21</v>
      </c>
      <c r="I470" s="139">
        <v>8550</v>
      </c>
      <c r="J470" s="139">
        <v>0</v>
      </c>
      <c r="K470" s="139">
        <f>I470-J470</f>
        <v>8550</v>
      </c>
      <c r="L470" s="139">
        <v>8550</v>
      </c>
      <c r="M470" s="139"/>
      <c r="N470" s="131">
        <f t="shared" si="33"/>
        <v>0</v>
      </c>
      <c r="O470" s="140" t="s">
        <v>151</v>
      </c>
      <c r="P470" s="141"/>
      <c r="Q470" s="89" t="s">
        <v>51</v>
      </c>
    </row>
    <row r="471" s="89" customFormat="1" spans="1:16">
      <c r="A471" s="122">
        <v>45901</v>
      </c>
      <c r="B471" s="116" t="s">
        <v>285</v>
      </c>
      <c r="C471" s="165" t="s">
        <v>488</v>
      </c>
      <c r="D471" s="187" t="s">
        <v>489</v>
      </c>
      <c r="E471" s="141" t="s">
        <v>490</v>
      </c>
      <c r="F471" s="151">
        <v>45916</v>
      </c>
      <c r="G471" s="141" t="s">
        <v>436</v>
      </c>
      <c r="H471" s="141" t="s">
        <v>23</v>
      </c>
      <c r="I471" s="139">
        <v>48244.79</v>
      </c>
      <c r="J471" s="139">
        <v>0</v>
      </c>
      <c r="K471" s="139">
        <v>48244.79</v>
      </c>
      <c r="L471" s="139">
        <v>48244.79</v>
      </c>
      <c r="M471" s="139"/>
      <c r="N471" s="131">
        <f t="shared" si="33"/>
        <v>0</v>
      </c>
      <c r="O471" s="140" t="s">
        <v>209</v>
      </c>
      <c r="P471" s="167" t="s">
        <v>438</v>
      </c>
    </row>
    <row r="472" s="89" customFormat="1" spans="1:16">
      <c r="A472" s="122">
        <v>45901</v>
      </c>
      <c r="B472" s="116" t="s">
        <v>285</v>
      </c>
      <c r="C472" s="165" t="s">
        <v>488</v>
      </c>
      <c r="D472" s="187" t="s">
        <v>489</v>
      </c>
      <c r="E472" s="141" t="s">
        <v>490</v>
      </c>
      <c r="F472" s="151">
        <v>45916</v>
      </c>
      <c r="G472" s="141" t="s">
        <v>436</v>
      </c>
      <c r="H472" s="112" t="s">
        <v>21</v>
      </c>
      <c r="I472" s="139">
        <v>16894.45</v>
      </c>
      <c r="J472" s="139">
        <v>0</v>
      </c>
      <c r="K472" s="139">
        <v>16894.45</v>
      </c>
      <c r="L472" s="139">
        <v>16894.45</v>
      </c>
      <c r="M472" s="139"/>
      <c r="N472" s="131">
        <f t="shared" si="33"/>
        <v>0</v>
      </c>
      <c r="O472" s="140" t="s">
        <v>209</v>
      </c>
      <c r="P472" s="167" t="s">
        <v>438</v>
      </c>
    </row>
    <row r="473" s="89" customFormat="1" spans="1:17">
      <c r="A473" s="122">
        <v>45901</v>
      </c>
      <c r="B473" s="116" t="s">
        <v>285</v>
      </c>
      <c r="C473" s="165" t="s">
        <v>488</v>
      </c>
      <c r="D473" s="187" t="s">
        <v>489</v>
      </c>
      <c r="E473" s="141" t="s">
        <v>490</v>
      </c>
      <c r="F473" s="151">
        <v>45916</v>
      </c>
      <c r="G473" s="175" t="s">
        <v>86</v>
      </c>
      <c r="H473" s="186" t="s">
        <v>23</v>
      </c>
      <c r="I473" s="139">
        <v>33330</v>
      </c>
      <c r="J473" s="139">
        <v>0</v>
      </c>
      <c r="K473" s="139">
        <v>33330</v>
      </c>
      <c r="L473" s="139">
        <v>33330</v>
      </c>
      <c r="M473" s="139"/>
      <c r="N473" s="131">
        <f t="shared" si="33"/>
        <v>0</v>
      </c>
      <c r="O473" s="140" t="s">
        <v>267</v>
      </c>
      <c r="P473" s="167"/>
      <c r="Q473" s="89" t="s">
        <v>51</v>
      </c>
    </row>
    <row r="474" s="89" customFormat="1" spans="1:16">
      <c r="A474" s="122">
        <v>45901</v>
      </c>
      <c r="B474" s="116" t="s">
        <v>285</v>
      </c>
      <c r="C474" s="165" t="s">
        <v>488</v>
      </c>
      <c r="D474" s="187" t="s">
        <v>489</v>
      </c>
      <c r="E474" s="141" t="s">
        <v>490</v>
      </c>
      <c r="F474" s="151">
        <v>45916</v>
      </c>
      <c r="G474" s="175" t="s">
        <v>439</v>
      </c>
      <c r="H474" s="121" t="s">
        <v>30</v>
      </c>
      <c r="I474" s="139">
        <v>3000</v>
      </c>
      <c r="J474" s="139">
        <v>0</v>
      </c>
      <c r="K474" s="139">
        <v>3000</v>
      </c>
      <c r="L474" s="139">
        <v>3000</v>
      </c>
      <c r="M474" s="139"/>
      <c r="N474" s="131">
        <f t="shared" si="33"/>
        <v>0</v>
      </c>
      <c r="O474" s="140" t="s">
        <v>256</v>
      </c>
      <c r="P474" s="167" t="s">
        <v>167</v>
      </c>
    </row>
    <row r="475" s="89" customFormat="1" spans="1:17">
      <c r="A475" s="122">
        <v>45901</v>
      </c>
      <c r="B475" s="188" t="s">
        <v>285</v>
      </c>
      <c r="C475" s="165" t="s">
        <v>488</v>
      </c>
      <c r="D475" s="187" t="s">
        <v>489</v>
      </c>
      <c r="E475" s="141" t="s">
        <v>490</v>
      </c>
      <c r="F475" s="151">
        <v>45916</v>
      </c>
      <c r="G475" s="175" t="s">
        <v>86</v>
      </c>
      <c r="H475" s="112" t="s">
        <v>21</v>
      </c>
      <c r="I475" s="139">
        <v>11671.56</v>
      </c>
      <c r="J475" s="139">
        <v>0</v>
      </c>
      <c r="K475" s="139">
        <v>11671.56</v>
      </c>
      <c r="L475" s="139">
        <v>11671.56</v>
      </c>
      <c r="M475" s="139"/>
      <c r="N475" s="131">
        <f t="shared" si="33"/>
        <v>0</v>
      </c>
      <c r="O475" s="140" t="s">
        <v>267</v>
      </c>
      <c r="P475" s="167"/>
      <c r="Q475" s="89" t="s">
        <v>51</v>
      </c>
    </row>
    <row r="476" s="88" customFormat="1" spans="1:16">
      <c r="A476" s="111">
        <v>45839</v>
      </c>
      <c r="B476" s="138" t="s">
        <v>491</v>
      </c>
      <c r="C476" s="119" t="s">
        <v>492</v>
      </c>
      <c r="D476" s="114" t="s">
        <v>493</v>
      </c>
      <c r="E476" s="112" t="s">
        <v>494</v>
      </c>
      <c r="F476" s="151">
        <v>45807</v>
      </c>
      <c r="G476" s="112" t="s">
        <v>20</v>
      </c>
      <c r="H476" s="112" t="s">
        <v>21</v>
      </c>
      <c r="I476" s="131">
        <v>76794.1</v>
      </c>
      <c r="J476" s="131">
        <v>0</v>
      </c>
      <c r="K476" s="131">
        <v>76794.1</v>
      </c>
      <c r="L476" s="131">
        <v>76794.1</v>
      </c>
      <c r="M476" s="131"/>
      <c r="N476" s="131">
        <f t="shared" si="33"/>
        <v>0</v>
      </c>
      <c r="O476" s="169" t="s">
        <v>495</v>
      </c>
      <c r="P476" s="138"/>
    </row>
    <row r="477" s="88" customFormat="1" spans="1:16">
      <c r="A477" s="111">
        <v>45839</v>
      </c>
      <c r="B477" s="138" t="s">
        <v>491</v>
      </c>
      <c r="C477" s="119" t="s">
        <v>492</v>
      </c>
      <c r="D477" s="114" t="s">
        <v>493</v>
      </c>
      <c r="E477" s="112" t="s">
        <v>494</v>
      </c>
      <c r="F477" s="151">
        <v>45807</v>
      </c>
      <c r="G477" s="112" t="s">
        <v>20</v>
      </c>
      <c r="H477" s="138" t="s">
        <v>23</v>
      </c>
      <c r="I477" s="131">
        <v>52237.5</v>
      </c>
      <c r="J477" s="131">
        <v>0</v>
      </c>
      <c r="K477" s="131">
        <v>52237.5</v>
      </c>
      <c r="L477" s="131">
        <f>26118.75+4118.75+22000</f>
        <v>52237.5</v>
      </c>
      <c r="M477" s="131"/>
      <c r="N477" s="131">
        <f t="shared" si="33"/>
        <v>0</v>
      </c>
      <c r="O477" s="169" t="s">
        <v>496</v>
      </c>
      <c r="P477" s="138"/>
    </row>
    <row r="478" s="86" customFormat="1" spans="1:16">
      <c r="A478" s="111">
        <v>45870</v>
      </c>
      <c r="B478" s="113" t="s">
        <v>491</v>
      </c>
      <c r="C478" s="119" t="s">
        <v>492</v>
      </c>
      <c r="D478" s="114" t="s">
        <v>493</v>
      </c>
      <c r="E478" s="112" t="s">
        <v>494</v>
      </c>
      <c r="F478" s="151">
        <v>45900</v>
      </c>
      <c r="G478" s="112" t="s">
        <v>289</v>
      </c>
      <c r="H478" s="112" t="s">
        <v>21</v>
      </c>
      <c r="I478" s="159">
        <v>115191.15</v>
      </c>
      <c r="J478" s="133">
        <v>0</v>
      </c>
      <c r="K478" s="133">
        <f>I478-J478</f>
        <v>115191.15</v>
      </c>
      <c r="L478" s="133">
        <f>38397.05*3</f>
        <v>115191.15</v>
      </c>
      <c r="M478" s="133"/>
      <c r="N478" s="131">
        <f t="shared" si="33"/>
        <v>0</v>
      </c>
      <c r="O478" s="169" t="s">
        <v>497</v>
      </c>
      <c r="P478" s="112"/>
    </row>
    <row r="479" s="86" customFormat="1" spans="1:16">
      <c r="A479" s="111">
        <v>45870</v>
      </c>
      <c r="B479" s="113" t="s">
        <v>491</v>
      </c>
      <c r="C479" s="119" t="s">
        <v>492</v>
      </c>
      <c r="D479" s="114" t="s">
        <v>493</v>
      </c>
      <c r="E479" s="112" t="s">
        <v>494</v>
      </c>
      <c r="F479" s="151">
        <v>45900</v>
      </c>
      <c r="G479" s="112" t="s">
        <v>289</v>
      </c>
      <c r="H479" s="116" t="s">
        <v>23</v>
      </c>
      <c r="I479" s="159">
        <v>78356.25</v>
      </c>
      <c r="J479" s="133">
        <v>0</v>
      </c>
      <c r="K479" s="133">
        <f>I479-J479</f>
        <v>78356.25</v>
      </c>
      <c r="L479" s="133">
        <f>26118.75*3</f>
        <v>78356.25</v>
      </c>
      <c r="M479" s="133"/>
      <c r="N479" s="131">
        <f t="shared" si="33"/>
        <v>0</v>
      </c>
      <c r="O479" s="169" t="s">
        <v>498</v>
      </c>
      <c r="P479" s="112"/>
    </row>
    <row r="480" s="88" customFormat="1" spans="1:16">
      <c r="A480" s="118">
        <v>45962</v>
      </c>
      <c r="B480" s="138" t="s">
        <v>491</v>
      </c>
      <c r="C480" s="119" t="s">
        <v>492</v>
      </c>
      <c r="D480" s="114" t="s">
        <v>493</v>
      </c>
      <c r="E480" s="114" t="s">
        <v>494</v>
      </c>
      <c r="F480" s="151">
        <v>45976</v>
      </c>
      <c r="G480" s="114" t="s">
        <v>96</v>
      </c>
      <c r="H480" s="114" t="s">
        <v>23</v>
      </c>
      <c r="I480" s="131">
        <v>26118.75</v>
      </c>
      <c r="J480" s="131"/>
      <c r="K480" s="136">
        <v>26118.75</v>
      </c>
      <c r="L480" s="136">
        <v>26118.75</v>
      </c>
      <c r="M480" s="136"/>
      <c r="N480" s="131">
        <f t="shared" si="33"/>
        <v>0</v>
      </c>
      <c r="O480" s="137" t="s">
        <v>499</v>
      </c>
      <c r="P480" s="138"/>
    </row>
    <row r="481" s="88" customFormat="1" spans="1:16">
      <c r="A481" s="118">
        <v>45962</v>
      </c>
      <c r="B481" s="138" t="s">
        <v>491</v>
      </c>
      <c r="C481" s="119" t="s">
        <v>492</v>
      </c>
      <c r="D481" s="114" t="s">
        <v>493</v>
      </c>
      <c r="E481" s="114" t="s">
        <v>494</v>
      </c>
      <c r="F481" s="151">
        <v>45976</v>
      </c>
      <c r="G481" s="114" t="s">
        <v>98</v>
      </c>
      <c r="H481" s="114" t="s">
        <v>23</v>
      </c>
      <c r="I481" s="131">
        <v>26118.75</v>
      </c>
      <c r="J481" s="131"/>
      <c r="K481" s="136">
        <v>26118.75</v>
      </c>
      <c r="L481" s="136">
        <v>26118.75</v>
      </c>
      <c r="M481" s="136">
        <v>3</v>
      </c>
      <c r="N481" s="131">
        <f t="shared" si="33"/>
        <v>0</v>
      </c>
      <c r="O481" s="137" t="s">
        <v>500</v>
      </c>
      <c r="P481" s="138"/>
    </row>
    <row r="482" s="88" customFormat="1" spans="1:16">
      <c r="A482" s="118">
        <v>45962</v>
      </c>
      <c r="B482" s="138" t="s">
        <v>491</v>
      </c>
      <c r="C482" s="119" t="s">
        <v>492</v>
      </c>
      <c r="D482" s="114" t="s">
        <v>493</v>
      </c>
      <c r="E482" s="114" t="s">
        <v>494</v>
      </c>
      <c r="F482" s="151">
        <v>45976</v>
      </c>
      <c r="G482" s="114" t="s">
        <v>26</v>
      </c>
      <c r="H482" s="114" t="s">
        <v>23</v>
      </c>
      <c r="I482" s="131">
        <v>26118.75</v>
      </c>
      <c r="J482" s="131"/>
      <c r="K482" s="136">
        <v>26118.75</v>
      </c>
      <c r="L482" s="136">
        <v>26118.75</v>
      </c>
      <c r="M482" s="136"/>
      <c r="N482" s="131">
        <f t="shared" si="33"/>
        <v>0</v>
      </c>
      <c r="O482" s="137" t="s">
        <v>501</v>
      </c>
      <c r="P482" s="138"/>
    </row>
    <row r="483" s="88" customFormat="1" spans="1:16">
      <c r="A483" s="118">
        <v>45962</v>
      </c>
      <c r="B483" s="138" t="s">
        <v>491</v>
      </c>
      <c r="C483" s="119" t="s">
        <v>492</v>
      </c>
      <c r="D483" s="114" t="s">
        <v>493</v>
      </c>
      <c r="E483" s="114" t="s">
        <v>494</v>
      </c>
      <c r="F483" s="151">
        <v>45967</v>
      </c>
      <c r="G483" s="114" t="s">
        <v>290</v>
      </c>
      <c r="H483" s="121" t="s">
        <v>30</v>
      </c>
      <c r="I483" s="131">
        <v>416.63</v>
      </c>
      <c r="J483" s="131"/>
      <c r="K483" s="136">
        <v>416.63</v>
      </c>
      <c r="L483" s="136">
        <v>416.63</v>
      </c>
      <c r="M483" s="136"/>
      <c r="N483" s="131">
        <f t="shared" si="33"/>
        <v>0</v>
      </c>
      <c r="O483" s="137" t="s">
        <v>501</v>
      </c>
      <c r="P483" s="138"/>
    </row>
    <row r="484" s="88" customFormat="1" spans="1:16">
      <c r="A484" s="118">
        <v>45962</v>
      </c>
      <c r="B484" s="138" t="s">
        <v>491</v>
      </c>
      <c r="C484" s="119" t="s">
        <v>492</v>
      </c>
      <c r="D484" s="114" t="s">
        <v>493</v>
      </c>
      <c r="E484" s="114" t="s">
        <v>494</v>
      </c>
      <c r="F484" s="151">
        <v>45967</v>
      </c>
      <c r="G484" s="114" t="s">
        <v>291</v>
      </c>
      <c r="H484" s="121" t="s">
        <v>30</v>
      </c>
      <c r="I484" s="131">
        <v>416.67</v>
      </c>
      <c r="J484" s="131"/>
      <c r="K484" s="136">
        <v>416.67</v>
      </c>
      <c r="L484" s="136">
        <v>416.67</v>
      </c>
      <c r="M484" s="136"/>
      <c r="N484" s="131">
        <f t="shared" si="33"/>
        <v>0</v>
      </c>
      <c r="O484" s="137" t="s">
        <v>501</v>
      </c>
      <c r="P484" s="138"/>
    </row>
    <row r="485" s="88" customFormat="1" spans="1:16">
      <c r="A485" s="118">
        <v>45962</v>
      </c>
      <c r="B485" s="138" t="s">
        <v>491</v>
      </c>
      <c r="C485" s="119" t="s">
        <v>492</v>
      </c>
      <c r="D485" s="114" t="s">
        <v>493</v>
      </c>
      <c r="E485" s="114" t="s">
        <v>494</v>
      </c>
      <c r="F485" s="151">
        <v>45967</v>
      </c>
      <c r="G485" s="114" t="s">
        <v>292</v>
      </c>
      <c r="H485" s="121" t="s">
        <v>30</v>
      </c>
      <c r="I485" s="131">
        <v>416.67</v>
      </c>
      <c r="J485" s="131"/>
      <c r="K485" s="136">
        <v>416.67</v>
      </c>
      <c r="L485" s="136">
        <v>416.67</v>
      </c>
      <c r="M485" s="136"/>
      <c r="N485" s="131">
        <f t="shared" si="33"/>
        <v>0</v>
      </c>
      <c r="O485" s="137" t="s">
        <v>501</v>
      </c>
      <c r="P485" s="138"/>
    </row>
    <row r="486" s="88" customFormat="1" spans="1:16">
      <c r="A486" s="118">
        <v>45962</v>
      </c>
      <c r="B486" s="138" t="s">
        <v>491</v>
      </c>
      <c r="C486" s="119" t="s">
        <v>492</v>
      </c>
      <c r="D486" s="114" t="s">
        <v>493</v>
      </c>
      <c r="E486" s="114" t="s">
        <v>494</v>
      </c>
      <c r="F486" s="151">
        <v>45967</v>
      </c>
      <c r="G486" s="114" t="s">
        <v>293</v>
      </c>
      <c r="H486" s="121" t="s">
        <v>30</v>
      </c>
      <c r="I486" s="131">
        <v>416.67</v>
      </c>
      <c r="J486" s="131"/>
      <c r="K486" s="136">
        <v>416.67</v>
      </c>
      <c r="L486" s="136">
        <v>416.67</v>
      </c>
      <c r="M486" s="136"/>
      <c r="N486" s="131">
        <f t="shared" si="33"/>
        <v>0</v>
      </c>
      <c r="O486" s="137" t="s">
        <v>501</v>
      </c>
      <c r="P486" s="138"/>
    </row>
    <row r="487" s="88" customFormat="1" spans="1:16">
      <c r="A487" s="118">
        <v>45962</v>
      </c>
      <c r="B487" s="138" t="s">
        <v>491</v>
      </c>
      <c r="C487" s="119" t="s">
        <v>492</v>
      </c>
      <c r="D487" s="114" t="s">
        <v>493</v>
      </c>
      <c r="E487" s="114" t="s">
        <v>494</v>
      </c>
      <c r="F487" s="151">
        <v>45967</v>
      </c>
      <c r="G487" s="114" t="s">
        <v>294</v>
      </c>
      <c r="H487" s="121" t="s">
        <v>30</v>
      </c>
      <c r="I487" s="131">
        <v>416.67</v>
      </c>
      <c r="J487" s="131"/>
      <c r="K487" s="136">
        <v>416.67</v>
      </c>
      <c r="L487" s="136">
        <v>416.67</v>
      </c>
      <c r="M487" s="136"/>
      <c r="N487" s="131">
        <f t="shared" si="33"/>
        <v>0</v>
      </c>
      <c r="O487" s="137" t="s">
        <v>501</v>
      </c>
      <c r="P487" s="138"/>
    </row>
    <row r="488" s="88" customFormat="1" spans="1:16">
      <c r="A488" s="118">
        <v>45962</v>
      </c>
      <c r="B488" s="138" t="s">
        <v>491</v>
      </c>
      <c r="C488" s="119" t="s">
        <v>492</v>
      </c>
      <c r="D488" s="114" t="s">
        <v>493</v>
      </c>
      <c r="E488" s="114" t="s">
        <v>494</v>
      </c>
      <c r="F488" s="151">
        <v>45967</v>
      </c>
      <c r="G488" s="114" t="s">
        <v>295</v>
      </c>
      <c r="H488" s="121" t="s">
        <v>30</v>
      </c>
      <c r="I488" s="131">
        <v>416.67</v>
      </c>
      <c r="J488" s="131"/>
      <c r="K488" s="136">
        <v>416.67</v>
      </c>
      <c r="L488" s="136">
        <v>416.67</v>
      </c>
      <c r="M488" s="136"/>
      <c r="N488" s="131">
        <f t="shared" si="33"/>
        <v>0</v>
      </c>
      <c r="O488" s="137" t="s">
        <v>501</v>
      </c>
      <c r="P488" s="138"/>
    </row>
    <row r="489" s="88" customFormat="1" spans="1:16">
      <c r="A489" s="118">
        <v>45962</v>
      </c>
      <c r="B489" s="138" t="s">
        <v>491</v>
      </c>
      <c r="C489" s="119" t="s">
        <v>492</v>
      </c>
      <c r="D489" s="114" t="s">
        <v>493</v>
      </c>
      <c r="E489" s="114" t="s">
        <v>494</v>
      </c>
      <c r="F489" s="151">
        <v>45967</v>
      </c>
      <c r="G489" s="114" t="s">
        <v>296</v>
      </c>
      <c r="H489" s="121" t="s">
        <v>30</v>
      </c>
      <c r="I489" s="131">
        <v>416.67</v>
      </c>
      <c r="J489" s="131"/>
      <c r="K489" s="136">
        <v>416.67</v>
      </c>
      <c r="L489" s="136">
        <v>416.67</v>
      </c>
      <c r="M489" s="136"/>
      <c r="N489" s="131">
        <f t="shared" si="33"/>
        <v>0</v>
      </c>
      <c r="O489" s="137" t="s">
        <v>501</v>
      </c>
      <c r="P489" s="138"/>
    </row>
    <row r="490" s="88" customFormat="1" spans="1:16">
      <c r="A490" s="118">
        <v>45962</v>
      </c>
      <c r="B490" s="138" t="s">
        <v>491</v>
      </c>
      <c r="C490" s="119" t="s">
        <v>492</v>
      </c>
      <c r="D490" s="114" t="s">
        <v>493</v>
      </c>
      <c r="E490" s="114" t="s">
        <v>494</v>
      </c>
      <c r="F490" s="151">
        <v>45967</v>
      </c>
      <c r="G490" s="114" t="s">
        <v>297</v>
      </c>
      <c r="H490" s="121" t="s">
        <v>30</v>
      </c>
      <c r="I490" s="131">
        <v>416.67</v>
      </c>
      <c r="J490" s="131"/>
      <c r="K490" s="136">
        <v>416.67</v>
      </c>
      <c r="L490" s="136">
        <v>416.67</v>
      </c>
      <c r="M490" s="136"/>
      <c r="N490" s="131">
        <f t="shared" si="33"/>
        <v>0</v>
      </c>
      <c r="O490" s="137" t="s">
        <v>501</v>
      </c>
      <c r="P490" s="138"/>
    </row>
    <row r="491" s="88" customFormat="1" spans="1:16">
      <c r="A491" s="118">
        <v>45962</v>
      </c>
      <c r="B491" s="138" t="s">
        <v>491</v>
      </c>
      <c r="C491" s="119" t="s">
        <v>492</v>
      </c>
      <c r="D491" s="114" t="s">
        <v>493</v>
      </c>
      <c r="E491" s="114" t="s">
        <v>494</v>
      </c>
      <c r="F491" s="151">
        <v>45967</v>
      </c>
      <c r="G491" s="114" t="s">
        <v>298</v>
      </c>
      <c r="H491" s="121" t="s">
        <v>30</v>
      </c>
      <c r="I491" s="131">
        <v>416.67</v>
      </c>
      <c r="J491" s="131"/>
      <c r="K491" s="136">
        <v>416.67</v>
      </c>
      <c r="L491" s="136">
        <v>416.67</v>
      </c>
      <c r="M491" s="136"/>
      <c r="N491" s="131">
        <f t="shared" si="33"/>
        <v>0</v>
      </c>
      <c r="O491" s="137" t="s">
        <v>501</v>
      </c>
      <c r="P491" s="138"/>
    </row>
    <row r="492" s="88" customFormat="1" spans="1:16">
      <c r="A492" s="118">
        <v>45962</v>
      </c>
      <c r="B492" s="138" t="s">
        <v>491</v>
      </c>
      <c r="C492" s="119" t="s">
        <v>492</v>
      </c>
      <c r="D492" s="114" t="s">
        <v>493</v>
      </c>
      <c r="E492" s="114" t="s">
        <v>494</v>
      </c>
      <c r="F492" s="151">
        <v>45967</v>
      </c>
      <c r="G492" s="114" t="s">
        <v>299</v>
      </c>
      <c r="H492" s="121" t="s">
        <v>30</v>
      </c>
      <c r="I492" s="131">
        <v>416.67</v>
      </c>
      <c r="J492" s="131"/>
      <c r="K492" s="136">
        <v>416.67</v>
      </c>
      <c r="L492" s="136">
        <v>416.67</v>
      </c>
      <c r="M492" s="136"/>
      <c r="N492" s="131">
        <f t="shared" si="33"/>
        <v>0</v>
      </c>
      <c r="O492" s="137" t="s">
        <v>501</v>
      </c>
      <c r="P492" s="138"/>
    </row>
    <row r="493" s="88" customFormat="1" spans="1:16">
      <c r="A493" s="118">
        <v>45962</v>
      </c>
      <c r="B493" s="138" t="s">
        <v>491</v>
      </c>
      <c r="C493" s="119" t="s">
        <v>492</v>
      </c>
      <c r="D493" s="114" t="s">
        <v>493</v>
      </c>
      <c r="E493" s="114" t="s">
        <v>494</v>
      </c>
      <c r="F493" s="151">
        <v>45967</v>
      </c>
      <c r="G493" s="114" t="s">
        <v>300</v>
      </c>
      <c r="H493" s="121" t="s">
        <v>30</v>
      </c>
      <c r="I493" s="131">
        <v>416.67</v>
      </c>
      <c r="J493" s="131"/>
      <c r="K493" s="136">
        <v>416.67</v>
      </c>
      <c r="L493" s="136">
        <v>416.67</v>
      </c>
      <c r="M493" s="136"/>
      <c r="N493" s="131">
        <f t="shared" si="33"/>
        <v>0</v>
      </c>
      <c r="O493" s="137" t="s">
        <v>501</v>
      </c>
      <c r="P493" s="138"/>
    </row>
    <row r="494" s="88" customFormat="1" spans="1:16">
      <c r="A494" s="118">
        <v>45962</v>
      </c>
      <c r="B494" s="138" t="s">
        <v>491</v>
      </c>
      <c r="C494" s="119" t="s">
        <v>492</v>
      </c>
      <c r="D494" s="114" t="s">
        <v>493</v>
      </c>
      <c r="E494" s="114" t="s">
        <v>494</v>
      </c>
      <c r="F494" s="151">
        <v>45967</v>
      </c>
      <c r="G494" s="114" t="s">
        <v>301</v>
      </c>
      <c r="H494" s="121" t="s">
        <v>30</v>
      </c>
      <c r="I494" s="131">
        <v>416.67</v>
      </c>
      <c r="J494" s="131"/>
      <c r="K494" s="136">
        <v>416.67</v>
      </c>
      <c r="L494" s="136">
        <v>416.67</v>
      </c>
      <c r="M494" s="136"/>
      <c r="N494" s="131">
        <f t="shared" si="33"/>
        <v>0</v>
      </c>
      <c r="O494" s="137" t="s">
        <v>501</v>
      </c>
      <c r="P494" s="138"/>
    </row>
    <row r="495" s="88" customFormat="1" spans="1:16">
      <c r="A495" s="118">
        <v>45962</v>
      </c>
      <c r="B495" s="138" t="s">
        <v>491</v>
      </c>
      <c r="C495" s="119" t="s">
        <v>492</v>
      </c>
      <c r="D495" s="114" t="s">
        <v>493</v>
      </c>
      <c r="E495" s="114" t="s">
        <v>494</v>
      </c>
      <c r="F495" s="151">
        <v>45976</v>
      </c>
      <c r="G495" s="114" t="s">
        <v>96</v>
      </c>
      <c r="H495" s="112" t="s">
        <v>21</v>
      </c>
      <c r="I495" s="131">
        <v>38394.56</v>
      </c>
      <c r="J495" s="131"/>
      <c r="K495" s="136">
        <v>38394.56</v>
      </c>
      <c r="L495" s="136">
        <v>38394.56</v>
      </c>
      <c r="M495" s="136"/>
      <c r="N495" s="131">
        <f t="shared" si="33"/>
        <v>0</v>
      </c>
      <c r="O495" s="137" t="s">
        <v>499</v>
      </c>
      <c r="P495" s="138"/>
    </row>
    <row r="496" s="88" customFormat="1" spans="1:16">
      <c r="A496" s="118">
        <v>45962</v>
      </c>
      <c r="B496" s="138" t="s">
        <v>491</v>
      </c>
      <c r="C496" s="119" t="s">
        <v>492</v>
      </c>
      <c r="D496" s="114" t="s">
        <v>493</v>
      </c>
      <c r="E496" s="114" t="s">
        <v>494</v>
      </c>
      <c r="F496" s="151">
        <v>45976</v>
      </c>
      <c r="G496" s="114" t="s">
        <v>98</v>
      </c>
      <c r="H496" s="112" t="s">
        <v>21</v>
      </c>
      <c r="I496" s="131">
        <v>38394.56</v>
      </c>
      <c r="J496" s="131"/>
      <c r="K496" s="136">
        <v>38394.56</v>
      </c>
      <c r="L496" s="136">
        <v>38394.56</v>
      </c>
      <c r="M496" s="136"/>
      <c r="N496" s="131">
        <f t="shared" si="33"/>
        <v>0</v>
      </c>
      <c r="O496" s="137" t="s">
        <v>500</v>
      </c>
      <c r="P496" s="138"/>
    </row>
    <row r="497" s="88" customFormat="1" spans="1:16">
      <c r="A497" s="118">
        <v>45962</v>
      </c>
      <c r="B497" s="138" t="s">
        <v>491</v>
      </c>
      <c r="C497" s="119" t="s">
        <v>492</v>
      </c>
      <c r="D497" s="114" t="s">
        <v>493</v>
      </c>
      <c r="E497" s="114" t="s">
        <v>494</v>
      </c>
      <c r="F497" s="151">
        <v>45976</v>
      </c>
      <c r="G497" s="114" t="s">
        <v>26</v>
      </c>
      <c r="H497" s="112" t="s">
        <v>21</v>
      </c>
      <c r="I497" s="131">
        <v>38394.56</v>
      </c>
      <c r="J497" s="131"/>
      <c r="K497" s="136">
        <v>38394.56</v>
      </c>
      <c r="L497" s="136">
        <v>38394.56</v>
      </c>
      <c r="M497" s="136"/>
      <c r="N497" s="131">
        <f t="shared" si="33"/>
        <v>0</v>
      </c>
      <c r="O497" s="137" t="s">
        <v>501</v>
      </c>
      <c r="P497" s="138"/>
    </row>
    <row r="498" s="89" customFormat="1" spans="1:16">
      <c r="A498" s="122">
        <v>45901</v>
      </c>
      <c r="B498" s="138" t="s">
        <v>491</v>
      </c>
      <c r="C498" s="165" t="s">
        <v>502</v>
      </c>
      <c r="D498" s="141" t="s">
        <v>503</v>
      </c>
      <c r="E498" s="141" t="s">
        <v>504</v>
      </c>
      <c r="F498" s="151">
        <v>45916</v>
      </c>
      <c r="G498" s="141" t="s">
        <v>241</v>
      </c>
      <c r="H498" s="141" t="s">
        <v>23</v>
      </c>
      <c r="I498" s="139">
        <v>3135</v>
      </c>
      <c r="J498" s="139">
        <v>0</v>
      </c>
      <c r="K498" s="139">
        <v>3135</v>
      </c>
      <c r="L498" s="139">
        <v>3135</v>
      </c>
      <c r="M498" s="139"/>
      <c r="N498" s="131">
        <f t="shared" si="33"/>
        <v>0</v>
      </c>
      <c r="O498" s="140" t="s">
        <v>505</v>
      </c>
      <c r="P498" s="168" t="s">
        <v>183</v>
      </c>
    </row>
    <row r="499" s="89" customFormat="1" spans="1:16">
      <c r="A499" s="122">
        <v>45901</v>
      </c>
      <c r="B499" s="138" t="s">
        <v>491</v>
      </c>
      <c r="C499" s="165" t="s">
        <v>502</v>
      </c>
      <c r="D499" s="141" t="s">
        <v>503</v>
      </c>
      <c r="E499" s="141" t="s">
        <v>504</v>
      </c>
      <c r="F499" s="151">
        <v>45916</v>
      </c>
      <c r="G499" s="141" t="s">
        <v>261</v>
      </c>
      <c r="H499" s="121" t="s">
        <v>30</v>
      </c>
      <c r="I499" s="139">
        <v>3000</v>
      </c>
      <c r="J499" s="139">
        <v>0</v>
      </c>
      <c r="K499" s="139">
        <v>3000</v>
      </c>
      <c r="L499" s="139">
        <v>3000</v>
      </c>
      <c r="M499" s="139"/>
      <c r="N499" s="131">
        <f t="shared" si="33"/>
        <v>0</v>
      </c>
      <c r="O499" s="140" t="s">
        <v>505</v>
      </c>
      <c r="P499" s="168" t="s">
        <v>183</v>
      </c>
    </row>
    <row r="500" s="89" customFormat="1" spans="1:16">
      <c r="A500" s="122">
        <v>45901</v>
      </c>
      <c r="B500" s="138" t="s">
        <v>491</v>
      </c>
      <c r="C500" s="165" t="s">
        <v>502</v>
      </c>
      <c r="D500" s="141" t="s">
        <v>503</v>
      </c>
      <c r="E500" s="141" t="s">
        <v>504</v>
      </c>
      <c r="F500" s="151">
        <v>45916</v>
      </c>
      <c r="G500" s="141" t="s">
        <v>241</v>
      </c>
      <c r="H500" s="112" t="s">
        <v>21</v>
      </c>
      <c r="I500" s="139">
        <v>4560</v>
      </c>
      <c r="J500" s="139">
        <v>0</v>
      </c>
      <c r="K500" s="139">
        <v>4560</v>
      </c>
      <c r="L500" s="139">
        <v>4560</v>
      </c>
      <c r="M500" s="139"/>
      <c r="N500" s="131">
        <f t="shared" si="33"/>
        <v>0</v>
      </c>
      <c r="O500" s="140" t="s">
        <v>505</v>
      </c>
      <c r="P500" s="168" t="s">
        <v>183</v>
      </c>
    </row>
    <row r="501" s="88" customFormat="1" spans="1:16">
      <c r="A501" s="118">
        <v>45931</v>
      </c>
      <c r="B501" s="138" t="s">
        <v>491</v>
      </c>
      <c r="C501" s="119" t="s">
        <v>502</v>
      </c>
      <c r="D501" s="114" t="s">
        <v>503</v>
      </c>
      <c r="E501" s="114" t="s">
        <v>504</v>
      </c>
      <c r="F501" s="151">
        <v>45946</v>
      </c>
      <c r="G501" s="114" t="s">
        <v>98</v>
      </c>
      <c r="H501" s="114" t="s">
        <v>23</v>
      </c>
      <c r="I501" s="131">
        <v>1045</v>
      </c>
      <c r="J501" s="131"/>
      <c r="K501" s="136">
        <v>1045</v>
      </c>
      <c r="L501" s="136">
        <v>1045</v>
      </c>
      <c r="M501" s="136"/>
      <c r="N501" s="131">
        <f t="shared" si="33"/>
        <v>0</v>
      </c>
      <c r="O501" s="137" t="s">
        <v>506</v>
      </c>
      <c r="P501" s="138"/>
    </row>
    <row r="502" s="88" customFormat="1" spans="1:16">
      <c r="A502" s="118">
        <v>45931</v>
      </c>
      <c r="B502" s="138" t="s">
        <v>491</v>
      </c>
      <c r="C502" s="119" t="s">
        <v>502</v>
      </c>
      <c r="D502" s="114" t="s">
        <v>503</v>
      </c>
      <c r="E502" s="114" t="s">
        <v>504</v>
      </c>
      <c r="F502" s="151">
        <v>45946</v>
      </c>
      <c r="G502" s="114" t="s">
        <v>26</v>
      </c>
      <c r="H502" s="114" t="s">
        <v>23</v>
      </c>
      <c r="I502" s="131">
        <v>1045</v>
      </c>
      <c r="J502" s="131"/>
      <c r="K502" s="136">
        <v>1045</v>
      </c>
      <c r="L502" s="136">
        <v>1045</v>
      </c>
      <c r="M502" s="136"/>
      <c r="N502" s="131">
        <f t="shared" si="33"/>
        <v>0</v>
      </c>
      <c r="O502" s="137" t="s">
        <v>507</v>
      </c>
      <c r="P502" s="138"/>
    </row>
    <row r="503" s="88" customFormat="1" spans="1:16">
      <c r="A503" s="118">
        <v>45931</v>
      </c>
      <c r="B503" s="138" t="s">
        <v>491</v>
      </c>
      <c r="C503" s="119" t="s">
        <v>502</v>
      </c>
      <c r="D503" s="114" t="s">
        <v>503</v>
      </c>
      <c r="E503" s="114" t="s">
        <v>504</v>
      </c>
      <c r="F503" s="151">
        <v>45946</v>
      </c>
      <c r="G503" s="114" t="s">
        <v>28</v>
      </c>
      <c r="H503" s="114" t="s">
        <v>23</v>
      </c>
      <c r="I503" s="131">
        <v>1045</v>
      </c>
      <c r="J503" s="131"/>
      <c r="K503" s="136">
        <v>1045</v>
      </c>
      <c r="L503" s="136">
        <v>1045</v>
      </c>
      <c r="M503" s="136"/>
      <c r="N503" s="131">
        <f t="shared" si="33"/>
        <v>0</v>
      </c>
      <c r="O503" s="137" t="s">
        <v>507</v>
      </c>
      <c r="P503" s="138"/>
    </row>
    <row r="504" s="88" customFormat="1" spans="1:16">
      <c r="A504" s="118">
        <v>45931</v>
      </c>
      <c r="B504" s="138" t="s">
        <v>491</v>
      </c>
      <c r="C504" s="119" t="s">
        <v>502</v>
      </c>
      <c r="D504" s="114" t="s">
        <v>503</v>
      </c>
      <c r="E504" s="114" t="s">
        <v>504</v>
      </c>
      <c r="F504" s="151">
        <v>45946</v>
      </c>
      <c r="G504" s="114" t="s">
        <v>98</v>
      </c>
      <c r="H504" s="112" t="s">
        <v>21</v>
      </c>
      <c r="I504" s="131">
        <v>1520</v>
      </c>
      <c r="J504" s="131"/>
      <c r="K504" s="136">
        <v>1520</v>
      </c>
      <c r="L504" s="136">
        <f>120+1400</f>
        <v>1520</v>
      </c>
      <c r="M504" s="136"/>
      <c r="N504" s="131">
        <f t="shared" si="33"/>
        <v>0</v>
      </c>
      <c r="O504" s="137" t="s">
        <v>508</v>
      </c>
      <c r="P504" s="138"/>
    </row>
    <row r="505" s="88" customFormat="1" spans="1:16">
      <c r="A505" s="118">
        <v>45931</v>
      </c>
      <c r="B505" s="138" t="s">
        <v>491</v>
      </c>
      <c r="C505" s="119" t="s">
        <v>502</v>
      </c>
      <c r="D505" s="114" t="s">
        <v>503</v>
      </c>
      <c r="E505" s="114" t="s">
        <v>504</v>
      </c>
      <c r="F505" s="151">
        <v>45946</v>
      </c>
      <c r="G505" s="114" t="s">
        <v>26</v>
      </c>
      <c r="H505" s="112" t="s">
        <v>21</v>
      </c>
      <c r="I505" s="131">
        <v>1520</v>
      </c>
      <c r="J505" s="131"/>
      <c r="K505" s="136">
        <v>1520</v>
      </c>
      <c r="L505" s="136">
        <v>1520</v>
      </c>
      <c r="M505" s="136"/>
      <c r="N505" s="131">
        <f t="shared" si="33"/>
        <v>0</v>
      </c>
      <c r="O505" s="137" t="s">
        <v>507</v>
      </c>
      <c r="P505" s="138"/>
    </row>
    <row r="506" s="88" customFormat="1" spans="1:16">
      <c r="A506" s="118">
        <v>45931</v>
      </c>
      <c r="B506" s="138" t="s">
        <v>491</v>
      </c>
      <c r="C506" s="119" t="s">
        <v>502</v>
      </c>
      <c r="D506" s="114" t="s">
        <v>503</v>
      </c>
      <c r="E506" s="114" t="s">
        <v>504</v>
      </c>
      <c r="F506" s="151">
        <v>45946</v>
      </c>
      <c r="G506" s="114" t="s">
        <v>28</v>
      </c>
      <c r="H506" s="112" t="s">
        <v>21</v>
      </c>
      <c r="I506" s="131">
        <v>1520</v>
      </c>
      <c r="J506" s="131"/>
      <c r="K506" s="136">
        <v>1520</v>
      </c>
      <c r="L506" s="136">
        <v>1520</v>
      </c>
      <c r="M506" s="136"/>
      <c r="N506" s="131">
        <f t="shared" si="33"/>
        <v>0</v>
      </c>
      <c r="O506" s="137" t="s">
        <v>507</v>
      </c>
      <c r="P506" s="138"/>
    </row>
    <row r="507" s="86" customFormat="1" spans="1:16">
      <c r="A507" s="111">
        <v>45839</v>
      </c>
      <c r="B507" s="138" t="s">
        <v>491</v>
      </c>
      <c r="C507" s="113" t="s">
        <v>509</v>
      </c>
      <c r="D507" s="112" t="s">
        <v>510</v>
      </c>
      <c r="E507" s="112" t="s">
        <v>511</v>
      </c>
      <c r="F507" s="151">
        <v>45824</v>
      </c>
      <c r="G507" s="112" t="s">
        <v>512</v>
      </c>
      <c r="H507" s="112" t="s">
        <v>21</v>
      </c>
      <c r="I507" s="130">
        <v>7002.6</v>
      </c>
      <c r="J507" s="130">
        <v>0</v>
      </c>
      <c r="K507" s="130">
        <v>7002.6</v>
      </c>
      <c r="L507" s="130">
        <v>7002.6</v>
      </c>
      <c r="M507" s="130"/>
      <c r="N507" s="131">
        <f t="shared" si="33"/>
        <v>0</v>
      </c>
      <c r="O507" s="132" t="s">
        <v>271</v>
      </c>
      <c r="P507" s="112"/>
    </row>
    <row r="508" s="86" customFormat="1" spans="1:16">
      <c r="A508" s="111">
        <v>45839</v>
      </c>
      <c r="B508" s="138" t="s">
        <v>491</v>
      </c>
      <c r="C508" s="113" t="s">
        <v>509</v>
      </c>
      <c r="D508" s="112" t="s">
        <v>510</v>
      </c>
      <c r="E508" s="112" t="s">
        <v>511</v>
      </c>
      <c r="F508" s="151">
        <v>45824</v>
      </c>
      <c r="G508" s="112" t="s">
        <v>512</v>
      </c>
      <c r="H508" s="112" t="s">
        <v>23</v>
      </c>
      <c r="I508" s="130">
        <v>4531.1</v>
      </c>
      <c r="J508" s="130">
        <v>0</v>
      </c>
      <c r="K508" s="130">
        <v>4531.1</v>
      </c>
      <c r="L508" s="130">
        <v>4531.1</v>
      </c>
      <c r="M508" s="130"/>
      <c r="N508" s="131">
        <f t="shared" si="33"/>
        <v>0</v>
      </c>
      <c r="O508" s="132" t="s">
        <v>271</v>
      </c>
      <c r="P508" s="112"/>
    </row>
    <row r="509" s="88" customFormat="1" spans="1:16">
      <c r="A509" s="118">
        <v>45931</v>
      </c>
      <c r="B509" s="138" t="s">
        <v>491</v>
      </c>
      <c r="C509" s="119" t="s">
        <v>509</v>
      </c>
      <c r="D509" s="114" t="s">
        <v>510</v>
      </c>
      <c r="E509" s="114" t="s">
        <v>511</v>
      </c>
      <c r="F509" s="151">
        <v>45946</v>
      </c>
      <c r="G509" s="114" t="s">
        <v>513</v>
      </c>
      <c r="H509" s="112" t="s">
        <v>21</v>
      </c>
      <c r="I509" s="131">
        <v>6884.79</v>
      </c>
      <c r="J509" s="131"/>
      <c r="K509" s="136">
        <v>6884.79</v>
      </c>
      <c r="L509" s="136">
        <v>6884.79</v>
      </c>
      <c r="M509" s="136"/>
      <c r="N509" s="131">
        <f t="shared" si="33"/>
        <v>0</v>
      </c>
      <c r="O509" s="137" t="s">
        <v>514</v>
      </c>
      <c r="P509" s="138"/>
    </row>
    <row r="510" s="88" customFormat="1" spans="1:16">
      <c r="A510" s="118">
        <v>45931</v>
      </c>
      <c r="B510" s="138" t="s">
        <v>491</v>
      </c>
      <c r="C510" s="119" t="s">
        <v>509</v>
      </c>
      <c r="D510" s="114" t="s">
        <v>510</v>
      </c>
      <c r="E510" s="114" t="s">
        <v>511</v>
      </c>
      <c r="F510" s="151">
        <v>45946</v>
      </c>
      <c r="G510" s="114" t="s">
        <v>513</v>
      </c>
      <c r="H510" s="114" t="s">
        <v>23</v>
      </c>
      <c r="I510" s="131">
        <v>5115</v>
      </c>
      <c r="J510" s="131"/>
      <c r="K510" s="136">
        <v>5115</v>
      </c>
      <c r="L510" s="136">
        <v>5115</v>
      </c>
      <c r="M510" s="136"/>
      <c r="N510" s="131">
        <f t="shared" si="33"/>
        <v>0</v>
      </c>
      <c r="O510" s="137" t="s">
        <v>514</v>
      </c>
      <c r="P510" s="138"/>
    </row>
    <row r="511" s="88" customFormat="1" spans="1:16">
      <c r="A511" s="118">
        <v>45931</v>
      </c>
      <c r="B511" s="138" t="s">
        <v>491</v>
      </c>
      <c r="C511" s="119" t="s">
        <v>509</v>
      </c>
      <c r="D511" s="114" t="s">
        <v>510</v>
      </c>
      <c r="E511" s="114" t="s">
        <v>511</v>
      </c>
      <c r="F511" s="151">
        <v>45946</v>
      </c>
      <c r="G511" s="114" t="s">
        <v>515</v>
      </c>
      <c r="H511" s="121" t="s">
        <v>30</v>
      </c>
      <c r="I511" s="131">
        <v>3000</v>
      </c>
      <c r="J511" s="131"/>
      <c r="K511" s="136">
        <v>3000</v>
      </c>
      <c r="L511" s="136">
        <f>2500.21+499.79</f>
        <v>3000</v>
      </c>
      <c r="M511" s="136"/>
      <c r="N511" s="131">
        <f t="shared" si="33"/>
        <v>0</v>
      </c>
      <c r="O511" s="137" t="s">
        <v>516</v>
      </c>
      <c r="P511" s="138"/>
    </row>
    <row r="512" s="86" customFormat="1" spans="1:16">
      <c r="A512" s="111">
        <v>45839</v>
      </c>
      <c r="B512" s="138" t="s">
        <v>491</v>
      </c>
      <c r="C512" s="113" t="s">
        <v>517</v>
      </c>
      <c r="D512" s="112" t="s">
        <v>518</v>
      </c>
      <c r="E512" s="112" t="s">
        <v>519</v>
      </c>
      <c r="F512" s="151">
        <v>45869</v>
      </c>
      <c r="G512" s="112" t="s">
        <v>102</v>
      </c>
      <c r="H512" s="112" t="s">
        <v>21</v>
      </c>
      <c r="I512" s="130">
        <v>5137.15</v>
      </c>
      <c r="J512" s="130">
        <v>0</v>
      </c>
      <c r="K512" s="130">
        <f t="shared" ref="K512:K516" si="35">I512-J512</f>
        <v>5137.15</v>
      </c>
      <c r="L512" s="179">
        <f>137.15+5000</f>
        <v>5137.15</v>
      </c>
      <c r="M512" s="130"/>
      <c r="N512" s="131">
        <f t="shared" si="33"/>
        <v>0</v>
      </c>
      <c r="O512" s="132" t="s">
        <v>520</v>
      </c>
      <c r="P512" s="112"/>
    </row>
    <row r="513" s="86" customFormat="1" spans="1:16">
      <c r="A513" s="111">
        <v>45839</v>
      </c>
      <c r="B513" s="138" t="s">
        <v>491</v>
      </c>
      <c r="C513" s="113" t="s">
        <v>517</v>
      </c>
      <c r="D513" s="112" t="s">
        <v>518</v>
      </c>
      <c r="E513" s="112" t="s">
        <v>519</v>
      </c>
      <c r="F513" s="151">
        <v>45869</v>
      </c>
      <c r="G513" s="112" t="s">
        <v>102</v>
      </c>
      <c r="H513" s="112" t="s">
        <v>23</v>
      </c>
      <c r="I513" s="130">
        <v>642.14</v>
      </c>
      <c r="J513" s="130">
        <v>0</v>
      </c>
      <c r="K513" s="130">
        <f t="shared" si="35"/>
        <v>642.14</v>
      </c>
      <c r="L513" s="179">
        <v>642.14</v>
      </c>
      <c r="M513" s="130"/>
      <c r="N513" s="131">
        <f t="shared" si="33"/>
        <v>0</v>
      </c>
      <c r="O513" s="132" t="s">
        <v>521</v>
      </c>
      <c r="P513" s="112"/>
    </row>
    <row r="514" s="86" customFormat="1" spans="1:16">
      <c r="A514" s="111">
        <v>45870</v>
      </c>
      <c r="B514" s="138" t="s">
        <v>491</v>
      </c>
      <c r="C514" s="163" t="s">
        <v>517</v>
      </c>
      <c r="D514" s="112" t="s">
        <v>518</v>
      </c>
      <c r="E514" s="112" t="s">
        <v>519</v>
      </c>
      <c r="F514" s="151">
        <v>45900</v>
      </c>
      <c r="G514" s="112" t="s">
        <v>55</v>
      </c>
      <c r="H514" s="112" t="s">
        <v>21</v>
      </c>
      <c r="I514" s="159">
        <v>5017.26</v>
      </c>
      <c r="J514" s="159">
        <v>0</v>
      </c>
      <c r="K514" s="133">
        <f t="shared" si="35"/>
        <v>5017.26</v>
      </c>
      <c r="L514" s="202">
        <f>17.26+5000</f>
        <v>5017.26</v>
      </c>
      <c r="M514" s="160"/>
      <c r="N514" s="131">
        <f t="shared" si="33"/>
        <v>0</v>
      </c>
      <c r="O514" s="132" t="s">
        <v>522</v>
      </c>
      <c r="P514" s="112"/>
    </row>
    <row r="515" s="86" customFormat="1" spans="1:16">
      <c r="A515" s="111">
        <v>45870</v>
      </c>
      <c r="B515" s="138" t="s">
        <v>491</v>
      </c>
      <c r="C515" s="163" t="s">
        <v>517</v>
      </c>
      <c r="D515" s="112" t="s">
        <v>518</v>
      </c>
      <c r="E515" s="112" t="s">
        <v>519</v>
      </c>
      <c r="F515" s="151">
        <v>45900</v>
      </c>
      <c r="G515" s="112" t="s">
        <v>55</v>
      </c>
      <c r="H515" s="112" t="s">
        <v>23</v>
      </c>
      <c r="I515" s="159">
        <v>627.16</v>
      </c>
      <c r="J515" s="159">
        <v>0</v>
      </c>
      <c r="K515" s="133">
        <f t="shared" si="35"/>
        <v>627.16</v>
      </c>
      <c r="L515" s="203">
        <v>627.16</v>
      </c>
      <c r="M515" s="159"/>
      <c r="N515" s="131">
        <f t="shared" ref="N515:N578" si="36">K515-L515</f>
        <v>0</v>
      </c>
      <c r="O515" s="132" t="s">
        <v>523</v>
      </c>
      <c r="P515" s="112"/>
    </row>
    <row r="516" s="93" customFormat="1" spans="1:16">
      <c r="A516" s="145">
        <v>45901</v>
      </c>
      <c r="B516" s="190" t="s">
        <v>491</v>
      </c>
      <c r="C516" s="191" t="s">
        <v>517</v>
      </c>
      <c r="D516" s="192" t="s">
        <v>518</v>
      </c>
      <c r="E516" s="192" t="s">
        <v>519</v>
      </c>
      <c r="F516" s="151">
        <v>45930</v>
      </c>
      <c r="G516" s="192" t="s">
        <v>56</v>
      </c>
      <c r="H516" s="192" t="s">
        <v>23</v>
      </c>
      <c r="I516" s="204">
        <v>1056.79</v>
      </c>
      <c r="J516" s="204">
        <v>0</v>
      </c>
      <c r="K516" s="205">
        <f t="shared" si="35"/>
        <v>1056.79</v>
      </c>
      <c r="L516" s="156">
        <v>1056.79</v>
      </c>
      <c r="M516" s="156"/>
      <c r="N516" s="144">
        <f t="shared" si="36"/>
        <v>0</v>
      </c>
      <c r="O516" s="206" t="s">
        <v>524</v>
      </c>
      <c r="P516" s="192"/>
    </row>
    <row r="517" s="90" customFormat="1" ht="40.5" spans="1:16">
      <c r="A517" s="145">
        <v>45901</v>
      </c>
      <c r="B517" s="190" t="s">
        <v>491</v>
      </c>
      <c r="C517" s="193" t="s">
        <v>517</v>
      </c>
      <c r="D517" s="194" t="s">
        <v>518</v>
      </c>
      <c r="E517" s="194" t="s">
        <v>519</v>
      </c>
      <c r="F517" s="151">
        <v>45930</v>
      </c>
      <c r="G517" s="194" t="s">
        <v>56</v>
      </c>
      <c r="H517" s="195" t="s">
        <v>21</v>
      </c>
      <c r="I517" s="207">
        <v>8454.34</v>
      </c>
      <c r="J517" s="207">
        <v>0</v>
      </c>
      <c r="K517" s="208">
        <f>I517</f>
        <v>8454.34</v>
      </c>
      <c r="L517" s="209">
        <v>8454.34</v>
      </c>
      <c r="M517" s="144"/>
      <c r="N517" s="144">
        <f t="shared" si="36"/>
        <v>0</v>
      </c>
      <c r="O517" s="206" t="s">
        <v>524</v>
      </c>
      <c r="P517" s="210" t="s">
        <v>525</v>
      </c>
    </row>
    <row r="518" s="88" customFormat="1" spans="1:16">
      <c r="A518" s="118">
        <v>45931</v>
      </c>
      <c r="B518" s="138" t="s">
        <v>491</v>
      </c>
      <c r="C518" s="119" t="s">
        <v>526</v>
      </c>
      <c r="D518" s="114" t="s">
        <v>518</v>
      </c>
      <c r="E518" s="114" t="s">
        <v>519</v>
      </c>
      <c r="F518" s="151">
        <v>45946</v>
      </c>
      <c r="G518" s="114" t="s">
        <v>58</v>
      </c>
      <c r="H518" s="135" t="s">
        <v>23</v>
      </c>
      <c r="I518" s="131">
        <v>1016.3</v>
      </c>
      <c r="J518" s="131"/>
      <c r="K518" s="136">
        <v>1016.3</v>
      </c>
      <c r="L518" s="136">
        <v>1016.3</v>
      </c>
      <c r="M518" s="136"/>
      <c r="N518" s="131">
        <f t="shared" si="36"/>
        <v>0</v>
      </c>
      <c r="O518" s="137" t="s">
        <v>527</v>
      </c>
      <c r="P518" s="138"/>
    </row>
    <row r="519" s="88" customFormat="1" spans="1:16">
      <c r="A519" s="118">
        <v>45931</v>
      </c>
      <c r="B519" s="138" t="s">
        <v>491</v>
      </c>
      <c r="C519" s="119" t="s">
        <v>526</v>
      </c>
      <c r="D519" s="114" t="s">
        <v>518</v>
      </c>
      <c r="E519" s="114" t="s">
        <v>519</v>
      </c>
      <c r="F519" s="151">
        <v>45946</v>
      </c>
      <c r="G519" s="114" t="s">
        <v>58</v>
      </c>
      <c r="H519" s="112" t="s">
        <v>21</v>
      </c>
      <c r="I519" s="131">
        <v>8130.36</v>
      </c>
      <c r="J519" s="131"/>
      <c r="K519" s="136">
        <v>8130.36</v>
      </c>
      <c r="L519" s="136">
        <v>8130.36</v>
      </c>
      <c r="M519" s="136"/>
      <c r="N519" s="131">
        <f t="shared" si="36"/>
        <v>0</v>
      </c>
      <c r="O519" s="137" t="s">
        <v>527</v>
      </c>
      <c r="P519" s="138"/>
    </row>
    <row r="520" s="88" customFormat="1" spans="1:16">
      <c r="A520" s="118">
        <v>45962</v>
      </c>
      <c r="B520" s="138" t="s">
        <v>491</v>
      </c>
      <c r="C520" s="119" t="s">
        <v>526</v>
      </c>
      <c r="D520" s="114" t="s">
        <v>518</v>
      </c>
      <c r="E520" s="114" t="s">
        <v>519</v>
      </c>
      <c r="F520" s="151">
        <v>45976</v>
      </c>
      <c r="G520" s="114" t="s">
        <v>60</v>
      </c>
      <c r="H520" s="135" t="s">
        <v>23</v>
      </c>
      <c r="I520" s="131">
        <v>1054.4</v>
      </c>
      <c r="J520" s="131"/>
      <c r="K520" s="136">
        <v>1054.4</v>
      </c>
      <c r="L520" s="136">
        <v>1054.4</v>
      </c>
      <c r="M520" s="136"/>
      <c r="N520" s="131">
        <f t="shared" si="36"/>
        <v>0</v>
      </c>
      <c r="O520" s="137" t="s">
        <v>527</v>
      </c>
      <c r="P520" s="138"/>
    </row>
    <row r="521" s="94" customFormat="1" spans="1:16">
      <c r="A521" s="196">
        <v>45962</v>
      </c>
      <c r="B521" s="190" t="s">
        <v>491</v>
      </c>
      <c r="C521" s="197" t="s">
        <v>526</v>
      </c>
      <c r="D521" s="198" t="s">
        <v>518</v>
      </c>
      <c r="E521" s="198" t="s">
        <v>519</v>
      </c>
      <c r="F521" s="151">
        <v>45976</v>
      </c>
      <c r="G521" s="198" t="s">
        <v>60</v>
      </c>
      <c r="H521" s="199" t="s">
        <v>21</v>
      </c>
      <c r="I521" s="144">
        <v>8435.22</v>
      </c>
      <c r="J521" s="144"/>
      <c r="K521" s="211">
        <v>8435.22</v>
      </c>
      <c r="L521" s="211">
        <f>2235.22+6200</f>
        <v>8435.22</v>
      </c>
      <c r="M521" s="211"/>
      <c r="N521" s="144">
        <f t="shared" si="36"/>
        <v>0</v>
      </c>
      <c r="O521" s="137" t="s">
        <v>528</v>
      </c>
      <c r="P521" s="190"/>
    </row>
    <row r="522" s="86" customFormat="1" spans="1:16">
      <c r="A522" s="111">
        <v>45839</v>
      </c>
      <c r="B522" s="138" t="s">
        <v>491</v>
      </c>
      <c r="C522" s="113" t="s">
        <v>529</v>
      </c>
      <c r="D522" s="112" t="s">
        <v>530</v>
      </c>
      <c r="E522" s="112" t="s">
        <v>531</v>
      </c>
      <c r="F522" s="151">
        <v>45838</v>
      </c>
      <c r="G522" s="112" t="s">
        <v>46</v>
      </c>
      <c r="H522" s="112" t="s">
        <v>21</v>
      </c>
      <c r="I522" s="130">
        <v>95922</v>
      </c>
      <c r="J522" s="130">
        <v>0</v>
      </c>
      <c r="K522" s="130">
        <v>95922</v>
      </c>
      <c r="L522" s="130">
        <v>95922</v>
      </c>
      <c r="M522" s="130"/>
      <c r="N522" s="131">
        <f t="shared" si="36"/>
        <v>0</v>
      </c>
      <c r="O522" s="132" t="s">
        <v>116</v>
      </c>
      <c r="P522" s="112"/>
    </row>
    <row r="523" s="86" customFormat="1" spans="1:16">
      <c r="A523" s="111">
        <v>45839</v>
      </c>
      <c r="B523" s="138" t="s">
        <v>491</v>
      </c>
      <c r="C523" s="113" t="s">
        <v>529</v>
      </c>
      <c r="D523" s="112" t="s">
        <v>530</v>
      </c>
      <c r="E523" s="112" t="s">
        <v>531</v>
      </c>
      <c r="F523" s="151">
        <v>45838</v>
      </c>
      <c r="G523" s="112" t="s">
        <v>46</v>
      </c>
      <c r="H523" s="112" t="s">
        <v>23</v>
      </c>
      <c r="I523" s="130">
        <v>35478</v>
      </c>
      <c r="J523" s="130">
        <v>0</v>
      </c>
      <c r="K523" s="130">
        <v>35478</v>
      </c>
      <c r="L523" s="130">
        <v>35478</v>
      </c>
      <c r="M523" s="130"/>
      <c r="N523" s="131">
        <f t="shared" si="36"/>
        <v>0</v>
      </c>
      <c r="O523" s="132" t="s">
        <v>116</v>
      </c>
      <c r="P523" s="112"/>
    </row>
    <row r="524" s="89" customFormat="1" spans="1:17">
      <c r="A524" s="122">
        <v>45901</v>
      </c>
      <c r="B524" s="138" t="s">
        <v>491</v>
      </c>
      <c r="C524" s="78" t="s">
        <v>529</v>
      </c>
      <c r="D524" s="116" t="s">
        <v>530</v>
      </c>
      <c r="E524" s="116" t="s">
        <v>531</v>
      </c>
      <c r="F524" s="151">
        <v>45930</v>
      </c>
      <c r="G524" s="116" t="s">
        <v>60</v>
      </c>
      <c r="H524" s="116" t="s">
        <v>23</v>
      </c>
      <c r="I524" s="139">
        <v>11826</v>
      </c>
      <c r="J524" s="139">
        <v>0</v>
      </c>
      <c r="K524" s="139">
        <f>I524-J524</f>
        <v>11826</v>
      </c>
      <c r="L524" s="139">
        <v>11826</v>
      </c>
      <c r="M524" s="139"/>
      <c r="N524" s="144">
        <f t="shared" si="36"/>
        <v>0</v>
      </c>
      <c r="O524" s="140" t="s">
        <v>532</v>
      </c>
      <c r="P524" s="141"/>
      <c r="Q524" s="89" t="s">
        <v>51</v>
      </c>
    </row>
    <row r="525" s="89" customFormat="1" spans="1:17">
      <c r="A525" s="122">
        <v>45901</v>
      </c>
      <c r="B525" s="138" t="s">
        <v>491</v>
      </c>
      <c r="C525" s="78" t="s">
        <v>529</v>
      </c>
      <c r="D525" s="116" t="s">
        <v>530</v>
      </c>
      <c r="E525" s="116" t="s">
        <v>531</v>
      </c>
      <c r="F525" s="151">
        <v>45930</v>
      </c>
      <c r="G525" s="116" t="s">
        <v>60</v>
      </c>
      <c r="H525" s="112" t="s">
        <v>21</v>
      </c>
      <c r="I525" s="139">
        <v>31974</v>
      </c>
      <c r="J525" s="139">
        <v>0</v>
      </c>
      <c r="K525" s="139">
        <f>I525-J525</f>
        <v>31974</v>
      </c>
      <c r="L525" s="139">
        <v>31974</v>
      </c>
      <c r="M525" s="139"/>
      <c r="N525" s="131">
        <f t="shared" si="36"/>
        <v>0</v>
      </c>
      <c r="O525" s="140" t="s">
        <v>532</v>
      </c>
      <c r="P525" s="141"/>
      <c r="Q525" s="89" t="s">
        <v>51</v>
      </c>
    </row>
    <row r="526" s="86" customFormat="1" spans="1:16">
      <c r="A526" s="111">
        <v>45839</v>
      </c>
      <c r="B526" s="138" t="s">
        <v>491</v>
      </c>
      <c r="C526" s="113" t="s">
        <v>533</v>
      </c>
      <c r="D526" s="112" t="s">
        <v>534</v>
      </c>
      <c r="E526" s="112" t="s">
        <v>535</v>
      </c>
      <c r="F526" s="151">
        <v>45824</v>
      </c>
      <c r="G526" s="112" t="s">
        <v>20</v>
      </c>
      <c r="H526" s="112" t="s">
        <v>23</v>
      </c>
      <c r="I526" s="130">
        <v>4352</v>
      </c>
      <c r="J526" s="130">
        <v>0</v>
      </c>
      <c r="K526" s="130">
        <v>4352</v>
      </c>
      <c r="L526" s="130">
        <v>4352</v>
      </c>
      <c r="M526" s="130"/>
      <c r="N526" s="131">
        <f t="shared" si="36"/>
        <v>0</v>
      </c>
      <c r="O526" s="132" t="s">
        <v>271</v>
      </c>
      <c r="P526" s="112"/>
    </row>
    <row r="527" s="86" customFormat="1" spans="1:16">
      <c r="A527" s="111">
        <v>45839</v>
      </c>
      <c r="B527" s="138" t="s">
        <v>491</v>
      </c>
      <c r="C527" s="113" t="s">
        <v>533</v>
      </c>
      <c r="D527" s="112" t="s">
        <v>534</v>
      </c>
      <c r="E527" s="112" t="s">
        <v>535</v>
      </c>
      <c r="F527" s="151">
        <v>45824</v>
      </c>
      <c r="G527" s="112" t="s">
        <v>20</v>
      </c>
      <c r="H527" s="112" t="s">
        <v>21</v>
      </c>
      <c r="I527" s="130">
        <v>8602</v>
      </c>
      <c r="J527" s="130">
        <v>0</v>
      </c>
      <c r="K527" s="130">
        <v>8602</v>
      </c>
      <c r="L527" s="130">
        <v>8602</v>
      </c>
      <c r="M527" s="130"/>
      <c r="N527" s="131">
        <f t="shared" si="36"/>
        <v>0</v>
      </c>
      <c r="O527" s="132" t="s">
        <v>271</v>
      </c>
      <c r="P527" s="112"/>
    </row>
    <row r="528" s="95" customFormat="1" spans="1:16">
      <c r="A528" s="200">
        <v>45901</v>
      </c>
      <c r="B528" s="190" t="s">
        <v>491</v>
      </c>
      <c r="C528" s="201" t="s">
        <v>533</v>
      </c>
      <c r="D528" s="199" t="s">
        <v>534</v>
      </c>
      <c r="E528" s="199" t="s">
        <v>535</v>
      </c>
      <c r="F528" s="151">
        <v>45916</v>
      </c>
      <c r="G528" s="199" t="s">
        <v>60</v>
      </c>
      <c r="H528" s="199" t="s">
        <v>23</v>
      </c>
      <c r="I528" s="179">
        <v>2000</v>
      </c>
      <c r="J528" s="179">
        <v>0</v>
      </c>
      <c r="K528" s="179">
        <v>2000</v>
      </c>
      <c r="L528" s="179">
        <v>2000</v>
      </c>
      <c r="M528" s="179"/>
      <c r="N528" s="144">
        <f t="shared" si="36"/>
        <v>0</v>
      </c>
      <c r="O528" s="212" t="s">
        <v>536</v>
      </c>
      <c r="P528" s="199"/>
    </row>
    <row r="529" s="86" customFormat="1" spans="1:16">
      <c r="A529" s="111">
        <v>45901</v>
      </c>
      <c r="B529" s="138" t="s">
        <v>491</v>
      </c>
      <c r="C529" s="113" t="s">
        <v>533</v>
      </c>
      <c r="D529" s="112" t="s">
        <v>534</v>
      </c>
      <c r="E529" s="112" t="s">
        <v>535</v>
      </c>
      <c r="F529" s="151">
        <v>45916</v>
      </c>
      <c r="G529" s="112" t="s">
        <v>58</v>
      </c>
      <c r="H529" s="112" t="s">
        <v>23</v>
      </c>
      <c r="I529" s="130">
        <v>2000</v>
      </c>
      <c r="J529" s="130">
        <v>0</v>
      </c>
      <c r="K529" s="130">
        <v>2000</v>
      </c>
      <c r="L529" s="130">
        <v>2000</v>
      </c>
      <c r="M529" s="130"/>
      <c r="N529" s="131">
        <f t="shared" si="36"/>
        <v>0</v>
      </c>
      <c r="O529" s="132" t="s">
        <v>201</v>
      </c>
      <c r="P529" s="112"/>
    </row>
    <row r="530" s="86" customFormat="1" spans="1:16">
      <c r="A530" s="111">
        <v>45901</v>
      </c>
      <c r="B530" s="138" t="s">
        <v>491</v>
      </c>
      <c r="C530" s="113" t="s">
        <v>533</v>
      </c>
      <c r="D530" s="112" t="s">
        <v>534</v>
      </c>
      <c r="E530" s="112" t="s">
        <v>535</v>
      </c>
      <c r="F530" s="151">
        <v>45916</v>
      </c>
      <c r="G530" s="112" t="s">
        <v>58</v>
      </c>
      <c r="H530" s="112" t="s">
        <v>21</v>
      </c>
      <c r="I530" s="130">
        <v>2000</v>
      </c>
      <c r="J530" s="130">
        <v>0</v>
      </c>
      <c r="K530" s="130">
        <v>2000</v>
      </c>
      <c r="L530" s="130">
        <v>2000</v>
      </c>
      <c r="M530" s="130"/>
      <c r="N530" s="131">
        <f t="shared" si="36"/>
        <v>0</v>
      </c>
      <c r="O530" s="132" t="s">
        <v>201</v>
      </c>
      <c r="P530" s="112"/>
    </row>
    <row r="531" s="86" customFormat="1" spans="1:16">
      <c r="A531" s="111">
        <v>45901</v>
      </c>
      <c r="B531" s="138" t="s">
        <v>491</v>
      </c>
      <c r="C531" s="113" t="s">
        <v>533</v>
      </c>
      <c r="D531" s="112" t="s">
        <v>534</v>
      </c>
      <c r="E531" s="112" t="s">
        <v>535</v>
      </c>
      <c r="F531" s="151">
        <v>45916</v>
      </c>
      <c r="G531" s="112" t="s">
        <v>60</v>
      </c>
      <c r="H531" s="112" t="s">
        <v>21</v>
      </c>
      <c r="I531" s="130">
        <v>2000</v>
      </c>
      <c r="J531" s="130">
        <v>0</v>
      </c>
      <c r="K531" s="130">
        <v>2000</v>
      </c>
      <c r="L531" s="130">
        <v>2000</v>
      </c>
      <c r="M531" s="130"/>
      <c r="N531" s="131">
        <f t="shared" si="36"/>
        <v>0</v>
      </c>
      <c r="O531" s="213" t="s">
        <v>537</v>
      </c>
      <c r="P531" s="112"/>
    </row>
    <row r="532" s="86" customFormat="1" spans="1:16">
      <c r="A532" s="111">
        <v>45901</v>
      </c>
      <c r="B532" s="138" t="s">
        <v>491</v>
      </c>
      <c r="C532" s="113" t="s">
        <v>533</v>
      </c>
      <c r="D532" s="112" t="s">
        <v>534</v>
      </c>
      <c r="E532" s="112" t="s">
        <v>535</v>
      </c>
      <c r="F532" s="151">
        <v>45916</v>
      </c>
      <c r="G532" s="112" t="s">
        <v>538</v>
      </c>
      <c r="H532" s="121" t="s">
        <v>30</v>
      </c>
      <c r="I532" s="130">
        <v>1500</v>
      </c>
      <c r="J532" s="130">
        <v>0</v>
      </c>
      <c r="K532" s="130">
        <v>1500</v>
      </c>
      <c r="L532" s="130">
        <v>1500</v>
      </c>
      <c r="M532" s="130"/>
      <c r="N532" s="131">
        <f t="shared" si="36"/>
        <v>0</v>
      </c>
      <c r="O532" s="132" t="s">
        <v>201</v>
      </c>
      <c r="P532" s="112"/>
    </row>
    <row r="533" s="88" customFormat="1" ht="15" customHeight="1" spans="1:16">
      <c r="A533" s="118">
        <v>45931</v>
      </c>
      <c r="B533" s="138" t="s">
        <v>491</v>
      </c>
      <c r="C533" s="119" t="s">
        <v>533</v>
      </c>
      <c r="D533" s="114" t="s">
        <v>534</v>
      </c>
      <c r="E533" s="112" t="s">
        <v>535</v>
      </c>
      <c r="F533" s="151">
        <v>45946</v>
      </c>
      <c r="G533" s="114" t="s">
        <v>28</v>
      </c>
      <c r="H533" s="114" t="s">
        <v>23</v>
      </c>
      <c r="I533" s="131">
        <v>2000</v>
      </c>
      <c r="J533" s="131"/>
      <c r="K533" s="136">
        <v>2000</v>
      </c>
      <c r="L533" s="136">
        <v>2000</v>
      </c>
      <c r="M533" s="136"/>
      <c r="N533" s="131">
        <f t="shared" si="36"/>
        <v>0</v>
      </c>
      <c r="O533" s="137" t="s">
        <v>171</v>
      </c>
      <c r="P533" s="138"/>
    </row>
    <row r="534" s="88" customFormat="1" spans="1:16">
      <c r="A534" s="118">
        <v>45931</v>
      </c>
      <c r="B534" s="138" t="s">
        <v>491</v>
      </c>
      <c r="C534" s="119" t="s">
        <v>533</v>
      </c>
      <c r="D534" s="114" t="s">
        <v>534</v>
      </c>
      <c r="E534" s="112" t="s">
        <v>535</v>
      </c>
      <c r="F534" s="151">
        <v>45946</v>
      </c>
      <c r="G534" s="114" t="s">
        <v>28</v>
      </c>
      <c r="H534" s="112" t="s">
        <v>21</v>
      </c>
      <c r="I534" s="131">
        <v>2000</v>
      </c>
      <c r="J534" s="131"/>
      <c r="K534" s="136">
        <v>2000</v>
      </c>
      <c r="L534" s="136">
        <v>2000</v>
      </c>
      <c r="M534" s="136"/>
      <c r="N534" s="131">
        <f t="shared" si="36"/>
        <v>0</v>
      </c>
      <c r="O534" s="137" t="s">
        <v>171</v>
      </c>
      <c r="P534" s="138"/>
    </row>
    <row r="535" s="88" customFormat="1" spans="1:16">
      <c r="A535" s="118">
        <v>45962</v>
      </c>
      <c r="B535" s="138" t="s">
        <v>491</v>
      </c>
      <c r="C535" s="119" t="s">
        <v>533</v>
      </c>
      <c r="D535" s="114" t="s">
        <v>534</v>
      </c>
      <c r="E535" s="112" t="s">
        <v>535</v>
      </c>
      <c r="F535" s="151">
        <v>45976</v>
      </c>
      <c r="G535" s="114" t="s">
        <v>26</v>
      </c>
      <c r="H535" s="112" t="s">
        <v>21</v>
      </c>
      <c r="I535" s="131">
        <v>2000</v>
      </c>
      <c r="J535" s="131"/>
      <c r="K535" s="136">
        <v>2000</v>
      </c>
      <c r="L535" s="136">
        <v>2000</v>
      </c>
      <c r="M535" s="136"/>
      <c r="N535" s="131">
        <f t="shared" si="36"/>
        <v>0</v>
      </c>
      <c r="O535" s="137" t="s">
        <v>539</v>
      </c>
      <c r="P535" s="138"/>
    </row>
    <row r="536" s="88" customFormat="1" spans="1:16">
      <c r="A536" s="118">
        <v>45962</v>
      </c>
      <c r="B536" s="138" t="s">
        <v>491</v>
      </c>
      <c r="C536" s="119" t="s">
        <v>533</v>
      </c>
      <c r="D536" s="114" t="s">
        <v>534</v>
      </c>
      <c r="E536" s="112" t="s">
        <v>535</v>
      </c>
      <c r="F536" s="151">
        <v>45976</v>
      </c>
      <c r="G536" s="114" t="s">
        <v>26</v>
      </c>
      <c r="H536" s="114" t="s">
        <v>23</v>
      </c>
      <c r="I536" s="131">
        <v>2000</v>
      </c>
      <c r="J536" s="131"/>
      <c r="K536" s="136">
        <v>2000</v>
      </c>
      <c r="L536" s="136">
        <v>2000</v>
      </c>
      <c r="M536" s="136"/>
      <c r="N536" s="131">
        <f t="shared" si="36"/>
        <v>0</v>
      </c>
      <c r="O536" s="137" t="s">
        <v>539</v>
      </c>
      <c r="P536" s="138"/>
    </row>
    <row r="537" s="86" customFormat="1" spans="1:16">
      <c r="A537" s="111">
        <v>45839</v>
      </c>
      <c r="B537" s="138" t="s">
        <v>491</v>
      </c>
      <c r="C537" s="113" t="s">
        <v>540</v>
      </c>
      <c r="D537" s="112" t="s">
        <v>541</v>
      </c>
      <c r="E537" s="112" t="s">
        <v>542</v>
      </c>
      <c r="F537" s="151">
        <v>45824</v>
      </c>
      <c r="G537" s="112" t="s">
        <v>46</v>
      </c>
      <c r="H537" s="112" t="s">
        <v>23</v>
      </c>
      <c r="I537" s="130">
        <v>6809.4</v>
      </c>
      <c r="J537" s="130">
        <v>0</v>
      </c>
      <c r="K537" s="130">
        <v>6809.4</v>
      </c>
      <c r="L537" s="130">
        <f>1809.4+5000</f>
        <v>6809.4</v>
      </c>
      <c r="M537" s="130">
        <v>0.02</v>
      </c>
      <c r="N537" s="131">
        <f t="shared" si="36"/>
        <v>0</v>
      </c>
      <c r="O537" s="132" t="s">
        <v>543</v>
      </c>
      <c r="P537" s="112"/>
    </row>
    <row r="538" s="86" customFormat="1" spans="1:16">
      <c r="A538" s="111">
        <v>45839</v>
      </c>
      <c r="B538" s="138" t="s">
        <v>491</v>
      </c>
      <c r="C538" s="113" t="s">
        <v>540</v>
      </c>
      <c r="D538" s="112" t="s">
        <v>541</v>
      </c>
      <c r="E538" s="112" t="s">
        <v>542</v>
      </c>
      <c r="F538" s="151">
        <v>45824</v>
      </c>
      <c r="G538" s="112" t="s">
        <v>544</v>
      </c>
      <c r="H538" s="112" t="s">
        <v>21</v>
      </c>
      <c r="I538" s="130">
        <v>5908.77</v>
      </c>
      <c r="J538" s="130">
        <v>0</v>
      </c>
      <c r="K538" s="130">
        <v>5908.77</v>
      </c>
      <c r="L538" s="130">
        <v>5908.77</v>
      </c>
      <c r="M538" s="130"/>
      <c r="N538" s="131">
        <f t="shared" si="36"/>
        <v>0</v>
      </c>
      <c r="O538" s="132" t="s">
        <v>545</v>
      </c>
      <c r="P538" s="112"/>
    </row>
    <row r="539" s="86" customFormat="1" spans="1:16">
      <c r="A539" s="111">
        <v>45839</v>
      </c>
      <c r="B539" s="138" t="s">
        <v>491</v>
      </c>
      <c r="C539" s="113" t="s">
        <v>540</v>
      </c>
      <c r="D539" s="112" t="s">
        <v>541</v>
      </c>
      <c r="E539" s="112" t="s">
        <v>542</v>
      </c>
      <c r="F539" s="151">
        <v>45824</v>
      </c>
      <c r="G539" s="112" t="s">
        <v>546</v>
      </c>
      <c r="H539" s="112" t="s">
        <v>21</v>
      </c>
      <c r="I539" s="130">
        <v>2418.11</v>
      </c>
      <c r="J539" s="130">
        <v>0</v>
      </c>
      <c r="K539" s="130">
        <v>2418.11</v>
      </c>
      <c r="L539" s="130">
        <v>2418.11</v>
      </c>
      <c r="M539" s="130"/>
      <c r="N539" s="131">
        <f t="shared" si="36"/>
        <v>0</v>
      </c>
      <c r="O539" s="132" t="s">
        <v>545</v>
      </c>
      <c r="P539" s="112"/>
    </row>
    <row r="540" s="86" customFormat="1" spans="1:16">
      <c r="A540" s="111">
        <v>45870</v>
      </c>
      <c r="B540" s="138" t="s">
        <v>491</v>
      </c>
      <c r="C540" s="113" t="s">
        <v>540</v>
      </c>
      <c r="D540" s="112" t="s">
        <v>541</v>
      </c>
      <c r="E540" s="112" t="s">
        <v>542</v>
      </c>
      <c r="F540" s="151">
        <v>45900</v>
      </c>
      <c r="G540" s="112" t="s">
        <v>547</v>
      </c>
      <c r="H540" s="121" t="s">
        <v>30</v>
      </c>
      <c r="I540" s="159">
        <v>3000</v>
      </c>
      <c r="J540" s="133">
        <v>0</v>
      </c>
      <c r="K540" s="133">
        <f t="shared" ref="K540:K542" si="37">I540-J540</f>
        <v>3000</v>
      </c>
      <c r="L540" s="133">
        <v>3000</v>
      </c>
      <c r="M540" s="133"/>
      <c r="N540" s="131">
        <f t="shared" si="36"/>
        <v>0</v>
      </c>
      <c r="O540" s="143" t="s">
        <v>548</v>
      </c>
      <c r="P540" s="112"/>
    </row>
    <row r="541" s="89" customFormat="1" spans="1:17">
      <c r="A541" s="122">
        <v>45901</v>
      </c>
      <c r="B541" s="138" t="s">
        <v>491</v>
      </c>
      <c r="C541" s="78" t="s">
        <v>540</v>
      </c>
      <c r="D541" s="116" t="s">
        <v>541</v>
      </c>
      <c r="E541" s="116" t="s">
        <v>542</v>
      </c>
      <c r="F541" s="151">
        <v>45916</v>
      </c>
      <c r="G541" s="116" t="s">
        <v>86</v>
      </c>
      <c r="H541" s="116" t="s">
        <v>23</v>
      </c>
      <c r="I541" s="139">
        <v>6809.4</v>
      </c>
      <c r="J541" s="139">
        <v>0</v>
      </c>
      <c r="K541" s="139">
        <f t="shared" si="37"/>
        <v>6809.4</v>
      </c>
      <c r="L541" s="139">
        <v>6809.4</v>
      </c>
      <c r="M541" s="139"/>
      <c r="N541" s="144">
        <f t="shared" si="36"/>
        <v>0</v>
      </c>
      <c r="O541" s="132" t="s">
        <v>548</v>
      </c>
      <c r="P541" s="141"/>
      <c r="Q541" s="89" t="s">
        <v>51</v>
      </c>
    </row>
    <row r="542" s="89" customFormat="1" spans="1:17">
      <c r="A542" s="122">
        <v>45901</v>
      </c>
      <c r="B542" s="138" t="s">
        <v>491</v>
      </c>
      <c r="C542" s="78" t="s">
        <v>540</v>
      </c>
      <c r="D542" s="116" t="s">
        <v>541</v>
      </c>
      <c r="E542" s="116" t="s">
        <v>542</v>
      </c>
      <c r="F542" s="151">
        <v>45916</v>
      </c>
      <c r="G542" s="116" t="s">
        <v>86</v>
      </c>
      <c r="H542" s="112" t="s">
        <v>21</v>
      </c>
      <c r="I542" s="139">
        <v>8681.4</v>
      </c>
      <c r="J542" s="139">
        <v>0</v>
      </c>
      <c r="K542" s="139">
        <f t="shared" si="37"/>
        <v>8681.4</v>
      </c>
      <c r="L542" s="139">
        <v>8681.4</v>
      </c>
      <c r="M542" s="139"/>
      <c r="N542" s="144">
        <f t="shared" si="36"/>
        <v>0</v>
      </c>
      <c r="O542" s="132" t="s">
        <v>548</v>
      </c>
      <c r="P542" s="141"/>
      <c r="Q542" s="89" t="s">
        <v>51</v>
      </c>
    </row>
    <row r="543" s="86" customFormat="1" spans="1:16">
      <c r="A543" s="111">
        <v>45839</v>
      </c>
      <c r="B543" s="138" t="s">
        <v>491</v>
      </c>
      <c r="C543" s="113" t="s">
        <v>549</v>
      </c>
      <c r="D543" s="112" t="s">
        <v>550</v>
      </c>
      <c r="E543" s="112" t="s">
        <v>551</v>
      </c>
      <c r="F543" s="151">
        <v>45824</v>
      </c>
      <c r="G543" s="112" t="s">
        <v>46</v>
      </c>
      <c r="H543" s="112" t="s">
        <v>23</v>
      </c>
      <c r="I543" s="130">
        <v>7920</v>
      </c>
      <c r="J543" s="130">
        <v>0</v>
      </c>
      <c r="K543" s="130">
        <v>7920</v>
      </c>
      <c r="L543" s="130">
        <v>7920</v>
      </c>
      <c r="M543" s="130"/>
      <c r="N543" s="131">
        <f t="shared" si="36"/>
        <v>0</v>
      </c>
      <c r="O543" s="132" t="s">
        <v>271</v>
      </c>
      <c r="P543" s="112"/>
    </row>
    <row r="544" s="86" customFormat="1" spans="1:16">
      <c r="A544" s="111">
        <v>45839</v>
      </c>
      <c r="B544" s="138" t="s">
        <v>491</v>
      </c>
      <c r="C544" s="113" t="s">
        <v>549</v>
      </c>
      <c r="D544" s="112" t="s">
        <v>550</v>
      </c>
      <c r="E544" s="112" t="s">
        <v>551</v>
      </c>
      <c r="F544" s="151">
        <v>45824</v>
      </c>
      <c r="G544" s="112" t="s">
        <v>46</v>
      </c>
      <c r="H544" s="112" t="s">
        <v>21</v>
      </c>
      <c r="I544" s="130">
        <v>6480</v>
      </c>
      <c r="J544" s="130">
        <v>0</v>
      </c>
      <c r="K544" s="130">
        <v>6480</v>
      </c>
      <c r="L544" s="130">
        <v>6480</v>
      </c>
      <c r="M544" s="130"/>
      <c r="N544" s="131">
        <f t="shared" si="36"/>
        <v>0</v>
      </c>
      <c r="O544" s="132" t="s">
        <v>271</v>
      </c>
      <c r="P544" s="112"/>
    </row>
    <row r="545" s="89" customFormat="1" spans="1:17">
      <c r="A545" s="122">
        <v>45901</v>
      </c>
      <c r="B545" s="138" t="s">
        <v>491</v>
      </c>
      <c r="C545" s="78" t="s">
        <v>549</v>
      </c>
      <c r="D545" s="116" t="s">
        <v>550</v>
      </c>
      <c r="E545" s="116" t="s">
        <v>551</v>
      </c>
      <c r="F545" s="151">
        <v>45916</v>
      </c>
      <c r="G545" s="116" t="s">
        <v>86</v>
      </c>
      <c r="H545" s="116" t="s">
        <v>23</v>
      </c>
      <c r="I545" s="139">
        <v>7920</v>
      </c>
      <c r="J545" s="139">
        <v>0</v>
      </c>
      <c r="K545" s="139">
        <f t="shared" ref="K545:K555" si="38">I545-J545</f>
        <v>7920</v>
      </c>
      <c r="L545" s="139">
        <v>7920</v>
      </c>
      <c r="M545" s="139"/>
      <c r="N545" s="131">
        <f t="shared" si="36"/>
        <v>0</v>
      </c>
      <c r="O545" s="140" t="s">
        <v>201</v>
      </c>
      <c r="P545" s="141"/>
      <c r="Q545" s="89" t="s">
        <v>51</v>
      </c>
    </row>
    <row r="546" s="89" customFormat="1" spans="1:17">
      <c r="A546" s="122">
        <v>45901</v>
      </c>
      <c r="B546" s="138" t="s">
        <v>491</v>
      </c>
      <c r="C546" s="78" t="s">
        <v>549</v>
      </c>
      <c r="D546" s="116" t="s">
        <v>550</v>
      </c>
      <c r="E546" s="116" t="s">
        <v>551</v>
      </c>
      <c r="F546" s="151">
        <v>45916</v>
      </c>
      <c r="G546" s="116" t="s">
        <v>86</v>
      </c>
      <c r="H546" s="112" t="s">
        <v>21</v>
      </c>
      <c r="I546" s="139">
        <v>6480</v>
      </c>
      <c r="J546" s="139">
        <v>0</v>
      </c>
      <c r="K546" s="139">
        <f t="shared" si="38"/>
        <v>6480</v>
      </c>
      <c r="L546" s="139">
        <v>6480</v>
      </c>
      <c r="M546" s="139"/>
      <c r="N546" s="131">
        <f t="shared" si="36"/>
        <v>0</v>
      </c>
      <c r="O546" s="140" t="s">
        <v>201</v>
      </c>
      <c r="P546" s="141"/>
      <c r="Q546" s="89" t="s">
        <v>51</v>
      </c>
    </row>
    <row r="547" s="86" customFormat="1" spans="1:16">
      <c r="A547" s="111">
        <v>45839</v>
      </c>
      <c r="B547" s="138" t="s">
        <v>491</v>
      </c>
      <c r="C547" s="113" t="s">
        <v>552</v>
      </c>
      <c r="D547" s="114" t="s">
        <v>553</v>
      </c>
      <c r="E547" s="112" t="s">
        <v>554</v>
      </c>
      <c r="F547" s="151">
        <v>45824</v>
      </c>
      <c r="G547" s="112" t="s">
        <v>55</v>
      </c>
      <c r="H547" s="112" t="s">
        <v>21</v>
      </c>
      <c r="I547" s="130">
        <v>33090</v>
      </c>
      <c r="J547" s="130">
        <v>0</v>
      </c>
      <c r="K547" s="130">
        <v>33090</v>
      </c>
      <c r="L547" s="130">
        <v>33090</v>
      </c>
      <c r="M547" s="130"/>
      <c r="N547" s="131">
        <f t="shared" si="36"/>
        <v>0</v>
      </c>
      <c r="O547" s="132" t="s">
        <v>309</v>
      </c>
      <c r="P547" s="112"/>
    </row>
    <row r="548" s="86" customFormat="1" spans="1:16">
      <c r="A548" s="111">
        <v>45839</v>
      </c>
      <c r="B548" s="138" t="s">
        <v>491</v>
      </c>
      <c r="C548" s="113" t="s">
        <v>552</v>
      </c>
      <c r="D548" s="114" t="s">
        <v>553</v>
      </c>
      <c r="E548" s="112" t="s">
        <v>554</v>
      </c>
      <c r="F548" s="151">
        <v>45824</v>
      </c>
      <c r="G548" s="112" t="s">
        <v>55</v>
      </c>
      <c r="H548" s="112" t="s">
        <v>23</v>
      </c>
      <c r="I548" s="130">
        <v>11030</v>
      </c>
      <c r="J548" s="130">
        <v>0</v>
      </c>
      <c r="K548" s="130">
        <v>11030</v>
      </c>
      <c r="L548" s="130">
        <v>11030</v>
      </c>
      <c r="M548" s="130"/>
      <c r="N548" s="131">
        <f t="shared" si="36"/>
        <v>0</v>
      </c>
      <c r="O548" s="132" t="s">
        <v>309</v>
      </c>
      <c r="P548" s="112"/>
    </row>
    <row r="549" s="86" customFormat="1" spans="1:16">
      <c r="A549" s="111">
        <v>45839</v>
      </c>
      <c r="B549" s="138" t="s">
        <v>491</v>
      </c>
      <c r="C549" s="113" t="s">
        <v>552</v>
      </c>
      <c r="D549" s="114" t="s">
        <v>553</v>
      </c>
      <c r="E549" s="112" t="s">
        <v>554</v>
      </c>
      <c r="F549" s="151">
        <v>45855</v>
      </c>
      <c r="G549" s="112" t="s">
        <v>56</v>
      </c>
      <c r="H549" s="112" t="s">
        <v>21</v>
      </c>
      <c r="I549" s="130">
        <v>33090</v>
      </c>
      <c r="J549" s="130">
        <v>0</v>
      </c>
      <c r="K549" s="130">
        <f t="shared" si="38"/>
        <v>33090</v>
      </c>
      <c r="L549" s="130">
        <v>33090</v>
      </c>
      <c r="M549" s="130"/>
      <c r="N549" s="131">
        <f t="shared" si="36"/>
        <v>0</v>
      </c>
      <c r="O549" s="132" t="s">
        <v>555</v>
      </c>
      <c r="P549" s="112"/>
    </row>
    <row r="550" s="86" customFormat="1" spans="1:16">
      <c r="A550" s="111">
        <v>45839</v>
      </c>
      <c r="B550" s="138" t="s">
        <v>491</v>
      </c>
      <c r="C550" s="113" t="s">
        <v>552</v>
      </c>
      <c r="D550" s="114" t="s">
        <v>553</v>
      </c>
      <c r="E550" s="112" t="s">
        <v>554</v>
      </c>
      <c r="F550" s="151">
        <v>45855</v>
      </c>
      <c r="G550" s="112" t="s">
        <v>56</v>
      </c>
      <c r="H550" s="112" t="s">
        <v>23</v>
      </c>
      <c r="I550" s="130">
        <v>11030</v>
      </c>
      <c r="J550" s="130">
        <v>0</v>
      </c>
      <c r="K550" s="130">
        <f t="shared" si="38"/>
        <v>11030</v>
      </c>
      <c r="L550" s="130">
        <v>11030</v>
      </c>
      <c r="M550" s="130"/>
      <c r="N550" s="131">
        <f t="shared" si="36"/>
        <v>0</v>
      </c>
      <c r="O550" s="132" t="s">
        <v>555</v>
      </c>
      <c r="P550" s="112"/>
    </row>
    <row r="551" s="87" customFormat="1" spans="1:16">
      <c r="A551" s="111">
        <v>45870</v>
      </c>
      <c r="B551" s="138" t="s">
        <v>491</v>
      </c>
      <c r="C551" s="78" t="s">
        <v>552</v>
      </c>
      <c r="D551" s="114" t="s">
        <v>553</v>
      </c>
      <c r="E551" s="116" t="s">
        <v>554</v>
      </c>
      <c r="F551" s="151">
        <v>45886</v>
      </c>
      <c r="G551" s="116" t="s">
        <v>58</v>
      </c>
      <c r="H551" s="116" t="s">
        <v>23</v>
      </c>
      <c r="I551" s="133">
        <v>11030</v>
      </c>
      <c r="J551" s="133">
        <v>0</v>
      </c>
      <c r="K551" s="133">
        <f t="shared" si="38"/>
        <v>11030</v>
      </c>
      <c r="L551" s="133">
        <v>11030</v>
      </c>
      <c r="M551" s="133"/>
      <c r="N551" s="131">
        <f t="shared" si="36"/>
        <v>0</v>
      </c>
      <c r="O551" s="134" t="s">
        <v>556</v>
      </c>
      <c r="P551" s="135"/>
    </row>
    <row r="552" s="87" customFormat="1" spans="1:16">
      <c r="A552" s="111">
        <v>45870</v>
      </c>
      <c r="B552" s="138" t="s">
        <v>491</v>
      </c>
      <c r="C552" s="78" t="s">
        <v>552</v>
      </c>
      <c r="D552" s="114" t="s">
        <v>553</v>
      </c>
      <c r="E552" s="116" t="s">
        <v>554</v>
      </c>
      <c r="F552" s="151">
        <v>45886</v>
      </c>
      <c r="G552" s="116" t="s">
        <v>58</v>
      </c>
      <c r="H552" s="112" t="s">
        <v>21</v>
      </c>
      <c r="I552" s="133">
        <v>33090</v>
      </c>
      <c r="J552" s="133">
        <v>0</v>
      </c>
      <c r="K552" s="133">
        <f t="shared" si="38"/>
        <v>33090</v>
      </c>
      <c r="L552" s="133">
        <v>33090</v>
      </c>
      <c r="M552" s="133"/>
      <c r="N552" s="131">
        <f t="shared" si="36"/>
        <v>0</v>
      </c>
      <c r="O552" s="134" t="s">
        <v>556</v>
      </c>
      <c r="P552" s="135"/>
    </row>
    <row r="553" s="89" customFormat="1" spans="1:17">
      <c r="A553" s="122">
        <v>45901</v>
      </c>
      <c r="B553" s="138" t="s">
        <v>491</v>
      </c>
      <c r="C553" s="78" t="s">
        <v>552</v>
      </c>
      <c r="D553" s="114" t="s">
        <v>553</v>
      </c>
      <c r="E553" s="116" t="s">
        <v>554</v>
      </c>
      <c r="F553" s="151">
        <v>45916</v>
      </c>
      <c r="G553" s="116" t="s">
        <v>60</v>
      </c>
      <c r="H553" s="116" t="s">
        <v>23</v>
      </c>
      <c r="I553" s="139">
        <v>11030</v>
      </c>
      <c r="J553" s="139">
        <v>0</v>
      </c>
      <c r="K553" s="139">
        <f t="shared" si="38"/>
        <v>11030</v>
      </c>
      <c r="L553" s="139">
        <f>9324+1706</f>
        <v>11030</v>
      </c>
      <c r="M553" s="139"/>
      <c r="N553" s="131">
        <f t="shared" si="36"/>
        <v>0</v>
      </c>
      <c r="O553" s="140" t="s">
        <v>557</v>
      </c>
      <c r="P553" s="141"/>
      <c r="Q553" s="89" t="s">
        <v>51</v>
      </c>
    </row>
    <row r="554" s="89" customFormat="1" spans="1:17">
      <c r="A554" s="122">
        <v>45901</v>
      </c>
      <c r="B554" s="138" t="s">
        <v>491</v>
      </c>
      <c r="C554" s="78" t="s">
        <v>552</v>
      </c>
      <c r="D554" s="114" t="s">
        <v>553</v>
      </c>
      <c r="E554" s="116" t="s">
        <v>554</v>
      </c>
      <c r="F554" s="151">
        <v>45916</v>
      </c>
      <c r="G554" s="116" t="s">
        <v>408</v>
      </c>
      <c r="H554" s="121" t="s">
        <v>30</v>
      </c>
      <c r="I554" s="139">
        <v>3000</v>
      </c>
      <c r="J554" s="139">
        <v>0</v>
      </c>
      <c r="K554" s="139">
        <f t="shared" si="38"/>
        <v>3000</v>
      </c>
      <c r="L554" s="139">
        <v>3000</v>
      </c>
      <c r="M554" s="139"/>
      <c r="N554" s="131">
        <f t="shared" si="36"/>
        <v>0</v>
      </c>
      <c r="O554" s="140" t="s">
        <v>558</v>
      </c>
      <c r="P554" s="141"/>
      <c r="Q554" s="89" t="s">
        <v>51</v>
      </c>
    </row>
    <row r="555" s="89" customFormat="1" spans="1:17">
      <c r="A555" s="122">
        <v>45901</v>
      </c>
      <c r="B555" s="138" t="s">
        <v>491</v>
      </c>
      <c r="C555" s="78" t="s">
        <v>552</v>
      </c>
      <c r="D555" s="114" t="s">
        <v>553</v>
      </c>
      <c r="E555" s="116" t="s">
        <v>554</v>
      </c>
      <c r="F555" s="151">
        <v>45916</v>
      </c>
      <c r="G555" s="116" t="s">
        <v>60</v>
      </c>
      <c r="H555" s="112" t="s">
        <v>21</v>
      </c>
      <c r="I555" s="139">
        <v>35296</v>
      </c>
      <c r="J555" s="139">
        <v>0</v>
      </c>
      <c r="K555" s="139">
        <f t="shared" si="38"/>
        <v>35296</v>
      </c>
      <c r="L555" s="139">
        <v>35296</v>
      </c>
      <c r="M555" s="139"/>
      <c r="N555" s="131">
        <f t="shared" si="36"/>
        <v>0</v>
      </c>
      <c r="O555" s="140" t="s">
        <v>559</v>
      </c>
      <c r="P555" s="141"/>
      <c r="Q555" s="89" t="s">
        <v>51</v>
      </c>
    </row>
    <row r="556" s="88" customFormat="1" spans="1:16">
      <c r="A556" s="118">
        <v>45931</v>
      </c>
      <c r="B556" s="138" t="s">
        <v>491</v>
      </c>
      <c r="C556" s="119" t="s">
        <v>552</v>
      </c>
      <c r="D556" s="114" t="s">
        <v>553</v>
      </c>
      <c r="E556" s="114" t="s">
        <v>554</v>
      </c>
      <c r="F556" s="151">
        <v>45946</v>
      </c>
      <c r="G556" s="114" t="s">
        <v>28</v>
      </c>
      <c r="H556" s="114" t="s">
        <v>23</v>
      </c>
      <c r="I556" s="131">
        <v>11030</v>
      </c>
      <c r="J556" s="131"/>
      <c r="K556" s="136">
        <v>11030</v>
      </c>
      <c r="L556" s="136">
        <f>7618+3412</f>
        <v>11030</v>
      </c>
      <c r="M556" s="136"/>
      <c r="N556" s="131">
        <f t="shared" si="36"/>
        <v>0</v>
      </c>
      <c r="O556" s="137" t="s">
        <v>560</v>
      </c>
      <c r="P556" s="138"/>
    </row>
    <row r="557" s="88" customFormat="1" spans="1:16">
      <c r="A557" s="118">
        <v>45931</v>
      </c>
      <c r="B557" s="138" t="s">
        <v>491</v>
      </c>
      <c r="C557" s="119" t="s">
        <v>552</v>
      </c>
      <c r="D557" s="114" t="s">
        <v>553</v>
      </c>
      <c r="E557" s="114" t="s">
        <v>554</v>
      </c>
      <c r="F557" s="151">
        <v>45946</v>
      </c>
      <c r="G557" s="114" t="s">
        <v>28</v>
      </c>
      <c r="H557" s="112" t="s">
        <v>21</v>
      </c>
      <c r="I557" s="131">
        <v>35296</v>
      </c>
      <c r="J557" s="131"/>
      <c r="K557" s="136">
        <v>35296</v>
      </c>
      <c r="L557" s="136">
        <v>35296</v>
      </c>
      <c r="M557" s="136"/>
      <c r="N557" s="131">
        <f t="shared" si="36"/>
        <v>0</v>
      </c>
      <c r="O557" s="137" t="s">
        <v>561</v>
      </c>
      <c r="P557" s="138"/>
    </row>
    <row r="558" s="88" customFormat="1" spans="1:16">
      <c r="A558" s="118">
        <v>45962</v>
      </c>
      <c r="B558" s="138" t="s">
        <v>491</v>
      </c>
      <c r="C558" s="119" t="s">
        <v>552</v>
      </c>
      <c r="D558" s="114" t="s">
        <v>553</v>
      </c>
      <c r="E558" s="114" t="s">
        <v>554</v>
      </c>
      <c r="F558" s="151">
        <v>45976</v>
      </c>
      <c r="G558" s="114" t="s">
        <v>26</v>
      </c>
      <c r="H558" s="114" t="s">
        <v>23</v>
      </c>
      <c r="I558" s="131">
        <v>11030</v>
      </c>
      <c r="J558" s="131"/>
      <c r="K558" s="136">
        <v>11030</v>
      </c>
      <c r="L558" s="136">
        <v>11030</v>
      </c>
      <c r="M558" s="136"/>
      <c r="N558" s="131">
        <f t="shared" si="36"/>
        <v>0</v>
      </c>
      <c r="O558" s="137" t="s">
        <v>562</v>
      </c>
      <c r="P558" s="138"/>
    </row>
    <row r="559" s="88" customFormat="1" spans="1:16">
      <c r="A559" s="118">
        <v>45962</v>
      </c>
      <c r="B559" s="138" t="s">
        <v>491</v>
      </c>
      <c r="C559" s="119" t="s">
        <v>552</v>
      </c>
      <c r="D559" s="114" t="s">
        <v>553</v>
      </c>
      <c r="E559" s="114" t="s">
        <v>554</v>
      </c>
      <c r="F559" s="151">
        <v>45976</v>
      </c>
      <c r="G559" s="114" t="s">
        <v>26</v>
      </c>
      <c r="H559" s="112" t="s">
        <v>21</v>
      </c>
      <c r="I559" s="131">
        <v>35296</v>
      </c>
      <c r="J559" s="131"/>
      <c r="K559" s="136">
        <v>35296</v>
      </c>
      <c r="L559" s="136">
        <v>35296</v>
      </c>
      <c r="M559" s="136"/>
      <c r="N559" s="131">
        <f t="shared" si="36"/>
        <v>0</v>
      </c>
      <c r="O559" s="137" t="s">
        <v>562</v>
      </c>
      <c r="P559" s="138"/>
    </row>
    <row r="560" s="86" customFormat="1" spans="1:16">
      <c r="A560" s="111">
        <v>45839</v>
      </c>
      <c r="B560" s="138" t="s">
        <v>491</v>
      </c>
      <c r="C560" s="113" t="s">
        <v>563</v>
      </c>
      <c r="D560" s="112" t="s">
        <v>564</v>
      </c>
      <c r="E560" s="112" t="s">
        <v>565</v>
      </c>
      <c r="F560" s="151">
        <v>45824</v>
      </c>
      <c r="G560" s="112" t="s">
        <v>46</v>
      </c>
      <c r="H560" s="112" t="s">
        <v>21</v>
      </c>
      <c r="I560" s="130">
        <v>69666.48</v>
      </c>
      <c r="J560" s="130">
        <v>0</v>
      </c>
      <c r="K560" s="130">
        <v>69666.48</v>
      </c>
      <c r="L560" s="130">
        <v>69666.48</v>
      </c>
      <c r="M560" s="130"/>
      <c r="N560" s="131">
        <f t="shared" si="36"/>
        <v>0</v>
      </c>
      <c r="O560" s="132" t="s">
        <v>127</v>
      </c>
      <c r="P560" s="112"/>
    </row>
    <row r="561" s="86" customFormat="1" spans="1:16">
      <c r="A561" s="111">
        <v>45839</v>
      </c>
      <c r="B561" s="138" t="s">
        <v>491</v>
      </c>
      <c r="C561" s="113" t="s">
        <v>563</v>
      </c>
      <c r="D561" s="112" t="s">
        <v>564</v>
      </c>
      <c r="E561" s="112" t="s">
        <v>565</v>
      </c>
      <c r="F561" s="151">
        <v>45824</v>
      </c>
      <c r="G561" s="112" t="s">
        <v>46</v>
      </c>
      <c r="H561" s="112" t="s">
        <v>23</v>
      </c>
      <c r="I561" s="130">
        <v>31590</v>
      </c>
      <c r="J561" s="130">
        <v>0</v>
      </c>
      <c r="K561" s="130">
        <v>31590</v>
      </c>
      <c r="L561" s="130">
        <v>31590</v>
      </c>
      <c r="M561" s="130"/>
      <c r="N561" s="131">
        <f t="shared" si="36"/>
        <v>0</v>
      </c>
      <c r="O561" s="132" t="s">
        <v>127</v>
      </c>
      <c r="P561" s="112"/>
    </row>
    <row r="562" s="89" customFormat="1" spans="1:17">
      <c r="A562" s="122">
        <v>45901</v>
      </c>
      <c r="B562" s="138" t="s">
        <v>491</v>
      </c>
      <c r="C562" s="78" t="s">
        <v>563</v>
      </c>
      <c r="D562" s="116" t="s">
        <v>564</v>
      </c>
      <c r="E562" s="116" t="s">
        <v>565</v>
      </c>
      <c r="F562" s="151">
        <v>45916</v>
      </c>
      <c r="G562" s="116" t="s">
        <v>86</v>
      </c>
      <c r="H562" s="116" t="s">
        <v>23</v>
      </c>
      <c r="I562" s="139">
        <v>31590</v>
      </c>
      <c r="J562" s="139">
        <v>0</v>
      </c>
      <c r="K562" s="139">
        <f>I562-J562</f>
        <v>31590</v>
      </c>
      <c r="L562" s="139">
        <v>31590</v>
      </c>
      <c r="M562" s="139"/>
      <c r="N562" s="131">
        <f t="shared" si="36"/>
        <v>0</v>
      </c>
      <c r="O562" s="140" t="s">
        <v>310</v>
      </c>
      <c r="P562" s="141"/>
      <c r="Q562" s="89" t="s">
        <v>51</v>
      </c>
    </row>
    <row r="563" s="89" customFormat="1" spans="1:17">
      <c r="A563" s="122">
        <v>45901</v>
      </c>
      <c r="B563" s="138" t="s">
        <v>491</v>
      </c>
      <c r="C563" s="78" t="s">
        <v>563</v>
      </c>
      <c r="D563" s="116" t="s">
        <v>564</v>
      </c>
      <c r="E563" s="116" t="s">
        <v>565</v>
      </c>
      <c r="F563" s="151">
        <v>45916</v>
      </c>
      <c r="G563" s="116" t="s">
        <v>86</v>
      </c>
      <c r="H563" s="112" t="s">
        <v>21</v>
      </c>
      <c r="I563" s="139">
        <v>69666.48</v>
      </c>
      <c r="J563" s="139">
        <v>0</v>
      </c>
      <c r="K563" s="139">
        <f>I563-J563</f>
        <v>69666.48</v>
      </c>
      <c r="L563" s="139">
        <v>69666.48</v>
      </c>
      <c r="M563" s="139"/>
      <c r="N563" s="131">
        <f t="shared" si="36"/>
        <v>0</v>
      </c>
      <c r="O563" s="140" t="s">
        <v>566</v>
      </c>
      <c r="P563" s="141"/>
      <c r="Q563" s="89" t="s">
        <v>51</v>
      </c>
    </row>
    <row r="564" s="86" customFormat="1" spans="1:16">
      <c r="A564" s="111">
        <v>45839</v>
      </c>
      <c r="B564" s="138" t="s">
        <v>491</v>
      </c>
      <c r="C564" s="113" t="s">
        <v>567</v>
      </c>
      <c r="D564" s="112" t="s">
        <v>568</v>
      </c>
      <c r="E564" s="112" t="s">
        <v>569</v>
      </c>
      <c r="F564" s="151">
        <v>45824</v>
      </c>
      <c r="G564" s="112" t="s">
        <v>55</v>
      </c>
      <c r="H564" s="112" t="s">
        <v>23</v>
      </c>
      <c r="I564" s="130">
        <v>5170.5</v>
      </c>
      <c r="J564" s="130">
        <v>0</v>
      </c>
      <c r="K564" s="130">
        <v>5170.5</v>
      </c>
      <c r="L564" s="130">
        <v>5170.5</v>
      </c>
      <c r="M564" s="130"/>
      <c r="N564" s="131">
        <f t="shared" si="36"/>
        <v>0</v>
      </c>
      <c r="O564" s="132" t="s">
        <v>127</v>
      </c>
      <c r="P564" s="112"/>
    </row>
    <row r="565" s="86" customFormat="1" spans="1:16">
      <c r="A565" s="111">
        <v>45839</v>
      </c>
      <c r="B565" s="138" t="s">
        <v>491</v>
      </c>
      <c r="C565" s="113" t="s">
        <v>567</v>
      </c>
      <c r="D565" s="112" t="s">
        <v>568</v>
      </c>
      <c r="E565" s="112" t="s">
        <v>569</v>
      </c>
      <c r="F565" s="151">
        <v>45824</v>
      </c>
      <c r="G565" s="112" t="s">
        <v>55</v>
      </c>
      <c r="H565" s="112" t="s">
        <v>21</v>
      </c>
      <c r="I565" s="130">
        <v>2700</v>
      </c>
      <c r="J565" s="130">
        <v>0</v>
      </c>
      <c r="K565" s="130">
        <v>2700</v>
      </c>
      <c r="L565" s="130">
        <v>2700</v>
      </c>
      <c r="M565" s="130"/>
      <c r="N565" s="131">
        <f t="shared" si="36"/>
        <v>0</v>
      </c>
      <c r="O565" s="132" t="s">
        <v>127</v>
      </c>
      <c r="P565" s="112"/>
    </row>
    <row r="566" s="88" customFormat="1" spans="1:16">
      <c r="A566" s="122">
        <v>45901</v>
      </c>
      <c r="B566" s="138" t="s">
        <v>491</v>
      </c>
      <c r="C566" s="119" t="s">
        <v>567</v>
      </c>
      <c r="D566" s="138" t="s">
        <v>568</v>
      </c>
      <c r="E566" s="138" t="s">
        <v>569</v>
      </c>
      <c r="F566" s="151">
        <v>45916</v>
      </c>
      <c r="G566" s="138" t="s">
        <v>241</v>
      </c>
      <c r="H566" s="138" t="s">
        <v>23</v>
      </c>
      <c r="I566" s="131">
        <v>15511.5</v>
      </c>
      <c r="J566" s="139">
        <v>0</v>
      </c>
      <c r="K566" s="131">
        <v>15511.5</v>
      </c>
      <c r="L566" s="139">
        <f>K566</f>
        <v>15511.5</v>
      </c>
      <c r="M566" s="139"/>
      <c r="N566" s="131">
        <f t="shared" si="36"/>
        <v>0</v>
      </c>
      <c r="O566" s="169" t="s">
        <v>570</v>
      </c>
      <c r="P566" s="167" t="s">
        <v>249</v>
      </c>
    </row>
    <row r="567" s="88" customFormat="1" spans="1:16">
      <c r="A567" s="122">
        <v>45901</v>
      </c>
      <c r="B567" s="138" t="s">
        <v>491</v>
      </c>
      <c r="C567" s="119" t="s">
        <v>567</v>
      </c>
      <c r="D567" s="138" t="s">
        <v>568</v>
      </c>
      <c r="E567" s="138" t="s">
        <v>569</v>
      </c>
      <c r="F567" s="151">
        <v>45916</v>
      </c>
      <c r="G567" s="138" t="s">
        <v>241</v>
      </c>
      <c r="H567" s="112" t="s">
        <v>21</v>
      </c>
      <c r="I567" s="131">
        <v>8100</v>
      </c>
      <c r="J567" s="139">
        <v>0</v>
      </c>
      <c r="K567" s="131">
        <v>8100</v>
      </c>
      <c r="L567" s="139">
        <f>K567</f>
        <v>8100</v>
      </c>
      <c r="M567" s="139"/>
      <c r="N567" s="131">
        <f t="shared" si="36"/>
        <v>0</v>
      </c>
      <c r="O567" s="169" t="s">
        <v>571</v>
      </c>
      <c r="P567" s="167" t="s">
        <v>249</v>
      </c>
    </row>
    <row r="568" s="88" customFormat="1" spans="1:16">
      <c r="A568" s="118">
        <v>45931</v>
      </c>
      <c r="B568" s="138" t="s">
        <v>491</v>
      </c>
      <c r="C568" s="119" t="s">
        <v>567</v>
      </c>
      <c r="D568" s="114" t="s">
        <v>568</v>
      </c>
      <c r="E568" s="114" t="s">
        <v>569</v>
      </c>
      <c r="F568" s="151">
        <v>45946</v>
      </c>
      <c r="G568" s="114" t="s">
        <v>98</v>
      </c>
      <c r="H568" s="114" t="s">
        <v>23</v>
      </c>
      <c r="I568" s="131">
        <v>5170.5</v>
      </c>
      <c r="J568" s="131"/>
      <c r="K568" s="136">
        <v>5170.5</v>
      </c>
      <c r="L568" s="136">
        <v>5170.5</v>
      </c>
      <c r="M568" s="136"/>
      <c r="N568" s="131">
        <f t="shared" si="36"/>
        <v>0</v>
      </c>
      <c r="O568" s="137" t="s">
        <v>572</v>
      </c>
      <c r="P568" s="138"/>
    </row>
    <row r="569" s="88" customFormat="1" spans="1:16">
      <c r="A569" s="118">
        <v>45931</v>
      </c>
      <c r="B569" s="138" t="s">
        <v>491</v>
      </c>
      <c r="C569" s="119" t="s">
        <v>567</v>
      </c>
      <c r="D569" s="114" t="s">
        <v>568</v>
      </c>
      <c r="E569" s="114" t="s">
        <v>569</v>
      </c>
      <c r="F569" s="151">
        <v>45946</v>
      </c>
      <c r="G569" s="114" t="s">
        <v>26</v>
      </c>
      <c r="H569" s="114" t="s">
        <v>23</v>
      </c>
      <c r="I569" s="131">
        <v>5170.5</v>
      </c>
      <c r="J569" s="131"/>
      <c r="K569" s="136">
        <v>5170.5</v>
      </c>
      <c r="L569" s="136">
        <v>5170.5</v>
      </c>
      <c r="M569" s="136"/>
      <c r="N569" s="131">
        <f t="shared" si="36"/>
        <v>0</v>
      </c>
      <c r="O569" s="137" t="s">
        <v>573</v>
      </c>
      <c r="P569" s="138"/>
    </row>
    <row r="570" s="88" customFormat="1" spans="1:16">
      <c r="A570" s="118">
        <v>45931</v>
      </c>
      <c r="B570" s="138" t="s">
        <v>491</v>
      </c>
      <c r="C570" s="119" t="s">
        <v>567</v>
      </c>
      <c r="D570" s="114" t="s">
        <v>568</v>
      </c>
      <c r="E570" s="114" t="s">
        <v>569</v>
      </c>
      <c r="F570" s="151">
        <v>45946</v>
      </c>
      <c r="G570" s="114" t="s">
        <v>28</v>
      </c>
      <c r="H570" s="114" t="s">
        <v>23</v>
      </c>
      <c r="I570" s="131">
        <v>5170.5</v>
      </c>
      <c r="J570" s="131"/>
      <c r="K570" s="136">
        <v>5170.5</v>
      </c>
      <c r="L570" s="136">
        <v>5170.5</v>
      </c>
      <c r="M570" s="136"/>
      <c r="N570" s="131">
        <f t="shared" si="36"/>
        <v>0</v>
      </c>
      <c r="O570" s="137" t="s">
        <v>574</v>
      </c>
      <c r="P570" s="138"/>
    </row>
    <row r="571" s="88" customFormat="1" spans="1:16">
      <c r="A571" s="118">
        <v>45931</v>
      </c>
      <c r="B571" s="138" t="s">
        <v>491</v>
      </c>
      <c r="C571" s="119" t="s">
        <v>567</v>
      </c>
      <c r="D571" s="114" t="s">
        <v>568</v>
      </c>
      <c r="E571" s="114" t="s">
        <v>569</v>
      </c>
      <c r="F571" s="151">
        <v>45946</v>
      </c>
      <c r="G571" s="114" t="s">
        <v>98</v>
      </c>
      <c r="H571" s="112" t="s">
        <v>21</v>
      </c>
      <c r="I571" s="131">
        <v>2700</v>
      </c>
      <c r="J571" s="131"/>
      <c r="K571" s="136">
        <v>2700</v>
      </c>
      <c r="L571" s="136">
        <v>2700</v>
      </c>
      <c r="M571" s="136"/>
      <c r="N571" s="131">
        <f t="shared" si="36"/>
        <v>0</v>
      </c>
      <c r="O571" s="137" t="s">
        <v>572</v>
      </c>
      <c r="P571" s="138"/>
    </row>
    <row r="572" s="88" customFormat="1" spans="1:16">
      <c r="A572" s="118">
        <v>45931</v>
      </c>
      <c r="B572" s="138" t="s">
        <v>491</v>
      </c>
      <c r="C572" s="119" t="s">
        <v>567</v>
      </c>
      <c r="D572" s="114" t="s">
        <v>568</v>
      </c>
      <c r="E572" s="114" t="s">
        <v>569</v>
      </c>
      <c r="F572" s="151">
        <v>45946</v>
      </c>
      <c r="G572" s="114" t="s">
        <v>26</v>
      </c>
      <c r="H572" s="112" t="s">
        <v>21</v>
      </c>
      <c r="I572" s="131">
        <v>2700</v>
      </c>
      <c r="J572" s="131"/>
      <c r="K572" s="136">
        <v>2700</v>
      </c>
      <c r="L572" s="136">
        <v>2700</v>
      </c>
      <c r="M572" s="136"/>
      <c r="N572" s="131">
        <f t="shared" si="36"/>
        <v>0</v>
      </c>
      <c r="O572" s="137" t="s">
        <v>573</v>
      </c>
      <c r="P572" s="138"/>
    </row>
    <row r="573" s="88" customFormat="1" spans="1:16">
      <c r="A573" s="118">
        <v>45931</v>
      </c>
      <c r="B573" s="138" t="s">
        <v>491</v>
      </c>
      <c r="C573" s="119" t="s">
        <v>567</v>
      </c>
      <c r="D573" s="114" t="s">
        <v>568</v>
      </c>
      <c r="E573" s="114" t="s">
        <v>569</v>
      </c>
      <c r="F573" s="151">
        <v>45946</v>
      </c>
      <c r="G573" s="114" t="s">
        <v>28</v>
      </c>
      <c r="H573" s="112" t="s">
        <v>21</v>
      </c>
      <c r="I573" s="131">
        <v>2700</v>
      </c>
      <c r="J573" s="131"/>
      <c r="K573" s="136">
        <v>2700</v>
      </c>
      <c r="L573" s="136">
        <v>2700</v>
      </c>
      <c r="M573" s="136"/>
      <c r="N573" s="131">
        <f t="shared" si="36"/>
        <v>0</v>
      </c>
      <c r="O573" s="137" t="s">
        <v>574</v>
      </c>
      <c r="P573" s="138"/>
    </row>
    <row r="574" s="86" customFormat="1" spans="1:16">
      <c r="A574" s="111">
        <v>45839</v>
      </c>
      <c r="B574" s="138" t="s">
        <v>491</v>
      </c>
      <c r="C574" s="113" t="s">
        <v>575</v>
      </c>
      <c r="D574" s="112" t="s">
        <v>576</v>
      </c>
      <c r="E574" s="112" t="s">
        <v>577</v>
      </c>
      <c r="F574" s="151">
        <v>45814</v>
      </c>
      <c r="G574" s="112" t="s">
        <v>578</v>
      </c>
      <c r="H574" s="121" t="s">
        <v>30</v>
      </c>
      <c r="I574" s="130">
        <v>3000</v>
      </c>
      <c r="J574" s="130">
        <v>0</v>
      </c>
      <c r="K574" s="130">
        <v>3000</v>
      </c>
      <c r="L574" s="130">
        <v>3000</v>
      </c>
      <c r="M574" s="130"/>
      <c r="N574" s="131">
        <f t="shared" si="36"/>
        <v>0</v>
      </c>
      <c r="O574" s="132" t="s">
        <v>309</v>
      </c>
      <c r="P574" s="167"/>
    </row>
    <row r="575" s="86" customFormat="1" spans="1:16">
      <c r="A575" s="111">
        <v>45839</v>
      </c>
      <c r="B575" s="138" t="s">
        <v>491</v>
      </c>
      <c r="C575" s="113" t="s">
        <v>575</v>
      </c>
      <c r="D575" s="112" t="s">
        <v>576</v>
      </c>
      <c r="E575" s="112" t="s">
        <v>577</v>
      </c>
      <c r="F575" s="151">
        <v>45824</v>
      </c>
      <c r="G575" s="112" t="s">
        <v>46</v>
      </c>
      <c r="H575" s="112" t="s">
        <v>21</v>
      </c>
      <c r="I575" s="130">
        <v>12942.6</v>
      </c>
      <c r="J575" s="130">
        <v>0</v>
      </c>
      <c r="K575" s="130">
        <v>12942.6</v>
      </c>
      <c r="L575" s="130">
        <v>12942.6</v>
      </c>
      <c r="M575" s="130"/>
      <c r="N575" s="131">
        <f t="shared" si="36"/>
        <v>0</v>
      </c>
      <c r="O575" s="132" t="s">
        <v>309</v>
      </c>
      <c r="P575" s="167"/>
    </row>
    <row r="576" s="86" customFormat="1" spans="1:16">
      <c r="A576" s="111">
        <v>45839</v>
      </c>
      <c r="B576" s="138" t="s">
        <v>491</v>
      </c>
      <c r="C576" s="113" t="s">
        <v>575</v>
      </c>
      <c r="D576" s="112" t="s">
        <v>576</v>
      </c>
      <c r="E576" s="112" t="s">
        <v>577</v>
      </c>
      <c r="F576" s="151">
        <v>45824</v>
      </c>
      <c r="G576" s="112" t="s">
        <v>46</v>
      </c>
      <c r="H576" s="112" t="s">
        <v>23</v>
      </c>
      <c r="I576" s="130">
        <v>11100</v>
      </c>
      <c r="J576" s="130">
        <v>0</v>
      </c>
      <c r="K576" s="130">
        <v>11100</v>
      </c>
      <c r="L576" s="130">
        <v>11100</v>
      </c>
      <c r="M576" s="130"/>
      <c r="N576" s="131">
        <f t="shared" si="36"/>
        <v>0</v>
      </c>
      <c r="O576" s="132" t="s">
        <v>309</v>
      </c>
      <c r="P576" s="167"/>
    </row>
    <row r="577" s="89" customFormat="1" spans="1:17">
      <c r="A577" s="122">
        <v>45901</v>
      </c>
      <c r="B577" s="138" t="s">
        <v>491</v>
      </c>
      <c r="C577" s="78" t="s">
        <v>575</v>
      </c>
      <c r="D577" s="116" t="s">
        <v>576</v>
      </c>
      <c r="E577" s="116" t="s">
        <v>577</v>
      </c>
      <c r="F577" s="151">
        <v>45916</v>
      </c>
      <c r="G577" s="116" t="s">
        <v>86</v>
      </c>
      <c r="H577" s="116" t="s">
        <v>23</v>
      </c>
      <c r="I577" s="139">
        <v>11100</v>
      </c>
      <c r="J577" s="139">
        <v>0</v>
      </c>
      <c r="K577" s="139">
        <f>I577-J577</f>
        <v>11100</v>
      </c>
      <c r="L577" s="139">
        <v>11100</v>
      </c>
      <c r="M577" s="139"/>
      <c r="N577" s="131">
        <f t="shared" si="36"/>
        <v>0</v>
      </c>
      <c r="O577" s="140" t="s">
        <v>61</v>
      </c>
      <c r="P577" s="167"/>
      <c r="Q577" s="89" t="s">
        <v>51</v>
      </c>
    </row>
    <row r="578" s="89" customFormat="1" spans="1:17">
      <c r="A578" s="122">
        <v>45901</v>
      </c>
      <c r="B578" s="138" t="s">
        <v>491</v>
      </c>
      <c r="C578" s="78" t="s">
        <v>575</v>
      </c>
      <c r="D578" s="116" t="s">
        <v>576</v>
      </c>
      <c r="E578" s="116" t="s">
        <v>577</v>
      </c>
      <c r="F578" s="151">
        <v>45916</v>
      </c>
      <c r="G578" s="116" t="s">
        <v>86</v>
      </c>
      <c r="H578" s="112" t="s">
        <v>21</v>
      </c>
      <c r="I578" s="139">
        <v>12942.6</v>
      </c>
      <c r="J578" s="139">
        <v>0</v>
      </c>
      <c r="K578" s="139">
        <f>I578-J578</f>
        <v>12942.6</v>
      </c>
      <c r="L578" s="139">
        <v>12942.6</v>
      </c>
      <c r="M578" s="139"/>
      <c r="N578" s="131">
        <f t="shared" si="36"/>
        <v>0</v>
      </c>
      <c r="O578" s="140" t="s">
        <v>61</v>
      </c>
      <c r="P578" s="167"/>
      <c r="Q578" s="89" t="s">
        <v>51</v>
      </c>
    </row>
    <row r="579" s="89" customFormat="1" ht="15" customHeight="1" spans="1:16">
      <c r="A579" s="122">
        <v>45901</v>
      </c>
      <c r="B579" s="138" t="s">
        <v>491</v>
      </c>
      <c r="C579" s="165" t="s">
        <v>579</v>
      </c>
      <c r="D579" s="141" t="s">
        <v>277</v>
      </c>
      <c r="E579" s="141" t="s">
        <v>580</v>
      </c>
      <c r="F579" s="151">
        <v>45916</v>
      </c>
      <c r="G579" s="141" t="s">
        <v>241</v>
      </c>
      <c r="H579" s="141" t="s">
        <v>23</v>
      </c>
      <c r="I579" s="139">
        <v>9000</v>
      </c>
      <c r="J579" s="139">
        <v>0</v>
      </c>
      <c r="K579" s="139">
        <v>9000</v>
      </c>
      <c r="L579" s="139">
        <v>9000</v>
      </c>
      <c r="M579" s="139"/>
      <c r="N579" s="131">
        <f t="shared" ref="N579:N642" si="39">K579-L579</f>
        <v>0</v>
      </c>
      <c r="O579" s="140" t="s">
        <v>581</v>
      </c>
      <c r="P579" s="184" t="s">
        <v>183</v>
      </c>
    </row>
    <row r="580" s="89" customFormat="1" spans="1:16">
      <c r="A580" s="122">
        <v>45901</v>
      </c>
      <c r="B580" s="138" t="s">
        <v>491</v>
      </c>
      <c r="C580" s="165" t="s">
        <v>579</v>
      </c>
      <c r="D580" s="141" t="s">
        <v>277</v>
      </c>
      <c r="E580" s="141" t="s">
        <v>580</v>
      </c>
      <c r="F580" s="151">
        <v>45916</v>
      </c>
      <c r="G580" s="141" t="s">
        <v>261</v>
      </c>
      <c r="H580" s="121" t="s">
        <v>30</v>
      </c>
      <c r="I580" s="139">
        <v>3000</v>
      </c>
      <c r="J580" s="139">
        <v>0</v>
      </c>
      <c r="K580" s="139">
        <v>3000</v>
      </c>
      <c r="L580" s="139">
        <v>3000</v>
      </c>
      <c r="M580" s="139"/>
      <c r="N580" s="131">
        <f t="shared" si="39"/>
        <v>0</v>
      </c>
      <c r="O580" s="140" t="s">
        <v>103</v>
      </c>
      <c r="P580" s="184" t="s">
        <v>183</v>
      </c>
    </row>
    <row r="581" s="89" customFormat="1" spans="1:16">
      <c r="A581" s="122">
        <v>45901</v>
      </c>
      <c r="B581" s="138" t="s">
        <v>491</v>
      </c>
      <c r="C581" s="165" t="s">
        <v>579</v>
      </c>
      <c r="D581" s="141" t="s">
        <v>277</v>
      </c>
      <c r="E581" s="141" t="s">
        <v>580</v>
      </c>
      <c r="F581" s="151">
        <v>45916</v>
      </c>
      <c r="G581" s="141" t="s">
        <v>241</v>
      </c>
      <c r="H581" s="112" t="s">
        <v>21</v>
      </c>
      <c r="I581" s="139">
        <v>21000</v>
      </c>
      <c r="J581" s="139">
        <v>0</v>
      </c>
      <c r="K581" s="139">
        <v>21000</v>
      </c>
      <c r="L581" s="139">
        <v>21000</v>
      </c>
      <c r="M581" s="139"/>
      <c r="N581" s="131">
        <f t="shared" si="39"/>
        <v>0</v>
      </c>
      <c r="O581" s="140" t="s">
        <v>581</v>
      </c>
      <c r="P581" s="184" t="s">
        <v>183</v>
      </c>
    </row>
    <row r="582" s="88" customFormat="1" spans="1:16">
      <c r="A582" s="118">
        <v>45931</v>
      </c>
      <c r="B582" s="138" t="s">
        <v>491</v>
      </c>
      <c r="C582" s="119" t="s">
        <v>579</v>
      </c>
      <c r="D582" s="114" t="s">
        <v>277</v>
      </c>
      <c r="E582" s="114" t="s">
        <v>580</v>
      </c>
      <c r="F582" s="151">
        <v>45946</v>
      </c>
      <c r="G582" s="114" t="s">
        <v>98</v>
      </c>
      <c r="H582" s="114" t="s">
        <v>23</v>
      </c>
      <c r="I582" s="131">
        <v>3000</v>
      </c>
      <c r="J582" s="131"/>
      <c r="K582" s="136">
        <v>3000</v>
      </c>
      <c r="L582" s="136">
        <v>3000</v>
      </c>
      <c r="M582" s="136"/>
      <c r="N582" s="131">
        <f t="shared" si="39"/>
        <v>0</v>
      </c>
      <c r="O582" s="137" t="s">
        <v>582</v>
      </c>
      <c r="P582" s="138"/>
    </row>
    <row r="583" s="88" customFormat="1" spans="1:16">
      <c r="A583" s="118">
        <v>45931</v>
      </c>
      <c r="B583" s="138" t="s">
        <v>491</v>
      </c>
      <c r="C583" s="119" t="s">
        <v>579</v>
      </c>
      <c r="D583" s="114" t="s">
        <v>277</v>
      </c>
      <c r="E583" s="114" t="s">
        <v>580</v>
      </c>
      <c r="F583" s="151">
        <v>45946</v>
      </c>
      <c r="G583" s="114" t="s">
        <v>26</v>
      </c>
      <c r="H583" s="114" t="s">
        <v>23</v>
      </c>
      <c r="I583" s="131">
        <v>3000</v>
      </c>
      <c r="J583" s="131"/>
      <c r="K583" s="136">
        <v>3000</v>
      </c>
      <c r="L583" s="136">
        <v>3000</v>
      </c>
      <c r="M583" s="136"/>
      <c r="N583" s="131">
        <f t="shared" si="39"/>
        <v>0</v>
      </c>
      <c r="O583" s="137" t="s">
        <v>582</v>
      </c>
      <c r="P583" s="138"/>
    </row>
    <row r="584" s="88" customFormat="1" spans="1:16">
      <c r="A584" s="118">
        <v>45931</v>
      </c>
      <c r="B584" s="138" t="s">
        <v>491</v>
      </c>
      <c r="C584" s="119" t="s">
        <v>579</v>
      </c>
      <c r="D584" s="114" t="s">
        <v>277</v>
      </c>
      <c r="E584" s="114" t="s">
        <v>580</v>
      </c>
      <c r="F584" s="151">
        <v>45946</v>
      </c>
      <c r="G584" s="114" t="s">
        <v>28</v>
      </c>
      <c r="H584" s="114" t="s">
        <v>23</v>
      </c>
      <c r="I584" s="131">
        <v>0</v>
      </c>
      <c r="J584" s="131"/>
      <c r="K584" s="136">
        <v>0</v>
      </c>
      <c r="L584" s="136">
        <v>0</v>
      </c>
      <c r="M584" s="136"/>
      <c r="N584" s="131">
        <f t="shared" si="39"/>
        <v>0</v>
      </c>
      <c r="O584" s="137"/>
      <c r="P584" s="138"/>
    </row>
    <row r="585" s="88" customFormat="1" spans="1:16">
      <c r="A585" s="118">
        <v>45931</v>
      </c>
      <c r="B585" s="138" t="s">
        <v>491</v>
      </c>
      <c r="C585" s="119" t="s">
        <v>579</v>
      </c>
      <c r="D585" s="114" t="s">
        <v>277</v>
      </c>
      <c r="E585" s="114" t="s">
        <v>580</v>
      </c>
      <c r="F585" s="151">
        <v>45946</v>
      </c>
      <c r="G585" s="114" t="s">
        <v>98</v>
      </c>
      <c r="H585" s="112" t="s">
        <v>21</v>
      </c>
      <c r="I585" s="131">
        <v>7000</v>
      </c>
      <c r="J585" s="131"/>
      <c r="K585" s="136">
        <v>7000</v>
      </c>
      <c r="L585" s="136">
        <v>7000</v>
      </c>
      <c r="M585" s="136"/>
      <c r="N585" s="131">
        <f t="shared" si="39"/>
        <v>0</v>
      </c>
      <c r="O585" s="137" t="s">
        <v>582</v>
      </c>
      <c r="P585" s="138"/>
    </row>
    <row r="586" s="88" customFormat="1" spans="1:16">
      <c r="A586" s="118">
        <v>45931</v>
      </c>
      <c r="B586" s="138" t="s">
        <v>491</v>
      </c>
      <c r="C586" s="119" t="s">
        <v>579</v>
      </c>
      <c r="D586" s="114" t="s">
        <v>277</v>
      </c>
      <c r="E586" s="114" t="s">
        <v>580</v>
      </c>
      <c r="F586" s="151">
        <v>45946</v>
      </c>
      <c r="G586" s="114" t="s">
        <v>26</v>
      </c>
      <c r="H586" s="112" t="s">
        <v>21</v>
      </c>
      <c r="I586" s="131">
        <v>7000</v>
      </c>
      <c r="J586" s="131"/>
      <c r="K586" s="136">
        <v>7000</v>
      </c>
      <c r="L586" s="136">
        <v>7000</v>
      </c>
      <c r="M586" s="136"/>
      <c r="N586" s="131">
        <f t="shared" si="39"/>
        <v>0</v>
      </c>
      <c r="O586" s="137" t="s">
        <v>582</v>
      </c>
      <c r="P586" s="138"/>
    </row>
    <row r="587" s="88" customFormat="1" spans="1:16">
      <c r="A587" s="118">
        <v>45931</v>
      </c>
      <c r="B587" s="138" t="s">
        <v>491</v>
      </c>
      <c r="C587" s="119" t="s">
        <v>579</v>
      </c>
      <c r="D587" s="114" t="s">
        <v>277</v>
      </c>
      <c r="E587" s="114" t="s">
        <v>580</v>
      </c>
      <c r="F587" s="151">
        <v>45946</v>
      </c>
      <c r="G587" s="114" t="s">
        <v>28</v>
      </c>
      <c r="H587" s="112" t="s">
        <v>21</v>
      </c>
      <c r="I587" s="131">
        <v>0</v>
      </c>
      <c r="J587" s="131"/>
      <c r="K587" s="136">
        <v>0</v>
      </c>
      <c r="L587" s="136">
        <v>0</v>
      </c>
      <c r="M587" s="136"/>
      <c r="N587" s="131">
        <f t="shared" si="39"/>
        <v>0</v>
      </c>
      <c r="O587" s="137"/>
      <c r="P587" s="138"/>
    </row>
    <row r="588" s="86" customFormat="1" spans="1:16">
      <c r="A588" s="111">
        <v>45839</v>
      </c>
      <c r="B588" s="138" t="s">
        <v>491</v>
      </c>
      <c r="C588" s="113" t="s">
        <v>583</v>
      </c>
      <c r="D588" s="112" t="s">
        <v>584</v>
      </c>
      <c r="E588" s="112" t="s">
        <v>585</v>
      </c>
      <c r="F588" s="151">
        <v>45824</v>
      </c>
      <c r="G588" s="112" t="s">
        <v>46</v>
      </c>
      <c r="H588" s="112" t="s">
        <v>23</v>
      </c>
      <c r="I588" s="130">
        <v>12300</v>
      </c>
      <c r="J588" s="130">
        <v>0</v>
      </c>
      <c r="K588" s="130">
        <v>12300</v>
      </c>
      <c r="L588" s="130">
        <v>12300</v>
      </c>
      <c r="M588" s="130"/>
      <c r="N588" s="131">
        <f t="shared" si="39"/>
        <v>0</v>
      </c>
      <c r="O588" s="132" t="s">
        <v>586</v>
      </c>
      <c r="P588" s="167"/>
    </row>
    <row r="589" s="86" customFormat="1" spans="1:16">
      <c r="A589" s="111">
        <v>45839</v>
      </c>
      <c r="B589" s="138" t="s">
        <v>491</v>
      </c>
      <c r="C589" s="113" t="s">
        <v>583</v>
      </c>
      <c r="D589" s="112" t="s">
        <v>584</v>
      </c>
      <c r="E589" s="112" t="s">
        <v>585</v>
      </c>
      <c r="F589" s="151">
        <v>45824</v>
      </c>
      <c r="G589" s="112" t="s">
        <v>46</v>
      </c>
      <c r="H589" s="112" t="s">
        <v>21</v>
      </c>
      <c r="I589" s="130">
        <v>19372.5</v>
      </c>
      <c r="J589" s="130">
        <v>0</v>
      </c>
      <c r="K589" s="130">
        <v>19372.5</v>
      </c>
      <c r="L589" s="130">
        <v>19372.5</v>
      </c>
      <c r="M589" s="130"/>
      <c r="N589" s="131">
        <f t="shared" si="39"/>
        <v>0</v>
      </c>
      <c r="O589" s="132" t="s">
        <v>587</v>
      </c>
      <c r="P589" s="167"/>
    </row>
    <row r="590" s="89" customFormat="1" spans="1:17">
      <c r="A590" s="122">
        <v>45901</v>
      </c>
      <c r="B590" s="138" t="s">
        <v>491</v>
      </c>
      <c r="C590" s="78" t="s">
        <v>583</v>
      </c>
      <c r="D590" s="116" t="s">
        <v>584</v>
      </c>
      <c r="E590" s="116" t="s">
        <v>585</v>
      </c>
      <c r="F590" s="151">
        <v>45916</v>
      </c>
      <c r="G590" s="116" t="s">
        <v>588</v>
      </c>
      <c r="H590" s="116" t="s">
        <v>23</v>
      </c>
      <c r="I590" s="139">
        <v>2021.92</v>
      </c>
      <c r="J590" s="139">
        <v>0</v>
      </c>
      <c r="K590" s="139">
        <f t="shared" ref="K590:K595" si="40">I590-J590</f>
        <v>2021.92</v>
      </c>
      <c r="L590" s="139">
        <v>2021.92</v>
      </c>
      <c r="M590" s="139"/>
      <c r="N590" s="131">
        <f t="shared" si="39"/>
        <v>0</v>
      </c>
      <c r="O590" s="140" t="s">
        <v>589</v>
      </c>
      <c r="P590" s="167"/>
      <c r="Q590" s="89" t="s">
        <v>51</v>
      </c>
    </row>
    <row r="591" s="89" customFormat="1" spans="1:17">
      <c r="A591" s="122">
        <v>45901</v>
      </c>
      <c r="B591" s="138" t="s">
        <v>491</v>
      </c>
      <c r="C591" s="78" t="s">
        <v>583</v>
      </c>
      <c r="D591" s="116" t="s">
        <v>584</v>
      </c>
      <c r="E591" s="116" t="s">
        <v>585</v>
      </c>
      <c r="F591" s="151">
        <v>45916</v>
      </c>
      <c r="G591" s="116" t="s">
        <v>588</v>
      </c>
      <c r="H591" s="112" t="s">
        <v>21</v>
      </c>
      <c r="I591" s="139">
        <v>3184.52</v>
      </c>
      <c r="J591" s="139">
        <v>0</v>
      </c>
      <c r="K591" s="139">
        <f t="shared" si="40"/>
        <v>3184.52</v>
      </c>
      <c r="L591" s="139">
        <v>3184.52</v>
      </c>
      <c r="M591" s="139"/>
      <c r="N591" s="131">
        <f t="shared" si="39"/>
        <v>0</v>
      </c>
      <c r="O591" s="140" t="s">
        <v>589</v>
      </c>
      <c r="P591" s="167"/>
      <c r="Q591" s="89" t="s">
        <v>51</v>
      </c>
    </row>
    <row r="592" s="86" customFormat="1" spans="1:16">
      <c r="A592" s="111">
        <v>45839</v>
      </c>
      <c r="B592" s="138" t="s">
        <v>491</v>
      </c>
      <c r="C592" s="113" t="s">
        <v>590</v>
      </c>
      <c r="D592" s="112" t="s">
        <v>591</v>
      </c>
      <c r="E592" s="112" t="s">
        <v>592</v>
      </c>
      <c r="F592" s="151">
        <v>45824</v>
      </c>
      <c r="G592" s="112" t="s">
        <v>46</v>
      </c>
      <c r="H592" s="112" t="s">
        <v>23</v>
      </c>
      <c r="I592" s="130">
        <v>7590</v>
      </c>
      <c r="J592" s="130">
        <v>0</v>
      </c>
      <c r="K592" s="130">
        <v>7590</v>
      </c>
      <c r="L592" s="130">
        <v>7590</v>
      </c>
      <c r="M592" s="130"/>
      <c r="N592" s="131">
        <f t="shared" si="39"/>
        <v>0</v>
      </c>
      <c r="O592" s="132" t="s">
        <v>593</v>
      </c>
      <c r="P592" s="167"/>
    </row>
    <row r="593" s="86" customFormat="1" spans="1:16">
      <c r="A593" s="111">
        <v>45839</v>
      </c>
      <c r="B593" s="138" t="s">
        <v>491</v>
      </c>
      <c r="C593" s="113" t="s">
        <v>590</v>
      </c>
      <c r="D593" s="112" t="s">
        <v>591</v>
      </c>
      <c r="E593" s="112" t="s">
        <v>592</v>
      </c>
      <c r="F593" s="151">
        <v>45824</v>
      </c>
      <c r="G593" s="112" t="s">
        <v>46</v>
      </c>
      <c r="H593" s="112" t="s">
        <v>21</v>
      </c>
      <c r="I593" s="130">
        <v>7109.76</v>
      </c>
      <c r="J593" s="130">
        <v>0</v>
      </c>
      <c r="K593" s="130">
        <v>7109.76</v>
      </c>
      <c r="L593" s="130">
        <v>7109.76</v>
      </c>
      <c r="M593" s="130"/>
      <c r="N593" s="131">
        <f t="shared" si="39"/>
        <v>0</v>
      </c>
      <c r="O593" s="132" t="s">
        <v>593</v>
      </c>
      <c r="P593" s="167"/>
    </row>
    <row r="594" s="89" customFormat="1" spans="1:17">
      <c r="A594" s="122">
        <v>45901</v>
      </c>
      <c r="B594" s="138" t="s">
        <v>491</v>
      </c>
      <c r="C594" s="78" t="s">
        <v>590</v>
      </c>
      <c r="D594" s="116" t="s">
        <v>591</v>
      </c>
      <c r="E594" s="116" t="s">
        <v>592</v>
      </c>
      <c r="F594" s="151">
        <v>45916</v>
      </c>
      <c r="G594" s="116" t="s">
        <v>86</v>
      </c>
      <c r="H594" s="116" t="s">
        <v>23</v>
      </c>
      <c r="I594" s="139">
        <v>7590</v>
      </c>
      <c r="J594" s="139">
        <v>0</v>
      </c>
      <c r="K594" s="139">
        <f t="shared" si="40"/>
        <v>7590</v>
      </c>
      <c r="L594" s="139">
        <v>7590</v>
      </c>
      <c r="M594" s="139"/>
      <c r="N594" s="131">
        <f t="shared" si="39"/>
        <v>0</v>
      </c>
      <c r="O594" s="140" t="s">
        <v>61</v>
      </c>
      <c r="P594" s="167"/>
      <c r="Q594" s="89" t="s">
        <v>51</v>
      </c>
    </row>
    <row r="595" s="89" customFormat="1" spans="1:17">
      <c r="A595" s="122">
        <v>45901</v>
      </c>
      <c r="B595" s="138" t="s">
        <v>491</v>
      </c>
      <c r="C595" s="78" t="s">
        <v>590</v>
      </c>
      <c r="D595" s="116" t="s">
        <v>591</v>
      </c>
      <c r="E595" s="116" t="s">
        <v>592</v>
      </c>
      <c r="F595" s="151">
        <v>45916</v>
      </c>
      <c r="G595" s="116" t="s">
        <v>86</v>
      </c>
      <c r="H595" s="112" t="s">
        <v>21</v>
      </c>
      <c r="I595" s="139">
        <v>7109.76</v>
      </c>
      <c r="J595" s="139">
        <v>0</v>
      </c>
      <c r="K595" s="139">
        <f t="shared" si="40"/>
        <v>7109.76</v>
      </c>
      <c r="L595" s="139">
        <v>7109.76</v>
      </c>
      <c r="M595" s="139"/>
      <c r="N595" s="131">
        <f t="shared" si="39"/>
        <v>0</v>
      </c>
      <c r="O595" s="140" t="s">
        <v>61</v>
      </c>
      <c r="P595" s="167"/>
      <c r="Q595" s="89" t="s">
        <v>51</v>
      </c>
    </row>
    <row r="596" s="88" customFormat="1" spans="1:17">
      <c r="A596" s="122">
        <v>45901</v>
      </c>
      <c r="B596" s="138" t="s">
        <v>491</v>
      </c>
      <c r="C596" s="119" t="s">
        <v>594</v>
      </c>
      <c r="D596" s="214" t="s">
        <v>595</v>
      </c>
      <c r="E596" s="214" t="s">
        <v>596</v>
      </c>
      <c r="F596" s="151">
        <v>45930</v>
      </c>
      <c r="G596" s="215" t="s">
        <v>86</v>
      </c>
      <c r="H596" s="112" t="s">
        <v>21</v>
      </c>
      <c r="I596" s="131">
        <v>8346</v>
      </c>
      <c r="J596" s="139">
        <v>0</v>
      </c>
      <c r="K596" s="131">
        <v>8346</v>
      </c>
      <c r="L596" s="131">
        <v>8346</v>
      </c>
      <c r="M596" s="131"/>
      <c r="N596" s="144">
        <f t="shared" si="39"/>
        <v>0</v>
      </c>
      <c r="O596" s="185" t="s">
        <v>597</v>
      </c>
      <c r="P596" s="138"/>
      <c r="Q596" s="217" t="s">
        <v>51</v>
      </c>
    </row>
    <row r="597" s="88" customFormat="1" spans="1:17">
      <c r="A597" s="122">
        <v>45901</v>
      </c>
      <c r="B597" s="138" t="s">
        <v>491</v>
      </c>
      <c r="C597" s="119" t="s">
        <v>594</v>
      </c>
      <c r="D597" s="214" t="s">
        <v>595</v>
      </c>
      <c r="E597" s="214" t="s">
        <v>596</v>
      </c>
      <c r="F597" s="151">
        <v>45930</v>
      </c>
      <c r="G597" s="215" t="s">
        <v>86</v>
      </c>
      <c r="H597" s="214" t="s">
        <v>23</v>
      </c>
      <c r="I597" s="131">
        <v>10272</v>
      </c>
      <c r="J597" s="139">
        <v>0</v>
      </c>
      <c r="K597" s="131">
        <v>10272</v>
      </c>
      <c r="L597" s="139">
        <f>5172+5000</f>
        <v>10172</v>
      </c>
      <c r="M597" s="139"/>
      <c r="N597" s="144">
        <f t="shared" si="39"/>
        <v>100</v>
      </c>
      <c r="O597" s="185" t="s">
        <v>598</v>
      </c>
      <c r="P597" s="138"/>
      <c r="Q597" s="217" t="s">
        <v>51</v>
      </c>
    </row>
    <row r="598" s="88" customFormat="1" spans="1:16">
      <c r="A598" s="122">
        <v>45901</v>
      </c>
      <c r="B598" s="138" t="s">
        <v>491</v>
      </c>
      <c r="C598" s="119" t="s">
        <v>594</v>
      </c>
      <c r="D598" s="214" t="s">
        <v>595</v>
      </c>
      <c r="E598" s="214" t="s">
        <v>596</v>
      </c>
      <c r="F598" s="151">
        <v>45930</v>
      </c>
      <c r="G598" s="215" t="s">
        <v>46</v>
      </c>
      <c r="H598" s="214" t="s">
        <v>23</v>
      </c>
      <c r="I598" s="131">
        <v>10272</v>
      </c>
      <c r="J598" s="139">
        <v>0</v>
      </c>
      <c r="K598" s="131">
        <v>10272</v>
      </c>
      <c r="L598" s="139">
        <v>10272</v>
      </c>
      <c r="M598" s="139"/>
      <c r="N598" s="131">
        <f t="shared" si="39"/>
        <v>0</v>
      </c>
      <c r="O598" s="216" t="s">
        <v>599</v>
      </c>
      <c r="P598" s="167" t="s">
        <v>249</v>
      </c>
    </row>
    <row r="599" s="88" customFormat="1" spans="1:16">
      <c r="A599" s="122">
        <v>45901</v>
      </c>
      <c r="B599" s="138" t="s">
        <v>491</v>
      </c>
      <c r="C599" s="119" t="s">
        <v>594</v>
      </c>
      <c r="D599" s="214" t="s">
        <v>595</v>
      </c>
      <c r="E599" s="214" t="s">
        <v>596</v>
      </c>
      <c r="F599" s="151">
        <v>45930</v>
      </c>
      <c r="G599" s="215" t="s">
        <v>46</v>
      </c>
      <c r="H599" s="112" t="s">
        <v>21</v>
      </c>
      <c r="I599" s="131">
        <v>8346</v>
      </c>
      <c r="J599" s="139">
        <v>0</v>
      </c>
      <c r="K599" s="131">
        <v>8346</v>
      </c>
      <c r="L599" s="139">
        <v>8346</v>
      </c>
      <c r="M599" s="139"/>
      <c r="N599" s="131">
        <f t="shared" si="39"/>
        <v>0</v>
      </c>
      <c r="O599" s="216" t="s">
        <v>599</v>
      </c>
      <c r="P599" s="167" t="s">
        <v>249</v>
      </c>
    </row>
    <row r="600" s="86" customFormat="1" spans="1:16">
      <c r="A600" s="111">
        <v>45839</v>
      </c>
      <c r="B600" s="138" t="s">
        <v>491</v>
      </c>
      <c r="C600" s="113" t="s">
        <v>600</v>
      </c>
      <c r="D600" s="112" t="s">
        <v>601</v>
      </c>
      <c r="E600" s="112" t="s">
        <v>602</v>
      </c>
      <c r="F600" s="151">
        <v>45824</v>
      </c>
      <c r="G600" s="112" t="s">
        <v>46</v>
      </c>
      <c r="H600" s="112" t="s">
        <v>21</v>
      </c>
      <c r="I600" s="130">
        <v>12592.8</v>
      </c>
      <c r="J600" s="130">
        <v>0</v>
      </c>
      <c r="K600" s="130">
        <v>12592.8</v>
      </c>
      <c r="L600" s="130">
        <v>12592.8</v>
      </c>
      <c r="M600" s="130"/>
      <c r="N600" s="131">
        <f t="shared" si="39"/>
        <v>0</v>
      </c>
      <c r="O600" s="132" t="s">
        <v>271</v>
      </c>
      <c r="P600" s="167"/>
    </row>
    <row r="601" s="86" customFormat="1" spans="1:16">
      <c r="A601" s="111">
        <v>45839</v>
      </c>
      <c r="B601" s="138" t="s">
        <v>491</v>
      </c>
      <c r="C601" s="113" t="s">
        <v>600</v>
      </c>
      <c r="D601" s="112" t="s">
        <v>601</v>
      </c>
      <c r="E601" s="112" t="s">
        <v>602</v>
      </c>
      <c r="F601" s="151">
        <v>45824</v>
      </c>
      <c r="G601" s="112" t="s">
        <v>46</v>
      </c>
      <c r="H601" s="112" t="s">
        <v>23</v>
      </c>
      <c r="I601" s="130">
        <v>7870.5</v>
      </c>
      <c r="J601" s="130">
        <v>0</v>
      </c>
      <c r="K601" s="130">
        <v>7870.5</v>
      </c>
      <c r="L601" s="130">
        <v>7870.5</v>
      </c>
      <c r="M601" s="130"/>
      <c r="N601" s="131">
        <f t="shared" si="39"/>
        <v>0</v>
      </c>
      <c r="O601" s="132" t="s">
        <v>271</v>
      </c>
      <c r="P601" s="167"/>
    </row>
    <row r="602" s="89" customFormat="1" spans="1:17">
      <c r="A602" s="122">
        <v>45901</v>
      </c>
      <c r="B602" s="138" t="s">
        <v>491</v>
      </c>
      <c r="C602" s="78" t="s">
        <v>600</v>
      </c>
      <c r="D602" s="116" t="s">
        <v>601</v>
      </c>
      <c r="E602" s="116" t="s">
        <v>602</v>
      </c>
      <c r="F602" s="151">
        <v>45916</v>
      </c>
      <c r="G602" s="116" t="s">
        <v>123</v>
      </c>
      <c r="H602" s="112" t="s">
        <v>21</v>
      </c>
      <c r="I602" s="139">
        <v>5974.04</v>
      </c>
      <c r="J602" s="139">
        <v>0</v>
      </c>
      <c r="K602" s="139">
        <f t="shared" ref="K602:K605" si="41">I602-J602</f>
        <v>5974.04</v>
      </c>
      <c r="L602" s="139">
        <v>5974.04</v>
      </c>
      <c r="M602" s="139"/>
      <c r="N602" s="131">
        <f t="shared" si="39"/>
        <v>0</v>
      </c>
      <c r="O602" s="140" t="s">
        <v>603</v>
      </c>
      <c r="P602" s="167"/>
      <c r="Q602" s="89" t="s">
        <v>51</v>
      </c>
    </row>
    <row r="603" s="89" customFormat="1" spans="1:17">
      <c r="A603" s="122">
        <v>45901</v>
      </c>
      <c r="B603" s="138" t="s">
        <v>491</v>
      </c>
      <c r="C603" s="78" t="s">
        <v>600</v>
      </c>
      <c r="D603" s="116" t="s">
        <v>601</v>
      </c>
      <c r="E603" s="116" t="s">
        <v>602</v>
      </c>
      <c r="F603" s="151">
        <v>45916</v>
      </c>
      <c r="G603" s="116" t="s">
        <v>122</v>
      </c>
      <c r="H603" s="112" t="s">
        <v>21</v>
      </c>
      <c r="I603" s="139">
        <v>6957.67</v>
      </c>
      <c r="J603" s="139">
        <v>0</v>
      </c>
      <c r="K603" s="139">
        <f t="shared" si="41"/>
        <v>6957.67</v>
      </c>
      <c r="L603" s="139">
        <f>1872.85+5084.82</f>
        <v>6957.67</v>
      </c>
      <c r="M603" s="139"/>
      <c r="N603" s="131">
        <f t="shared" si="39"/>
        <v>0</v>
      </c>
      <c r="O603" s="140" t="s">
        <v>604</v>
      </c>
      <c r="P603" s="167"/>
      <c r="Q603" s="89" t="s">
        <v>51</v>
      </c>
    </row>
    <row r="604" s="89" customFormat="1" spans="1:17">
      <c r="A604" s="122">
        <v>45901</v>
      </c>
      <c r="B604" s="138" t="s">
        <v>491</v>
      </c>
      <c r="C604" s="78" t="s">
        <v>600</v>
      </c>
      <c r="D604" s="116" t="s">
        <v>601</v>
      </c>
      <c r="E604" s="116" t="s">
        <v>602</v>
      </c>
      <c r="F604" s="151">
        <v>45916</v>
      </c>
      <c r="G604" s="116" t="s">
        <v>123</v>
      </c>
      <c r="H604" s="116" t="s">
        <v>23</v>
      </c>
      <c r="I604" s="139">
        <v>3734.61</v>
      </c>
      <c r="J604" s="139">
        <v>0</v>
      </c>
      <c r="K604" s="139">
        <f t="shared" si="41"/>
        <v>3734.61</v>
      </c>
      <c r="L604" s="139">
        <v>3734.61</v>
      </c>
      <c r="M604" s="139"/>
      <c r="N604" s="131">
        <f t="shared" si="39"/>
        <v>0</v>
      </c>
      <c r="O604" s="140" t="s">
        <v>605</v>
      </c>
      <c r="P604" s="167"/>
      <c r="Q604" s="89" t="s">
        <v>51</v>
      </c>
    </row>
    <row r="605" s="89" customFormat="1" spans="1:17">
      <c r="A605" s="122">
        <v>45901</v>
      </c>
      <c r="B605" s="138" t="s">
        <v>491</v>
      </c>
      <c r="C605" s="78" t="s">
        <v>600</v>
      </c>
      <c r="D605" s="116" t="s">
        <v>601</v>
      </c>
      <c r="E605" s="116" t="s">
        <v>602</v>
      </c>
      <c r="F605" s="151">
        <v>45916</v>
      </c>
      <c r="G605" s="116" t="s">
        <v>122</v>
      </c>
      <c r="H605" s="116" t="s">
        <v>23</v>
      </c>
      <c r="I605" s="139">
        <v>4348.54</v>
      </c>
      <c r="J605" s="139">
        <v>0</v>
      </c>
      <c r="K605" s="139">
        <f t="shared" si="41"/>
        <v>4348.54</v>
      </c>
      <c r="L605" s="139">
        <v>4348.54</v>
      </c>
      <c r="M605" s="139"/>
      <c r="N605" s="131">
        <f t="shared" si="39"/>
        <v>0</v>
      </c>
      <c r="O605" s="140" t="s">
        <v>605</v>
      </c>
      <c r="P605" s="167"/>
      <c r="Q605" s="89" t="s">
        <v>51</v>
      </c>
    </row>
    <row r="606" s="88" customFormat="1" spans="1:16">
      <c r="A606" s="118">
        <v>45962</v>
      </c>
      <c r="B606" s="138" t="s">
        <v>491</v>
      </c>
      <c r="C606" s="119" t="s">
        <v>600</v>
      </c>
      <c r="D606" s="114" t="s">
        <v>601</v>
      </c>
      <c r="E606" s="114" t="s">
        <v>602</v>
      </c>
      <c r="F606" s="151">
        <v>45967</v>
      </c>
      <c r="G606" s="114" t="s">
        <v>290</v>
      </c>
      <c r="H606" s="121" t="s">
        <v>30</v>
      </c>
      <c r="I606" s="131">
        <v>250</v>
      </c>
      <c r="J606" s="131"/>
      <c r="K606" s="136">
        <v>250</v>
      </c>
      <c r="L606" s="136">
        <v>250</v>
      </c>
      <c r="M606" s="136"/>
      <c r="N606" s="131">
        <f t="shared" si="39"/>
        <v>0</v>
      </c>
      <c r="O606" s="137" t="s">
        <v>603</v>
      </c>
      <c r="P606" s="138"/>
    </row>
    <row r="607" s="88" customFormat="1" spans="1:16">
      <c r="A607" s="118">
        <v>45962</v>
      </c>
      <c r="B607" s="138" t="s">
        <v>491</v>
      </c>
      <c r="C607" s="119" t="s">
        <v>600</v>
      </c>
      <c r="D607" s="114" t="s">
        <v>601</v>
      </c>
      <c r="E607" s="114" t="s">
        <v>602</v>
      </c>
      <c r="F607" s="151">
        <v>45967</v>
      </c>
      <c r="G607" s="114" t="s">
        <v>291</v>
      </c>
      <c r="H607" s="121" t="s">
        <v>30</v>
      </c>
      <c r="I607" s="131">
        <v>250</v>
      </c>
      <c r="J607" s="131"/>
      <c r="K607" s="136">
        <v>250</v>
      </c>
      <c r="L607" s="136">
        <v>250</v>
      </c>
      <c r="M607" s="136"/>
      <c r="N607" s="131">
        <f t="shared" si="39"/>
        <v>0</v>
      </c>
      <c r="O607" s="137" t="s">
        <v>603</v>
      </c>
      <c r="P607" s="138"/>
    </row>
    <row r="608" s="88" customFormat="1" spans="1:16">
      <c r="A608" s="118">
        <v>45962</v>
      </c>
      <c r="B608" s="138" t="s">
        <v>491</v>
      </c>
      <c r="C608" s="119" t="s">
        <v>600</v>
      </c>
      <c r="D608" s="114" t="s">
        <v>601</v>
      </c>
      <c r="E608" s="114" t="s">
        <v>602</v>
      </c>
      <c r="F608" s="151">
        <v>45967</v>
      </c>
      <c r="G608" s="114" t="s">
        <v>292</v>
      </c>
      <c r="H608" s="121" t="s">
        <v>30</v>
      </c>
      <c r="I608" s="131">
        <v>250</v>
      </c>
      <c r="J608" s="131"/>
      <c r="K608" s="136">
        <v>250</v>
      </c>
      <c r="L608" s="136">
        <v>250</v>
      </c>
      <c r="M608" s="136"/>
      <c r="N608" s="131">
        <f t="shared" si="39"/>
        <v>0</v>
      </c>
      <c r="O608" s="137" t="s">
        <v>603</v>
      </c>
      <c r="P608" s="138"/>
    </row>
    <row r="609" s="88" customFormat="1" spans="1:16">
      <c r="A609" s="118">
        <v>45962</v>
      </c>
      <c r="B609" s="138" t="s">
        <v>491</v>
      </c>
      <c r="C609" s="119" t="s">
        <v>600</v>
      </c>
      <c r="D609" s="114" t="s">
        <v>601</v>
      </c>
      <c r="E609" s="114" t="s">
        <v>602</v>
      </c>
      <c r="F609" s="151">
        <v>45967</v>
      </c>
      <c r="G609" s="114" t="s">
        <v>293</v>
      </c>
      <c r="H609" s="121" t="s">
        <v>30</v>
      </c>
      <c r="I609" s="131">
        <v>250</v>
      </c>
      <c r="J609" s="131"/>
      <c r="K609" s="136">
        <v>250</v>
      </c>
      <c r="L609" s="136">
        <v>250</v>
      </c>
      <c r="M609" s="136"/>
      <c r="N609" s="131">
        <f t="shared" si="39"/>
        <v>0</v>
      </c>
      <c r="O609" s="137" t="s">
        <v>603</v>
      </c>
      <c r="P609" s="138"/>
    </row>
    <row r="610" s="88" customFormat="1" spans="1:16">
      <c r="A610" s="118">
        <v>45962</v>
      </c>
      <c r="B610" s="138" t="s">
        <v>491</v>
      </c>
      <c r="C610" s="119" t="s">
        <v>600</v>
      </c>
      <c r="D610" s="114" t="s">
        <v>601</v>
      </c>
      <c r="E610" s="114" t="s">
        <v>602</v>
      </c>
      <c r="F610" s="151">
        <v>45967</v>
      </c>
      <c r="G610" s="114" t="s">
        <v>294</v>
      </c>
      <c r="H610" s="121" t="s">
        <v>30</v>
      </c>
      <c r="I610" s="131">
        <v>250</v>
      </c>
      <c r="J610" s="131"/>
      <c r="K610" s="136">
        <v>250</v>
      </c>
      <c r="L610" s="136">
        <v>250</v>
      </c>
      <c r="M610" s="136"/>
      <c r="N610" s="131">
        <f t="shared" si="39"/>
        <v>0</v>
      </c>
      <c r="O610" s="137" t="s">
        <v>603</v>
      </c>
      <c r="P610" s="138"/>
    </row>
    <row r="611" s="88" customFormat="1" spans="1:16">
      <c r="A611" s="118">
        <v>45962</v>
      </c>
      <c r="B611" s="138" t="s">
        <v>491</v>
      </c>
      <c r="C611" s="119" t="s">
        <v>600</v>
      </c>
      <c r="D611" s="114" t="s">
        <v>601</v>
      </c>
      <c r="E611" s="114" t="s">
        <v>602</v>
      </c>
      <c r="F611" s="151">
        <v>45967</v>
      </c>
      <c r="G611" s="114" t="s">
        <v>295</v>
      </c>
      <c r="H611" s="121" t="s">
        <v>30</v>
      </c>
      <c r="I611" s="131">
        <v>250</v>
      </c>
      <c r="J611" s="131"/>
      <c r="K611" s="136">
        <v>250</v>
      </c>
      <c r="L611" s="136">
        <v>250</v>
      </c>
      <c r="M611" s="136"/>
      <c r="N611" s="131">
        <f t="shared" si="39"/>
        <v>0</v>
      </c>
      <c r="O611" s="137" t="s">
        <v>603</v>
      </c>
      <c r="P611" s="138"/>
    </row>
    <row r="612" s="88" customFormat="1" spans="1:16">
      <c r="A612" s="118">
        <v>45962</v>
      </c>
      <c r="B612" s="138" t="s">
        <v>491</v>
      </c>
      <c r="C612" s="119" t="s">
        <v>600</v>
      </c>
      <c r="D612" s="114" t="s">
        <v>601</v>
      </c>
      <c r="E612" s="114" t="s">
        <v>602</v>
      </c>
      <c r="F612" s="151">
        <v>45967</v>
      </c>
      <c r="G612" s="114" t="s">
        <v>296</v>
      </c>
      <c r="H612" s="121" t="s">
        <v>30</v>
      </c>
      <c r="I612" s="131">
        <v>250</v>
      </c>
      <c r="J612" s="131"/>
      <c r="K612" s="136">
        <v>250</v>
      </c>
      <c r="L612" s="136">
        <v>250</v>
      </c>
      <c r="M612" s="136"/>
      <c r="N612" s="131">
        <f t="shared" si="39"/>
        <v>0</v>
      </c>
      <c r="O612" s="137" t="s">
        <v>603</v>
      </c>
      <c r="P612" s="138"/>
    </row>
    <row r="613" s="88" customFormat="1" spans="1:16">
      <c r="A613" s="118">
        <v>45962</v>
      </c>
      <c r="B613" s="138" t="s">
        <v>491</v>
      </c>
      <c r="C613" s="119" t="s">
        <v>600</v>
      </c>
      <c r="D613" s="114" t="s">
        <v>601</v>
      </c>
      <c r="E613" s="114" t="s">
        <v>602</v>
      </c>
      <c r="F613" s="151">
        <v>45967</v>
      </c>
      <c r="G613" s="114" t="s">
        <v>297</v>
      </c>
      <c r="H613" s="121" t="s">
        <v>30</v>
      </c>
      <c r="I613" s="131">
        <v>250</v>
      </c>
      <c r="J613" s="131"/>
      <c r="K613" s="136">
        <v>250</v>
      </c>
      <c r="L613" s="136">
        <v>250</v>
      </c>
      <c r="M613" s="136"/>
      <c r="N613" s="131">
        <f t="shared" si="39"/>
        <v>0</v>
      </c>
      <c r="O613" s="137" t="s">
        <v>603</v>
      </c>
      <c r="P613" s="138"/>
    </row>
    <row r="614" s="88" customFormat="1" spans="1:16">
      <c r="A614" s="118">
        <v>45962</v>
      </c>
      <c r="B614" s="138" t="s">
        <v>491</v>
      </c>
      <c r="C614" s="119" t="s">
        <v>600</v>
      </c>
      <c r="D614" s="114" t="s">
        <v>601</v>
      </c>
      <c r="E614" s="114" t="s">
        <v>602</v>
      </c>
      <c r="F614" s="151">
        <v>45967</v>
      </c>
      <c r="G614" s="114" t="s">
        <v>298</v>
      </c>
      <c r="H614" s="121" t="s">
        <v>30</v>
      </c>
      <c r="I614" s="131">
        <v>250</v>
      </c>
      <c r="J614" s="131"/>
      <c r="K614" s="136">
        <v>250</v>
      </c>
      <c r="L614" s="136">
        <v>250</v>
      </c>
      <c r="M614" s="136"/>
      <c r="N614" s="131">
        <f t="shared" si="39"/>
        <v>0</v>
      </c>
      <c r="O614" s="137" t="s">
        <v>603</v>
      </c>
      <c r="P614" s="138"/>
    </row>
    <row r="615" s="88" customFormat="1" spans="1:16">
      <c r="A615" s="118">
        <v>45962</v>
      </c>
      <c r="B615" s="138" t="s">
        <v>491</v>
      </c>
      <c r="C615" s="119" t="s">
        <v>600</v>
      </c>
      <c r="D615" s="114" t="s">
        <v>601</v>
      </c>
      <c r="E615" s="114" t="s">
        <v>602</v>
      </c>
      <c r="F615" s="151">
        <v>45967</v>
      </c>
      <c r="G615" s="114" t="s">
        <v>299</v>
      </c>
      <c r="H615" s="121" t="s">
        <v>30</v>
      </c>
      <c r="I615" s="131">
        <v>250</v>
      </c>
      <c r="J615" s="131"/>
      <c r="K615" s="136">
        <v>250</v>
      </c>
      <c r="L615" s="136">
        <v>250</v>
      </c>
      <c r="M615" s="136"/>
      <c r="N615" s="131">
        <f t="shared" si="39"/>
        <v>0</v>
      </c>
      <c r="O615" s="137" t="s">
        <v>603</v>
      </c>
      <c r="P615" s="138"/>
    </row>
    <row r="616" s="88" customFormat="1" spans="1:16">
      <c r="A616" s="118">
        <v>45962</v>
      </c>
      <c r="B616" s="138" t="s">
        <v>491</v>
      </c>
      <c r="C616" s="119" t="s">
        <v>600</v>
      </c>
      <c r="D616" s="114" t="s">
        <v>601</v>
      </c>
      <c r="E616" s="114" t="s">
        <v>602</v>
      </c>
      <c r="F616" s="151">
        <v>45967</v>
      </c>
      <c r="G616" s="114" t="s">
        <v>300</v>
      </c>
      <c r="H616" s="121" t="s">
        <v>30</v>
      </c>
      <c r="I616" s="131">
        <v>250</v>
      </c>
      <c r="J616" s="131"/>
      <c r="K616" s="136">
        <v>250</v>
      </c>
      <c r="L616" s="136">
        <v>250</v>
      </c>
      <c r="M616" s="136"/>
      <c r="N616" s="131">
        <f t="shared" si="39"/>
        <v>0</v>
      </c>
      <c r="O616" s="137" t="s">
        <v>603</v>
      </c>
      <c r="P616" s="138"/>
    </row>
    <row r="617" s="88" customFormat="1" spans="1:16">
      <c r="A617" s="118">
        <v>45962</v>
      </c>
      <c r="B617" s="138" t="s">
        <v>491</v>
      </c>
      <c r="C617" s="119" t="s">
        <v>600</v>
      </c>
      <c r="D617" s="114" t="s">
        <v>601</v>
      </c>
      <c r="E617" s="114" t="s">
        <v>602</v>
      </c>
      <c r="F617" s="151">
        <v>45967</v>
      </c>
      <c r="G617" s="114" t="s">
        <v>301</v>
      </c>
      <c r="H617" s="121" t="s">
        <v>30</v>
      </c>
      <c r="I617" s="131">
        <v>250</v>
      </c>
      <c r="J617" s="131"/>
      <c r="K617" s="136">
        <v>250</v>
      </c>
      <c r="L617" s="136">
        <v>250</v>
      </c>
      <c r="M617" s="136"/>
      <c r="N617" s="131">
        <f t="shared" si="39"/>
        <v>0</v>
      </c>
      <c r="O617" s="137" t="s">
        <v>603</v>
      </c>
      <c r="P617" s="138"/>
    </row>
    <row r="618" s="86" customFormat="1" spans="1:16">
      <c r="A618" s="111">
        <v>45839</v>
      </c>
      <c r="B618" s="138" t="s">
        <v>491</v>
      </c>
      <c r="C618" s="113" t="s">
        <v>606</v>
      </c>
      <c r="D618" s="112" t="s">
        <v>607</v>
      </c>
      <c r="E618" s="112" t="s">
        <v>608</v>
      </c>
      <c r="F618" s="151">
        <v>45818</v>
      </c>
      <c r="G618" s="112" t="s">
        <v>609</v>
      </c>
      <c r="H618" s="121" t="s">
        <v>30</v>
      </c>
      <c r="I618" s="130">
        <v>3000</v>
      </c>
      <c r="J618" s="130">
        <v>0</v>
      </c>
      <c r="K618" s="130">
        <v>3000</v>
      </c>
      <c r="L618" s="130">
        <v>3000</v>
      </c>
      <c r="M618" s="130"/>
      <c r="N618" s="131">
        <f t="shared" si="39"/>
        <v>0</v>
      </c>
      <c r="O618" s="132" t="s">
        <v>256</v>
      </c>
      <c r="P618" s="167"/>
    </row>
    <row r="619" s="86" customFormat="1" spans="1:16">
      <c r="A619" s="111">
        <v>45839</v>
      </c>
      <c r="B619" s="138" t="s">
        <v>491</v>
      </c>
      <c r="C619" s="113" t="s">
        <v>606</v>
      </c>
      <c r="D619" s="112" t="s">
        <v>607</v>
      </c>
      <c r="E619" s="112" t="s">
        <v>608</v>
      </c>
      <c r="F619" s="151">
        <v>45838</v>
      </c>
      <c r="G619" s="112" t="s">
        <v>46</v>
      </c>
      <c r="H619" s="112" t="s">
        <v>21</v>
      </c>
      <c r="I619" s="130">
        <v>20487.75</v>
      </c>
      <c r="J619" s="130">
        <v>0</v>
      </c>
      <c r="K619" s="130">
        <v>20487.75</v>
      </c>
      <c r="L619" s="130">
        <v>20487.75</v>
      </c>
      <c r="M619" s="130"/>
      <c r="N619" s="131">
        <f t="shared" si="39"/>
        <v>0</v>
      </c>
      <c r="O619" s="132" t="s">
        <v>256</v>
      </c>
      <c r="P619" s="167"/>
    </row>
    <row r="620" s="86" customFormat="1" spans="1:16">
      <c r="A620" s="111">
        <v>45839</v>
      </c>
      <c r="B620" s="138" t="s">
        <v>491</v>
      </c>
      <c r="C620" s="113" t="s">
        <v>606</v>
      </c>
      <c r="D620" s="112" t="s">
        <v>607</v>
      </c>
      <c r="E620" s="112" t="s">
        <v>608</v>
      </c>
      <c r="F620" s="151">
        <v>45838</v>
      </c>
      <c r="G620" s="112" t="s">
        <v>46</v>
      </c>
      <c r="H620" s="112" t="s">
        <v>23</v>
      </c>
      <c r="I620" s="130">
        <v>17700</v>
      </c>
      <c r="J620" s="130">
        <v>0</v>
      </c>
      <c r="K620" s="130">
        <v>17700</v>
      </c>
      <c r="L620" s="130">
        <v>17700</v>
      </c>
      <c r="M620" s="130"/>
      <c r="N620" s="131">
        <f t="shared" si="39"/>
        <v>0</v>
      </c>
      <c r="O620" s="132" t="s">
        <v>256</v>
      </c>
      <c r="P620" s="167"/>
    </row>
    <row r="621" s="89" customFormat="1" spans="1:17">
      <c r="A621" s="122">
        <v>45901</v>
      </c>
      <c r="B621" s="138" t="s">
        <v>491</v>
      </c>
      <c r="C621" s="78" t="s">
        <v>606</v>
      </c>
      <c r="D621" s="116" t="s">
        <v>607</v>
      </c>
      <c r="E621" s="116" t="s">
        <v>608</v>
      </c>
      <c r="F621" s="151">
        <v>45930</v>
      </c>
      <c r="G621" s="116" t="s">
        <v>86</v>
      </c>
      <c r="H621" s="116" t="s">
        <v>23</v>
      </c>
      <c r="I621" s="139">
        <v>17700</v>
      </c>
      <c r="J621" s="139">
        <v>0</v>
      </c>
      <c r="K621" s="139">
        <f>I621-J621</f>
        <v>17700</v>
      </c>
      <c r="L621" s="139">
        <v>17700</v>
      </c>
      <c r="M621" s="139"/>
      <c r="N621" s="131">
        <f t="shared" si="39"/>
        <v>0</v>
      </c>
      <c r="O621" s="140" t="s">
        <v>201</v>
      </c>
      <c r="P621" s="167"/>
      <c r="Q621" s="89" t="s">
        <v>51</v>
      </c>
    </row>
    <row r="622" s="89" customFormat="1" spans="1:17">
      <c r="A622" s="122">
        <v>45901</v>
      </c>
      <c r="B622" s="138" t="s">
        <v>491</v>
      </c>
      <c r="C622" s="78" t="s">
        <v>606</v>
      </c>
      <c r="D622" s="116" t="s">
        <v>607</v>
      </c>
      <c r="E622" s="116" t="s">
        <v>608</v>
      </c>
      <c r="F622" s="151">
        <v>45930</v>
      </c>
      <c r="G622" s="116" t="s">
        <v>86</v>
      </c>
      <c r="H622" s="112" t="s">
        <v>21</v>
      </c>
      <c r="I622" s="139">
        <v>20487.75</v>
      </c>
      <c r="J622" s="139">
        <v>0</v>
      </c>
      <c r="K622" s="139">
        <f>I622-J622</f>
        <v>20487.75</v>
      </c>
      <c r="L622" s="139">
        <v>20487.75</v>
      </c>
      <c r="M622" s="139"/>
      <c r="N622" s="131">
        <f t="shared" si="39"/>
        <v>0</v>
      </c>
      <c r="O622" s="140" t="s">
        <v>201</v>
      </c>
      <c r="P622" s="167"/>
      <c r="Q622" s="89" t="s">
        <v>51</v>
      </c>
    </row>
    <row r="623" s="86" customFormat="1" spans="1:16">
      <c r="A623" s="111">
        <v>45839</v>
      </c>
      <c r="B623" s="138" t="s">
        <v>491</v>
      </c>
      <c r="C623" s="113" t="s">
        <v>610</v>
      </c>
      <c r="D623" s="112" t="s">
        <v>611</v>
      </c>
      <c r="E623" s="114" t="s">
        <v>612</v>
      </c>
      <c r="F623" s="151">
        <v>45819</v>
      </c>
      <c r="G623" s="112" t="s">
        <v>613</v>
      </c>
      <c r="H623" s="112" t="s">
        <v>21</v>
      </c>
      <c r="I623" s="130">
        <v>6624.32</v>
      </c>
      <c r="J623" s="130">
        <v>0</v>
      </c>
      <c r="K623" s="130">
        <v>6624.32</v>
      </c>
      <c r="L623" s="130">
        <v>6624.32</v>
      </c>
      <c r="M623" s="130"/>
      <c r="N623" s="131">
        <f t="shared" si="39"/>
        <v>0</v>
      </c>
      <c r="O623" s="132" t="s">
        <v>271</v>
      </c>
      <c r="P623" s="167"/>
    </row>
    <row r="624" s="86" customFormat="1" spans="1:16">
      <c r="A624" s="111">
        <v>45839</v>
      </c>
      <c r="B624" s="138" t="s">
        <v>491</v>
      </c>
      <c r="C624" s="113" t="s">
        <v>610</v>
      </c>
      <c r="D624" s="112" t="s">
        <v>611</v>
      </c>
      <c r="E624" s="114" t="s">
        <v>612</v>
      </c>
      <c r="F624" s="151">
        <v>45824</v>
      </c>
      <c r="G624" s="112" t="s">
        <v>613</v>
      </c>
      <c r="H624" s="112" t="s">
        <v>23</v>
      </c>
      <c r="I624" s="130">
        <v>4923.48</v>
      </c>
      <c r="J624" s="130">
        <v>0</v>
      </c>
      <c r="K624" s="130">
        <v>4923.48</v>
      </c>
      <c r="L624" s="130">
        <v>4923.48</v>
      </c>
      <c r="M624" s="130"/>
      <c r="N624" s="131">
        <f t="shared" si="39"/>
        <v>0</v>
      </c>
      <c r="O624" s="132" t="s">
        <v>271</v>
      </c>
      <c r="P624" s="167"/>
    </row>
    <row r="625" s="88" customFormat="1" spans="1:16">
      <c r="A625" s="118">
        <v>45931</v>
      </c>
      <c r="B625" s="138" t="s">
        <v>491</v>
      </c>
      <c r="C625" s="119" t="s">
        <v>610</v>
      </c>
      <c r="D625" s="114" t="s">
        <v>611</v>
      </c>
      <c r="E625" s="114" t="s">
        <v>612</v>
      </c>
      <c r="F625" s="151">
        <v>45946</v>
      </c>
      <c r="G625" s="114" t="s">
        <v>513</v>
      </c>
      <c r="H625" s="112" t="s">
        <v>21</v>
      </c>
      <c r="I625" s="131">
        <v>6882</v>
      </c>
      <c r="J625" s="131"/>
      <c r="K625" s="136">
        <v>6882</v>
      </c>
      <c r="L625" s="136">
        <v>6882</v>
      </c>
      <c r="M625" s="136"/>
      <c r="N625" s="144">
        <f t="shared" si="39"/>
        <v>0</v>
      </c>
      <c r="O625" s="137" t="s">
        <v>614</v>
      </c>
      <c r="P625" s="138"/>
    </row>
    <row r="626" s="88" customFormat="1" spans="1:16">
      <c r="A626" s="118">
        <v>45931</v>
      </c>
      <c r="B626" s="138" t="s">
        <v>491</v>
      </c>
      <c r="C626" s="119" t="s">
        <v>610</v>
      </c>
      <c r="D626" s="114" t="s">
        <v>611</v>
      </c>
      <c r="E626" s="114" t="s">
        <v>612</v>
      </c>
      <c r="F626" s="151">
        <v>45946</v>
      </c>
      <c r="G626" s="114" t="s">
        <v>513</v>
      </c>
      <c r="H626" s="114" t="s">
        <v>23</v>
      </c>
      <c r="I626" s="131">
        <v>5115</v>
      </c>
      <c r="J626" s="131"/>
      <c r="K626" s="136">
        <v>5115</v>
      </c>
      <c r="L626" s="136">
        <v>5115</v>
      </c>
      <c r="M626" s="136"/>
      <c r="N626" s="144">
        <f t="shared" si="39"/>
        <v>0</v>
      </c>
      <c r="O626" s="137" t="s">
        <v>614</v>
      </c>
      <c r="P626" s="138"/>
    </row>
    <row r="627" s="88" customFormat="1" spans="1:16">
      <c r="A627" s="118">
        <v>45931</v>
      </c>
      <c r="B627" s="138" t="s">
        <v>491</v>
      </c>
      <c r="C627" s="119" t="s">
        <v>610</v>
      </c>
      <c r="D627" s="114" t="s">
        <v>611</v>
      </c>
      <c r="E627" s="114" t="s">
        <v>612</v>
      </c>
      <c r="F627" s="151">
        <v>45946</v>
      </c>
      <c r="G627" s="114" t="s">
        <v>515</v>
      </c>
      <c r="H627" s="121" t="s">
        <v>30</v>
      </c>
      <c r="I627" s="131">
        <v>3000</v>
      </c>
      <c r="J627" s="131"/>
      <c r="K627" s="136">
        <v>3000</v>
      </c>
      <c r="L627" s="136">
        <v>3000</v>
      </c>
      <c r="M627" s="136"/>
      <c r="N627" s="131">
        <f t="shared" si="39"/>
        <v>0</v>
      </c>
      <c r="O627" s="137" t="s">
        <v>614</v>
      </c>
      <c r="P627" s="138"/>
    </row>
    <row r="628" s="86" customFormat="1" spans="1:16">
      <c r="A628" s="111">
        <v>45839</v>
      </c>
      <c r="B628" s="138" t="s">
        <v>491</v>
      </c>
      <c r="C628" s="113" t="s">
        <v>615</v>
      </c>
      <c r="D628" s="112" t="s">
        <v>616</v>
      </c>
      <c r="E628" s="112" t="s">
        <v>617</v>
      </c>
      <c r="F628" s="151">
        <v>45824</v>
      </c>
      <c r="G628" s="112" t="s">
        <v>46</v>
      </c>
      <c r="H628" s="112" t="s">
        <v>23</v>
      </c>
      <c r="I628" s="130">
        <v>9000</v>
      </c>
      <c r="J628" s="130">
        <v>0</v>
      </c>
      <c r="K628" s="130">
        <v>9000</v>
      </c>
      <c r="L628" s="130">
        <v>9000</v>
      </c>
      <c r="M628" s="130"/>
      <c r="N628" s="131">
        <f t="shared" si="39"/>
        <v>0</v>
      </c>
      <c r="O628" s="132" t="s">
        <v>618</v>
      </c>
      <c r="P628" s="167"/>
    </row>
    <row r="629" s="86" customFormat="1" spans="1:16">
      <c r="A629" s="111">
        <v>45839</v>
      </c>
      <c r="B629" s="138" t="s">
        <v>491</v>
      </c>
      <c r="C629" s="113" t="s">
        <v>615</v>
      </c>
      <c r="D629" s="112" t="s">
        <v>616</v>
      </c>
      <c r="E629" s="112" t="s">
        <v>617</v>
      </c>
      <c r="F629" s="151">
        <v>45824</v>
      </c>
      <c r="G629" s="112" t="s">
        <v>46</v>
      </c>
      <c r="H629" s="112" t="s">
        <v>21</v>
      </c>
      <c r="I629" s="130">
        <v>9000</v>
      </c>
      <c r="J629" s="130">
        <v>0</v>
      </c>
      <c r="K629" s="130">
        <v>9000</v>
      </c>
      <c r="L629" s="130">
        <v>9000</v>
      </c>
      <c r="M629" s="130"/>
      <c r="N629" s="131">
        <f t="shared" si="39"/>
        <v>0</v>
      </c>
      <c r="O629" s="132" t="s">
        <v>618</v>
      </c>
      <c r="P629" s="167"/>
    </row>
    <row r="630" s="89" customFormat="1" spans="1:17">
      <c r="A630" s="122">
        <v>45901</v>
      </c>
      <c r="B630" s="138" t="s">
        <v>491</v>
      </c>
      <c r="C630" s="78" t="s">
        <v>615</v>
      </c>
      <c r="D630" s="116" t="s">
        <v>616</v>
      </c>
      <c r="E630" s="116" t="s">
        <v>617</v>
      </c>
      <c r="F630" s="151">
        <v>45916</v>
      </c>
      <c r="G630" s="116" t="s">
        <v>86</v>
      </c>
      <c r="H630" s="116" t="s">
        <v>23</v>
      </c>
      <c r="I630" s="139">
        <v>9000</v>
      </c>
      <c r="J630" s="139">
        <v>0</v>
      </c>
      <c r="K630" s="139">
        <f t="shared" ref="K630:K633" si="42">I630-J630</f>
        <v>9000</v>
      </c>
      <c r="L630" s="139">
        <v>9000</v>
      </c>
      <c r="M630" s="139"/>
      <c r="N630" s="131">
        <f t="shared" si="39"/>
        <v>0</v>
      </c>
      <c r="O630" s="140" t="s">
        <v>619</v>
      </c>
      <c r="P630" s="167"/>
      <c r="Q630" s="89" t="s">
        <v>51</v>
      </c>
    </row>
    <row r="631" s="89" customFormat="1" spans="1:17">
      <c r="A631" s="122">
        <v>45901</v>
      </c>
      <c r="B631" s="138" t="s">
        <v>491</v>
      </c>
      <c r="C631" s="78" t="s">
        <v>615</v>
      </c>
      <c r="D631" s="116" t="s">
        <v>616</v>
      </c>
      <c r="E631" s="116" t="s">
        <v>617</v>
      </c>
      <c r="F631" s="151">
        <v>45916</v>
      </c>
      <c r="G631" s="116" t="s">
        <v>86</v>
      </c>
      <c r="H631" s="112" t="s">
        <v>21</v>
      </c>
      <c r="I631" s="139">
        <v>9000</v>
      </c>
      <c r="J631" s="139">
        <v>0</v>
      </c>
      <c r="K631" s="139">
        <f t="shared" si="42"/>
        <v>9000</v>
      </c>
      <c r="L631" s="139">
        <v>9000</v>
      </c>
      <c r="M631" s="139"/>
      <c r="N631" s="131">
        <f t="shared" si="39"/>
        <v>0</v>
      </c>
      <c r="O631" s="140" t="s">
        <v>620</v>
      </c>
      <c r="P631" s="167"/>
      <c r="Q631" s="89" t="s">
        <v>51</v>
      </c>
    </row>
    <row r="632" s="89" customFormat="1" spans="1:17">
      <c r="A632" s="122">
        <v>45901</v>
      </c>
      <c r="B632" s="138" t="s">
        <v>491</v>
      </c>
      <c r="C632" s="165" t="s">
        <v>621</v>
      </c>
      <c r="D632" s="141" t="s">
        <v>622</v>
      </c>
      <c r="E632" s="141" t="s">
        <v>623</v>
      </c>
      <c r="F632" s="151">
        <v>45930</v>
      </c>
      <c r="G632" s="141" t="s">
        <v>86</v>
      </c>
      <c r="H632" s="141" t="s">
        <v>23</v>
      </c>
      <c r="I632" s="189">
        <v>18315</v>
      </c>
      <c r="J632" s="139">
        <v>0</v>
      </c>
      <c r="K632" s="139">
        <f t="shared" si="42"/>
        <v>18315</v>
      </c>
      <c r="L632" s="139">
        <f>17215+1100</f>
        <v>18315</v>
      </c>
      <c r="M632" s="139"/>
      <c r="N632" s="131">
        <f t="shared" si="39"/>
        <v>0</v>
      </c>
      <c r="O632" s="140" t="s">
        <v>624</v>
      </c>
      <c r="P632" s="184" t="s">
        <v>183</v>
      </c>
      <c r="Q632" s="89" t="s">
        <v>51</v>
      </c>
    </row>
    <row r="633" s="89" customFormat="1" spans="1:17">
      <c r="A633" s="122">
        <v>45901</v>
      </c>
      <c r="B633" s="138" t="s">
        <v>491</v>
      </c>
      <c r="C633" s="165" t="s">
        <v>621</v>
      </c>
      <c r="D633" s="141" t="s">
        <v>622</v>
      </c>
      <c r="E633" s="141" t="s">
        <v>623</v>
      </c>
      <c r="F633" s="151">
        <v>45930</v>
      </c>
      <c r="G633" s="141" t="s">
        <v>86</v>
      </c>
      <c r="H633" s="112" t="s">
        <v>21</v>
      </c>
      <c r="I633" s="189">
        <v>1185.48</v>
      </c>
      <c r="J633" s="139">
        <v>0</v>
      </c>
      <c r="K633" s="139">
        <f t="shared" si="42"/>
        <v>1185.48</v>
      </c>
      <c r="L633" s="139">
        <v>1185.48</v>
      </c>
      <c r="M633" s="139"/>
      <c r="N633" s="131">
        <f t="shared" si="39"/>
        <v>0</v>
      </c>
      <c r="O633" s="140" t="s">
        <v>625</v>
      </c>
      <c r="P633" s="184" t="s">
        <v>183</v>
      </c>
      <c r="Q633" s="89" t="s">
        <v>51</v>
      </c>
    </row>
    <row r="634" s="86" customFormat="1" spans="1:16">
      <c r="A634" s="111">
        <v>45839</v>
      </c>
      <c r="B634" s="138" t="s">
        <v>491</v>
      </c>
      <c r="C634" s="113" t="s">
        <v>626</v>
      </c>
      <c r="D634" s="112" t="s">
        <v>568</v>
      </c>
      <c r="E634" s="112" t="s">
        <v>627</v>
      </c>
      <c r="F634" s="151">
        <v>45824</v>
      </c>
      <c r="G634" s="112" t="s">
        <v>55</v>
      </c>
      <c r="H634" s="112" t="s">
        <v>21</v>
      </c>
      <c r="I634" s="130">
        <v>4872</v>
      </c>
      <c r="J634" s="130">
        <v>0</v>
      </c>
      <c r="K634" s="130">
        <v>4872</v>
      </c>
      <c r="L634" s="130">
        <v>4872</v>
      </c>
      <c r="M634" s="130"/>
      <c r="N634" s="131">
        <f t="shared" si="39"/>
        <v>0</v>
      </c>
      <c r="O634" s="132" t="s">
        <v>127</v>
      </c>
      <c r="P634" s="167"/>
    </row>
    <row r="635" s="86" customFormat="1" spans="1:16">
      <c r="A635" s="111">
        <v>45839</v>
      </c>
      <c r="B635" s="138" t="s">
        <v>491</v>
      </c>
      <c r="C635" s="113" t="s">
        <v>626</v>
      </c>
      <c r="D635" s="112" t="s">
        <v>568</v>
      </c>
      <c r="E635" s="112" t="s">
        <v>627</v>
      </c>
      <c r="F635" s="151">
        <v>45824</v>
      </c>
      <c r="G635" s="112" t="s">
        <v>55</v>
      </c>
      <c r="H635" s="112" t="s">
        <v>23</v>
      </c>
      <c r="I635" s="130">
        <v>4060</v>
      </c>
      <c r="J635" s="130">
        <v>0</v>
      </c>
      <c r="K635" s="130">
        <v>4060</v>
      </c>
      <c r="L635" s="130">
        <v>4060</v>
      </c>
      <c r="M635" s="130"/>
      <c r="N635" s="131">
        <f t="shared" si="39"/>
        <v>0</v>
      </c>
      <c r="O635" s="132" t="s">
        <v>127</v>
      </c>
      <c r="P635" s="167"/>
    </row>
    <row r="636" s="88" customFormat="1" spans="1:16">
      <c r="A636" s="122">
        <v>45901</v>
      </c>
      <c r="B636" s="138" t="s">
        <v>491</v>
      </c>
      <c r="C636" s="119" t="s">
        <v>626</v>
      </c>
      <c r="D636" s="138" t="s">
        <v>568</v>
      </c>
      <c r="E636" s="138" t="s">
        <v>627</v>
      </c>
      <c r="F636" s="151">
        <v>45916</v>
      </c>
      <c r="G636" s="138" t="s">
        <v>241</v>
      </c>
      <c r="H636" s="138" t="s">
        <v>23</v>
      </c>
      <c r="I636" s="131">
        <v>12180</v>
      </c>
      <c r="J636" s="139">
        <v>0</v>
      </c>
      <c r="K636" s="131">
        <v>12180</v>
      </c>
      <c r="L636" s="139">
        <f>K636</f>
        <v>12180</v>
      </c>
      <c r="M636" s="139"/>
      <c r="N636" s="131">
        <f t="shared" si="39"/>
        <v>0</v>
      </c>
      <c r="O636" s="169" t="s">
        <v>628</v>
      </c>
      <c r="P636" s="167" t="s">
        <v>249</v>
      </c>
    </row>
    <row r="637" s="88" customFormat="1" spans="1:16">
      <c r="A637" s="122">
        <v>45901</v>
      </c>
      <c r="B637" s="138" t="s">
        <v>491</v>
      </c>
      <c r="C637" s="119" t="s">
        <v>626</v>
      </c>
      <c r="D637" s="138" t="s">
        <v>568</v>
      </c>
      <c r="E637" s="138" t="s">
        <v>627</v>
      </c>
      <c r="F637" s="151">
        <v>45916</v>
      </c>
      <c r="G637" s="138" t="s">
        <v>241</v>
      </c>
      <c r="H637" s="112" t="s">
        <v>21</v>
      </c>
      <c r="I637" s="131">
        <v>14616</v>
      </c>
      <c r="J637" s="139">
        <v>0</v>
      </c>
      <c r="K637" s="131">
        <v>14616</v>
      </c>
      <c r="L637" s="139">
        <f>K637</f>
        <v>14616</v>
      </c>
      <c r="M637" s="139"/>
      <c r="N637" s="131">
        <f t="shared" si="39"/>
        <v>0</v>
      </c>
      <c r="O637" s="169" t="s">
        <v>629</v>
      </c>
      <c r="P637" s="167" t="s">
        <v>249</v>
      </c>
    </row>
    <row r="638" s="88" customFormat="1" spans="1:16">
      <c r="A638" s="118">
        <v>45931</v>
      </c>
      <c r="B638" s="138" t="s">
        <v>491</v>
      </c>
      <c r="C638" s="119" t="s">
        <v>626</v>
      </c>
      <c r="D638" s="114" t="s">
        <v>568</v>
      </c>
      <c r="E638" s="114" t="s">
        <v>627</v>
      </c>
      <c r="F638" s="151">
        <v>45946</v>
      </c>
      <c r="G638" s="114" t="s">
        <v>98</v>
      </c>
      <c r="H638" s="114" t="s">
        <v>23</v>
      </c>
      <c r="I638" s="131">
        <v>4060</v>
      </c>
      <c r="J638" s="131"/>
      <c r="K638" s="136">
        <v>4060</v>
      </c>
      <c r="L638" s="136">
        <v>4060</v>
      </c>
      <c r="M638" s="136"/>
      <c r="N638" s="131">
        <f t="shared" si="39"/>
        <v>0</v>
      </c>
      <c r="O638" s="137" t="s">
        <v>572</v>
      </c>
      <c r="P638" s="138"/>
    </row>
    <row r="639" s="88" customFormat="1" spans="1:16">
      <c r="A639" s="118">
        <v>45931</v>
      </c>
      <c r="B639" s="138" t="s">
        <v>491</v>
      </c>
      <c r="C639" s="119" t="s">
        <v>626</v>
      </c>
      <c r="D639" s="114" t="s">
        <v>568</v>
      </c>
      <c r="E639" s="114" t="s">
        <v>627</v>
      </c>
      <c r="F639" s="151">
        <v>45946</v>
      </c>
      <c r="G639" s="114" t="s">
        <v>26</v>
      </c>
      <c r="H639" s="114" t="s">
        <v>23</v>
      </c>
      <c r="I639" s="131">
        <v>4060</v>
      </c>
      <c r="J639" s="131"/>
      <c r="K639" s="136">
        <v>4060</v>
      </c>
      <c r="L639" s="136">
        <v>4060</v>
      </c>
      <c r="M639" s="136"/>
      <c r="N639" s="131">
        <f t="shared" si="39"/>
        <v>0</v>
      </c>
      <c r="O639" s="137" t="s">
        <v>573</v>
      </c>
      <c r="P639" s="138"/>
    </row>
    <row r="640" s="88" customFormat="1" spans="1:16">
      <c r="A640" s="118">
        <v>45931</v>
      </c>
      <c r="B640" s="138" t="s">
        <v>491</v>
      </c>
      <c r="C640" s="119" t="s">
        <v>626</v>
      </c>
      <c r="D640" s="114" t="s">
        <v>568</v>
      </c>
      <c r="E640" s="114" t="s">
        <v>627</v>
      </c>
      <c r="F640" s="151">
        <v>45946</v>
      </c>
      <c r="G640" s="114" t="s">
        <v>28</v>
      </c>
      <c r="H640" s="114" t="s">
        <v>23</v>
      </c>
      <c r="I640" s="131">
        <v>4060</v>
      </c>
      <c r="J640" s="131"/>
      <c r="K640" s="136">
        <v>4060</v>
      </c>
      <c r="L640" s="136">
        <v>4060</v>
      </c>
      <c r="M640" s="136"/>
      <c r="N640" s="131">
        <f t="shared" si="39"/>
        <v>0</v>
      </c>
      <c r="O640" s="137" t="s">
        <v>574</v>
      </c>
      <c r="P640" s="138"/>
    </row>
    <row r="641" s="88" customFormat="1" spans="1:16">
      <c r="A641" s="118">
        <v>45931</v>
      </c>
      <c r="B641" s="138" t="s">
        <v>491</v>
      </c>
      <c r="C641" s="119" t="s">
        <v>626</v>
      </c>
      <c r="D641" s="114" t="s">
        <v>568</v>
      </c>
      <c r="E641" s="114" t="s">
        <v>627</v>
      </c>
      <c r="F641" s="151">
        <v>45946</v>
      </c>
      <c r="G641" s="114" t="s">
        <v>98</v>
      </c>
      <c r="H641" s="112" t="s">
        <v>21</v>
      </c>
      <c r="I641" s="131">
        <v>4872</v>
      </c>
      <c r="J641" s="131"/>
      <c r="K641" s="136">
        <v>4872</v>
      </c>
      <c r="L641" s="136">
        <v>4872</v>
      </c>
      <c r="M641" s="136"/>
      <c r="N641" s="131">
        <f t="shared" si="39"/>
        <v>0</v>
      </c>
      <c r="O641" s="137" t="s">
        <v>572</v>
      </c>
      <c r="P641" s="138"/>
    </row>
    <row r="642" s="88" customFormat="1" spans="1:16">
      <c r="A642" s="118">
        <v>45931</v>
      </c>
      <c r="B642" s="138" t="s">
        <v>491</v>
      </c>
      <c r="C642" s="119" t="s">
        <v>626</v>
      </c>
      <c r="D642" s="114" t="s">
        <v>568</v>
      </c>
      <c r="E642" s="114" t="s">
        <v>627</v>
      </c>
      <c r="F642" s="151">
        <v>45946</v>
      </c>
      <c r="G642" s="114" t="s">
        <v>26</v>
      </c>
      <c r="H642" s="112" t="s">
        <v>21</v>
      </c>
      <c r="I642" s="131">
        <v>4872</v>
      </c>
      <c r="J642" s="131"/>
      <c r="K642" s="136">
        <v>4872</v>
      </c>
      <c r="L642" s="136">
        <v>4872</v>
      </c>
      <c r="M642" s="136"/>
      <c r="N642" s="131">
        <f t="shared" si="39"/>
        <v>0</v>
      </c>
      <c r="O642" s="137" t="s">
        <v>573</v>
      </c>
      <c r="P642" s="138"/>
    </row>
    <row r="643" s="88" customFormat="1" spans="1:16">
      <c r="A643" s="118">
        <v>45931</v>
      </c>
      <c r="B643" s="138" t="s">
        <v>491</v>
      </c>
      <c r="C643" s="119" t="s">
        <v>626</v>
      </c>
      <c r="D643" s="114" t="s">
        <v>568</v>
      </c>
      <c r="E643" s="114" t="s">
        <v>627</v>
      </c>
      <c r="F643" s="151">
        <v>45946</v>
      </c>
      <c r="G643" s="114" t="s">
        <v>28</v>
      </c>
      <c r="H643" s="112" t="s">
        <v>21</v>
      </c>
      <c r="I643" s="131">
        <v>4872</v>
      </c>
      <c r="J643" s="131"/>
      <c r="K643" s="136">
        <v>4872</v>
      </c>
      <c r="L643" s="136">
        <v>4872</v>
      </c>
      <c r="M643" s="136"/>
      <c r="N643" s="131">
        <f t="shared" ref="N643:N706" si="43">K643-L643</f>
        <v>0</v>
      </c>
      <c r="O643" s="137" t="s">
        <v>574</v>
      </c>
      <c r="P643" s="138"/>
    </row>
    <row r="644" s="89" customFormat="1" spans="1:16">
      <c r="A644" s="122">
        <v>45901</v>
      </c>
      <c r="B644" s="165" t="s">
        <v>630</v>
      </c>
      <c r="C644" s="165" t="s">
        <v>631</v>
      </c>
      <c r="D644" s="186" t="s">
        <v>632</v>
      </c>
      <c r="E644" s="141" t="s">
        <v>633</v>
      </c>
      <c r="F644" s="151">
        <v>45916</v>
      </c>
      <c r="G644" s="141" t="s">
        <v>634</v>
      </c>
      <c r="H644" s="141" t="s">
        <v>23</v>
      </c>
      <c r="I644" s="139">
        <v>18420</v>
      </c>
      <c r="J644" s="139">
        <v>0</v>
      </c>
      <c r="K644" s="139">
        <v>18420</v>
      </c>
      <c r="L644" s="139">
        <v>18420</v>
      </c>
      <c r="M644" s="139"/>
      <c r="N644" s="131">
        <f t="shared" si="43"/>
        <v>0</v>
      </c>
      <c r="O644" s="140" t="s">
        <v>50</v>
      </c>
      <c r="P644" s="167" t="s">
        <v>167</v>
      </c>
    </row>
    <row r="645" s="89" customFormat="1" spans="1:17">
      <c r="A645" s="122">
        <v>45901</v>
      </c>
      <c r="B645" s="165" t="s">
        <v>630</v>
      </c>
      <c r="C645" s="165" t="s">
        <v>631</v>
      </c>
      <c r="D645" s="186" t="s">
        <v>632</v>
      </c>
      <c r="E645" s="141" t="s">
        <v>633</v>
      </c>
      <c r="F645" s="151">
        <v>45916</v>
      </c>
      <c r="G645" s="141" t="s">
        <v>635</v>
      </c>
      <c r="H645" s="141" t="s">
        <v>23</v>
      </c>
      <c r="I645" s="139">
        <v>18420</v>
      </c>
      <c r="J645" s="139">
        <v>0</v>
      </c>
      <c r="K645" s="139">
        <f t="shared" ref="K645:K651" si="44">I645-J645</f>
        <v>18420</v>
      </c>
      <c r="L645" s="139">
        <v>18420</v>
      </c>
      <c r="M645" s="139"/>
      <c r="N645" s="131">
        <f t="shared" si="43"/>
        <v>0</v>
      </c>
      <c r="O645" s="140" t="s">
        <v>61</v>
      </c>
      <c r="P645" s="167"/>
      <c r="Q645" s="89" t="s">
        <v>51</v>
      </c>
    </row>
    <row r="646" s="89" customFormat="1" spans="1:16">
      <c r="A646" s="122">
        <v>45901</v>
      </c>
      <c r="B646" s="165" t="s">
        <v>630</v>
      </c>
      <c r="C646" s="165" t="s">
        <v>631</v>
      </c>
      <c r="D646" s="186" t="s">
        <v>632</v>
      </c>
      <c r="E646" s="141" t="s">
        <v>633</v>
      </c>
      <c r="F646" s="151">
        <v>45916</v>
      </c>
      <c r="G646" s="141" t="s">
        <v>634</v>
      </c>
      <c r="H646" s="112" t="s">
        <v>21</v>
      </c>
      <c r="I646" s="139">
        <v>13345.29</v>
      </c>
      <c r="J646" s="139">
        <v>0</v>
      </c>
      <c r="K646" s="139">
        <v>13345.29</v>
      </c>
      <c r="L646" s="139">
        <f>10000+3345.29</f>
        <v>13345.29</v>
      </c>
      <c r="M646" s="139"/>
      <c r="N646" s="131">
        <f t="shared" si="43"/>
        <v>0</v>
      </c>
      <c r="O646" s="140" t="s">
        <v>636</v>
      </c>
      <c r="P646" s="167" t="s">
        <v>167</v>
      </c>
    </row>
    <row r="647" s="89" customFormat="1" spans="1:17">
      <c r="A647" s="122">
        <v>45901</v>
      </c>
      <c r="B647" s="165" t="s">
        <v>630</v>
      </c>
      <c r="C647" s="165" t="s">
        <v>631</v>
      </c>
      <c r="D647" s="186" t="s">
        <v>632</v>
      </c>
      <c r="E647" s="141" t="s">
        <v>633</v>
      </c>
      <c r="F647" s="151">
        <v>45916</v>
      </c>
      <c r="G647" s="141" t="s">
        <v>635</v>
      </c>
      <c r="H647" s="112" t="s">
        <v>21</v>
      </c>
      <c r="I647" s="139">
        <v>13345.29</v>
      </c>
      <c r="J647" s="139">
        <v>0</v>
      </c>
      <c r="K647" s="139">
        <f t="shared" si="44"/>
        <v>13345.29</v>
      </c>
      <c r="L647" s="139">
        <v>13345.29</v>
      </c>
      <c r="M647" s="139"/>
      <c r="N647" s="131">
        <f t="shared" si="43"/>
        <v>0</v>
      </c>
      <c r="O647" s="140" t="s">
        <v>61</v>
      </c>
      <c r="P647" s="167"/>
      <c r="Q647" s="89" t="s">
        <v>51</v>
      </c>
    </row>
    <row r="648" s="86" customFormat="1" spans="1:16">
      <c r="A648" s="111">
        <v>45839</v>
      </c>
      <c r="B648" s="112" t="s">
        <v>630</v>
      </c>
      <c r="C648" s="113" t="s">
        <v>637</v>
      </c>
      <c r="D648" s="112" t="s">
        <v>638</v>
      </c>
      <c r="E648" s="112" t="s">
        <v>639</v>
      </c>
      <c r="F648" s="151">
        <v>45838</v>
      </c>
      <c r="G648" s="112" t="s">
        <v>46</v>
      </c>
      <c r="H648" s="112" t="s">
        <v>23</v>
      </c>
      <c r="I648" s="130">
        <v>28140</v>
      </c>
      <c r="J648" s="130">
        <v>0</v>
      </c>
      <c r="K648" s="130">
        <v>28140</v>
      </c>
      <c r="L648" s="130">
        <v>28140</v>
      </c>
      <c r="M648" s="130"/>
      <c r="N648" s="131">
        <f t="shared" si="43"/>
        <v>0</v>
      </c>
      <c r="O648" s="132" t="s">
        <v>133</v>
      </c>
      <c r="P648" s="112"/>
    </row>
    <row r="649" s="86" customFormat="1" spans="1:16">
      <c r="A649" s="111">
        <v>45839</v>
      </c>
      <c r="B649" s="112" t="s">
        <v>630</v>
      </c>
      <c r="C649" s="113" t="s">
        <v>637</v>
      </c>
      <c r="D649" s="112" t="s">
        <v>638</v>
      </c>
      <c r="E649" s="112" t="s">
        <v>639</v>
      </c>
      <c r="F649" s="151">
        <v>45838</v>
      </c>
      <c r="G649" s="112" t="s">
        <v>46</v>
      </c>
      <c r="H649" s="112" t="s">
        <v>21</v>
      </c>
      <c r="I649" s="130">
        <v>53691.12</v>
      </c>
      <c r="J649" s="130">
        <v>0</v>
      </c>
      <c r="K649" s="130">
        <v>53691.12</v>
      </c>
      <c r="L649" s="130">
        <v>53691.12</v>
      </c>
      <c r="M649" s="130"/>
      <c r="N649" s="131">
        <f t="shared" si="43"/>
        <v>0</v>
      </c>
      <c r="O649" s="132" t="s">
        <v>133</v>
      </c>
      <c r="P649" s="112"/>
    </row>
    <row r="650" s="89" customFormat="1" spans="1:17">
      <c r="A650" s="122">
        <v>45901</v>
      </c>
      <c r="B650" s="116" t="s">
        <v>630</v>
      </c>
      <c r="C650" s="78" t="s">
        <v>637</v>
      </c>
      <c r="D650" s="116" t="s">
        <v>638</v>
      </c>
      <c r="E650" s="116" t="s">
        <v>639</v>
      </c>
      <c r="F650" s="151">
        <v>45930</v>
      </c>
      <c r="G650" s="116" t="s">
        <v>86</v>
      </c>
      <c r="H650" s="116" t="s">
        <v>23</v>
      </c>
      <c r="I650" s="139">
        <v>28140</v>
      </c>
      <c r="J650" s="139">
        <v>0</v>
      </c>
      <c r="K650" s="139">
        <f t="shared" si="44"/>
        <v>28140</v>
      </c>
      <c r="L650" s="139">
        <v>28140</v>
      </c>
      <c r="M650" s="139"/>
      <c r="N650" s="131">
        <f t="shared" si="43"/>
        <v>0</v>
      </c>
      <c r="O650" s="140" t="s">
        <v>190</v>
      </c>
      <c r="P650" s="141"/>
      <c r="Q650" s="89" t="s">
        <v>51</v>
      </c>
    </row>
    <row r="651" s="89" customFormat="1" spans="1:17">
      <c r="A651" s="122">
        <v>45901</v>
      </c>
      <c r="B651" s="116" t="s">
        <v>630</v>
      </c>
      <c r="C651" s="78" t="s">
        <v>637</v>
      </c>
      <c r="D651" s="116" t="s">
        <v>638</v>
      </c>
      <c r="E651" s="116" t="s">
        <v>639</v>
      </c>
      <c r="F651" s="151">
        <v>45930</v>
      </c>
      <c r="G651" s="116" t="s">
        <v>86</v>
      </c>
      <c r="H651" s="112" t="s">
        <v>21</v>
      </c>
      <c r="I651" s="139">
        <v>53691.12</v>
      </c>
      <c r="J651" s="139">
        <v>0</v>
      </c>
      <c r="K651" s="139">
        <f t="shared" si="44"/>
        <v>53691.12</v>
      </c>
      <c r="L651" s="139">
        <f>23691.12+30000</f>
        <v>53691.12</v>
      </c>
      <c r="M651" s="139"/>
      <c r="N651" s="131">
        <f t="shared" si="43"/>
        <v>0</v>
      </c>
      <c r="O651" s="140" t="s">
        <v>640</v>
      </c>
      <c r="P651" s="141"/>
      <c r="Q651" s="89" t="s">
        <v>51</v>
      </c>
    </row>
    <row r="652" s="86" customFormat="1" spans="1:16">
      <c r="A652" s="111">
        <v>45839</v>
      </c>
      <c r="B652" s="112" t="s">
        <v>630</v>
      </c>
      <c r="C652" s="113" t="s">
        <v>641</v>
      </c>
      <c r="D652" s="112" t="s">
        <v>638</v>
      </c>
      <c r="E652" s="112" t="s">
        <v>639</v>
      </c>
      <c r="F652" s="151">
        <v>45824</v>
      </c>
      <c r="G652" s="112" t="s">
        <v>46</v>
      </c>
      <c r="H652" s="112" t="s">
        <v>21</v>
      </c>
      <c r="I652" s="130">
        <v>15963.6</v>
      </c>
      <c r="J652" s="130">
        <v>0</v>
      </c>
      <c r="K652" s="130">
        <v>15963.6</v>
      </c>
      <c r="L652" s="130">
        <v>15963.6</v>
      </c>
      <c r="M652" s="130"/>
      <c r="N652" s="131">
        <f t="shared" si="43"/>
        <v>0</v>
      </c>
      <c r="O652" s="132" t="s">
        <v>133</v>
      </c>
      <c r="P652" s="112"/>
    </row>
    <row r="653" s="86" customFormat="1" spans="1:16">
      <c r="A653" s="111">
        <v>45839</v>
      </c>
      <c r="B653" s="112" t="s">
        <v>630</v>
      </c>
      <c r="C653" s="113" t="s">
        <v>641</v>
      </c>
      <c r="D653" s="112" t="s">
        <v>638</v>
      </c>
      <c r="E653" s="112" t="s">
        <v>639</v>
      </c>
      <c r="F653" s="151">
        <v>45824</v>
      </c>
      <c r="G653" s="112" t="s">
        <v>46</v>
      </c>
      <c r="H653" s="112" t="s">
        <v>23</v>
      </c>
      <c r="I653" s="130">
        <v>11295</v>
      </c>
      <c r="J653" s="130">
        <v>0</v>
      </c>
      <c r="K653" s="130">
        <v>11295</v>
      </c>
      <c r="L653" s="130">
        <v>11295</v>
      </c>
      <c r="M653" s="130"/>
      <c r="N653" s="131">
        <f t="shared" si="43"/>
        <v>0</v>
      </c>
      <c r="O653" s="132" t="s">
        <v>133</v>
      </c>
      <c r="P653" s="112"/>
    </row>
    <row r="654" s="89" customFormat="1" spans="1:17">
      <c r="A654" s="122">
        <v>45901</v>
      </c>
      <c r="B654" s="116" t="s">
        <v>630</v>
      </c>
      <c r="C654" s="78" t="s">
        <v>641</v>
      </c>
      <c r="D654" s="116" t="s">
        <v>638</v>
      </c>
      <c r="E654" s="116" t="s">
        <v>639</v>
      </c>
      <c r="F654" s="151">
        <v>45916</v>
      </c>
      <c r="G654" s="116" t="s">
        <v>86</v>
      </c>
      <c r="H654" s="116" t="s">
        <v>23</v>
      </c>
      <c r="I654" s="139">
        <v>11295</v>
      </c>
      <c r="J654" s="139">
        <v>0</v>
      </c>
      <c r="K654" s="139">
        <f t="shared" ref="K654:K659" si="45">I654-J654</f>
        <v>11295</v>
      </c>
      <c r="L654" s="139">
        <v>11295</v>
      </c>
      <c r="M654" s="139"/>
      <c r="N654" s="131">
        <f t="shared" si="43"/>
        <v>0</v>
      </c>
      <c r="O654" s="140" t="s">
        <v>190</v>
      </c>
      <c r="P654" s="141"/>
      <c r="Q654" s="89" t="s">
        <v>51</v>
      </c>
    </row>
    <row r="655" s="89" customFormat="1" spans="1:17">
      <c r="A655" s="122">
        <v>45901</v>
      </c>
      <c r="B655" s="116" t="s">
        <v>630</v>
      </c>
      <c r="C655" s="78" t="s">
        <v>641</v>
      </c>
      <c r="D655" s="116" t="s">
        <v>638</v>
      </c>
      <c r="E655" s="116" t="s">
        <v>639</v>
      </c>
      <c r="F655" s="151">
        <v>45916</v>
      </c>
      <c r="G655" s="116" t="s">
        <v>86</v>
      </c>
      <c r="H655" s="112" t="s">
        <v>21</v>
      </c>
      <c r="I655" s="139">
        <v>15963.6</v>
      </c>
      <c r="J655" s="139">
        <v>0</v>
      </c>
      <c r="K655" s="139">
        <f t="shared" si="45"/>
        <v>15963.6</v>
      </c>
      <c r="L655" s="139">
        <v>15963.6</v>
      </c>
      <c r="M655" s="139"/>
      <c r="N655" s="131">
        <f t="shared" si="43"/>
        <v>0</v>
      </c>
      <c r="O655" s="140" t="s">
        <v>190</v>
      </c>
      <c r="P655" s="141"/>
      <c r="Q655" s="89" t="s">
        <v>51</v>
      </c>
    </row>
    <row r="656" s="86" customFormat="1" spans="1:16">
      <c r="A656" s="111">
        <v>45839</v>
      </c>
      <c r="B656" s="112" t="s">
        <v>630</v>
      </c>
      <c r="C656" s="113" t="s">
        <v>642</v>
      </c>
      <c r="D656" s="112" t="s">
        <v>643</v>
      </c>
      <c r="E656" s="112" t="s">
        <v>644</v>
      </c>
      <c r="F656" s="151">
        <v>45824</v>
      </c>
      <c r="G656" s="112" t="s">
        <v>645</v>
      </c>
      <c r="H656" s="112" t="s">
        <v>21</v>
      </c>
      <c r="I656" s="130">
        <v>2045.75</v>
      </c>
      <c r="J656" s="130">
        <v>0</v>
      </c>
      <c r="K656" s="130">
        <v>2045.75</v>
      </c>
      <c r="L656" s="130">
        <v>2045.75</v>
      </c>
      <c r="M656" s="130"/>
      <c r="N656" s="131">
        <f t="shared" si="43"/>
        <v>0</v>
      </c>
      <c r="O656" s="132" t="s">
        <v>209</v>
      </c>
      <c r="P656" s="112"/>
    </row>
    <row r="657" s="86" customFormat="1" spans="1:16">
      <c r="A657" s="111">
        <v>45839</v>
      </c>
      <c r="B657" s="112" t="s">
        <v>630</v>
      </c>
      <c r="C657" s="113" t="s">
        <v>642</v>
      </c>
      <c r="D657" s="112" t="s">
        <v>643</v>
      </c>
      <c r="E657" s="171" t="s">
        <v>644</v>
      </c>
      <c r="F657" s="151">
        <v>45824</v>
      </c>
      <c r="G657" s="171" t="s">
        <v>645</v>
      </c>
      <c r="H657" s="112" t="s">
        <v>23</v>
      </c>
      <c r="I657" s="130">
        <v>818.3</v>
      </c>
      <c r="J657" s="130">
        <v>0</v>
      </c>
      <c r="K657" s="130">
        <v>818.3</v>
      </c>
      <c r="L657" s="130">
        <v>818.3</v>
      </c>
      <c r="M657" s="130"/>
      <c r="N657" s="131">
        <f t="shared" si="43"/>
        <v>0</v>
      </c>
      <c r="O657" s="220" t="s">
        <v>209</v>
      </c>
      <c r="P657" s="112"/>
    </row>
    <row r="658" s="87" customFormat="1" spans="1:16">
      <c r="A658" s="111">
        <v>45870</v>
      </c>
      <c r="B658" s="116" t="s">
        <v>630</v>
      </c>
      <c r="C658" s="78" t="s">
        <v>646</v>
      </c>
      <c r="D658" s="116" t="s">
        <v>643</v>
      </c>
      <c r="E658" s="116" t="s">
        <v>647</v>
      </c>
      <c r="F658" s="151">
        <v>45900</v>
      </c>
      <c r="G658" s="116" t="s">
        <v>110</v>
      </c>
      <c r="H658" s="112" t="s">
        <v>21</v>
      </c>
      <c r="I658" s="133">
        <v>33152.74</v>
      </c>
      <c r="J658" s="133">
        <v>0</v>
      </c>
      <c r="K658" s="133">
        <f t="shared" si="45"/>
        <v>33152.74</v>
      </c>
      <c r="L658" s="133">
        <f>25*499+12475+8202.74</f>
        <v>33152.74</v>
      </c>
      <c r="M658" s="133"/>
      <c r="N658" s="131">
        <f t="shared" si="43"/>
        <v>0</v>
      </c>
      <c r="O658" s="134" t="s">
        <v>648</v>
      </c>
      <c r="P658" s="135"/>
    </row>
    <row r="659" s="87" customFormat="1" spans="1:16">
      <c r="A659" s="111">
        <v>45870</v>
      </c>
      <c r="B659" s="116" t="s">
        <v>630</v>
      </c>
      <c r="C659" s="78" t="s">
        <v>646</v>
      </c>
      <c r="D659" s="116" t="s">
        <v>643</v>
      </c>
      <c r="E659" s="116" t="s">
        <v>647</v>
      </c>
      <c r="F659" s="151">
        <v>45900</v>
      </c>
      <c r="G659" s="116" t="s">
        <v>110</v>
      </c>
      <c r="H659" s="116" t="s">
        <v>23</v>
      </c>
      <c r="I659" s="133">
        <v>19891.64</v>
      </c>
      <c r="J659" s="133">
        <v>0</v>
      </c>
      <c r="K659" s="133">
        <f t="shared" si="45"/>
        <v>19891.64</v>
      </c>
      <c r="L659" s="133">
        <v>19891.64</v>
      </c>
      <c r="M659" s="133"/>
      <c r="N659" s="131">
        <f t="shared" si="43"/>
        <v>0</v>
      </c>
      <c r="O659" s="216" t="s">
        <v>555</v>
      </c>
      <c r="P659" s="135"/>
    </row>
    <row r="660" s="86" customFormat="1" spans="1:16">
      <c r="A660" s="111">
        <v>45839</v>
      </c>
      <c r="B660" s="112" t="s">
        <v>630</v>
      </c>
      <c r="C660" s="113" t="s">
        <v>649</v>
      </c>
      <c r="D660" s="112" t="s">
        <v>650</v>
      </c>
      <c r="E660" s="112" t="s">
        <v>651</v>
      </c>
      <c r="F660" s="151">
        <v>45824</v>
      </c>
      <c r="G660" s="112" t="s">
        <v>46</v>
      </c>
      <c r="H660" s="112" t="s">
        <v>23</v>
      </c>
      <c r="I660" s="130">
        <v>14130</v>
      </c>
      <c r="J660" s="130">
        <v>0</v>
      </c>
      <c r="K660" s="130">
        <v>14130</v>
      </c>
      <c r="L660" s="130">
        <v>14130</v>
      </c>
      <c r="M660" s="130"/>
      <c r="N660" s="131">
        <f t="shared" si="43"/>
        <v>0</v>
      </c>
      <c r="O660" s="132" t="s">
        <v>325</v>
      </c>
      <c r="P660" s="112"/>
    </row>
    <row r="661" s="86" customFormat="1" spans="1:16">
      <c r="A661" s="111">
        <v>45839</v>
      </c>
      <c r="B661" s="112" t="s">
        <v>630</v>
      </c>
      <c r="C661" s="113" t="s">
        <v>649</v>
      </c>
      <c r="D661" s="112" t="s">
        <v>650</v>
      </c>
      <c r="E661" s="112" t="s">
        <v>651</v>
      </c>
      <c r="F661" s="151">
        <v>45824</v>
      </c>
      <c r="G661" s="112" t="s">
        <v>46</v>
      </c>
      <c r="H661" s="112" t="s">
        <v>21</v>
      </c>
      <c r="I661" s="130">
        <v>23550</v>
      </c>
      <c r="J661" s="130">
        <v>0</v>
      </c>
      <c r="K661" s="130">
        <v>23550</v>
      </c>
      <c r="L661" s="130">
        <v>23550</v>
      </c>
      <c r="M661" s="130"/>
      <c r="N661" s="131">
        <f t="shared" si="43"/>
        <v>0</v>
      </c>
      <c r="O661" s="132" t="s">
        <v>325</v>
      </c>
      <c r="P661" s="112"/>
    </row>
    <row r="662" s="89" customFormat="1" spans="1:17">
      <c r="A662" s="122">
        <v>45901</v>
      </c>
      <c r="B662" s="116" t="s">
        <v>630</v>
      </c>
      <c r="C662" s="78" t="s">
        <v>649</v>
      </c>
      <c r="D662" s="116" t="s">
        <v>650</v>
      </c>
      <c r="E662" s="116" t="s">
        <v>651</v>
      </c>
      <c r="F662" s="151">
        <v>45916</v>
      </c>
      <c r="G662" s="116" t="s">
        <v>122</v>
      </c>
      <c r="H662" s="116" t="s">
        <v>23</v>
      </c>
      <c r="I662" s="139">
        <v>7806.99</v>
      </c>
      <c r="J662" s="139">
        <v>0</v>
      </c>
      <c r="K662" s="139">
        <f t="shared" ref="K662:K667" si="46">I662-J662</f>
        <v>7806.99</v>
      </c>
      <c r="L662" s="139">
        <v>7806.99</v>
      </c>
      <c r="M662" s="139"/>
      <c r="N662" s="131">
        <f t="shared" si="43"/>
        <v>0</v>
      </c>
      <c r="O662" s="140" t="s">
        <v>652</v>
      </c>
      <c r="P662" s="141"/>
      <c r="Q662" s="89" t="s">
        <v>51</v>
      </c>
    </row>
    <row r="663" s="89" customFormat="1" spans="1:17">
      <c r="A663" s="122">
        <v>45901</v>
      </c>
      <c r="B663" s="116" t="s">
        <v>630</v>
      </c>
      <c r="C663" s="78" t="s">
        <v>649</v>
      </c>
      <c r="D663" s="116" t="s">
        <v>650</v>
      </c>
      <c r="E663" s="116" t="s">
        <v>651</v>
      </c>
      <c r="F663" s="151">
        <v>45916</v>
      </c>
      <c r="G663" s="116" t="s">
        <v>122</v>
      </c>
      <c r="H663" s="112" t="s">
        <v>21</v>
      </c>
      <c r="I663" s="139">
        <v>13011.64</v>
      </c>
      <c r="J663" s="139">
        <v>0</v>
      </c>
      <c r="K663" s="139">
        <f t="shared" si="46"/>
        <v>13011.64</v>
      </c>
      <c r="L663" s="139">
        <v>13011.64</v>
      </c>
      <c r="M663" s="139"/>
      <c r="N663" s="131">
        <f t="shared" si="43"/>
        <v>0</v>
      </c>
      <c r="O663" s="140" t="s">
        <v>652</v>
      </c>
      <c r="P663" s="141"/>
      <c r="Q663" s="89" t="s">
        <v>51</v>
      </c>
    </row>
    <row r="664" s="95" customFormat="1" spans="1:16">
      <c r="A664" s="200">
        <v>45839</v>
      </c>
      <c r="B664" s="199" t="s">
        <v>630</v>
      </c>
      <c r="C664" s="201" t="s">
        <v>653</v>
      </c>
      <c r="D664" s="199" t="s">
        <v>654</v>
      </c>
      <c r="E664" s="199" t="s">
        <v>655</v>
      </c>
      <c r="F664" s="151">
        <v>45824</v>
      </c>
      <c r="G664" s="199" t="s">
        <v>46</v>
      </c>
      <c r="H664" s="199" t="s">
        <v>21</v>
      </c>
      <c r="I664" s="179">
        <v>10122.45</v>
      </c>
      <c r="J664" s="179">
        <v>0</v>
      </c>
      <c r="K664" s="179">
        <v>10122.45</v>
      </c>
      <c r="L664" s="179">
        <f>10000+122.45</f>
        <v>10122.45</v>
      </c>
      <c r="M664" s="179"/>
      <c r="N664" s="144">
        <f t="shared" si="43"/>
        <v>0</v>
      </c>
      <c r="O664" s="221" t="s">
        <v>656</v>
      </c>
      <c r="P664" s="199"/>
    </row>
    <row r="665" s="95" customFormat="1" spans="1:16">
      <c r="A665" s="200">
        <v>45839</v>
      </c>
      <c r="B665" s="199" t="s">
        <v>630</v>
      </c>
      <c r="C665" s="201" t="s">
        <v>653</v>
      </c>
      <c r="D665" s="199" t="s">
        <v>654</v>
      </c>
      <c r="E665" s="199" t="s">
        <v>655</v>
      </c>
      <c r="F665" s="151">
        <v>45824</v>
      </c>
      <c r="G665" s="199" t="s">
        <v>46</v>
      </c>
      <c r="H665" s="199" t="s">
        <v>23</v>
      </c>
      <c r="I665" s="156">
        <v>10875</v>
      </c>
      <c r="J665" s="156">
        <v>0</v>
      </c>
      <c r="K665" s="156">
        <v>10875</v>
      </c>
      <c r="L665" s="156">
        <f>3877.55+1500+1000+2000+1495+1002.45</f>
        <v>10875</v>
      </c>
      <c r="M665" s="156"/>
      <c r="N665" s="144">
        <f t="shared" si="43"/>
        <v>0</v>
      </c>
      <c r="O665" s="221" t="s">
        <v>657</v>
      </c>
      <c r="P665" s="199"/>
    </row>
    <row r="666" s="90" customFormat="1" spans="1:17">
      <c r="A666" s="145">
        <v>45901</v>
      </c>
      <c r="B666" s="146" t="s">
        <v>630</v>
      </c>
      <c r="C666" s="147" t="s">
        <v>653</v>
      </c>
      <c r="D666" s="146" t="s">
        <v>654</v>
      </c>
      <c r="E666" s="146" t="s">
        <v>655</v>
      </c>
      <c r="F666" s="151">
        <v>45916</v>
      </c>
      <c r="G666" s="146" t="s">
        <v>86</v>
      </c>
      <c r="H666" s="146" t="s">
        <v>23</v>
      </c>
      <c r="I666" s="156">
        <v>10875</v>
      </c>
      <c r="J666" s="156">
        <v>0</v>
      </c>
      <c r="K666" s="156">
        <f t="shared" si="46"/>
        <v>10875</v>
      </c>
      <c r="L666" s="156">
        <f>497.55+3500+5000+1877.45</f>
        <v>10875</v>
      </c>
      <c r="M666" s="156"/>
      <c r="N666" s="144">
        <f t="shared" si="43"/>
        <v>0</v>
      </c>
      <c r="O666" s="157" t="s">
        <v>658</v>
      </c>
      <c r="P666" s="158"/>
      <c r="Q666" s="90" t="s">
        <v>51</v>
      </c>
    </row>
    <row r="667" s="90" customFormat="1" spans="1:17">
      <c r="A667" s="145">
        <v>45901</v>
      </c>
      <c r="B667" s="146" t="s">
        <v>630</v>
      </c>
      <c r="C667" s="147" t="s">
        <v>653</v>
      </c>
      <c r="D667" s="146" t="s">
        <v>654</v>
      </c>
      <c r="E667" s="146" t="s">
        <v>655</v>
      </c>
      <c r="F667" s="151">
        <v>45916</v>
      </c>
      <c r="G667" s="146" t="s">
        <v>86</v>
      </c>
      <c r="H667" s="199" t="s">
        <v>21</v>
      </c>
      <c r="I667" s="156">
        <v>10122.45</v>
      </c>
      <c r="J667" s="156">
        <v>0</v>
      </c>
      <c r="K667" s="156">
        <f t="shared" si="46"/>
        <v>10122.45</v>
      </c>
      <c r="L667" s="156">
        <f>3122.55+2000+3000+1999.9</f>
        <v>10122.45</v>
      </c>
      <c r="M667" s="156"/>
      <c r="N667" s="144">
        <f t="shared" si="43"/>
        <v>0</v>
      </c>
      <c r="O667" s="157" t="s">
        <v>659</v>
      </c>
      <c r="P667" s="158"/>
      <c r="Q667" s="90" t="s">
        <v>51</v>
      </c>
    </row>
    <row r="668" s="86" customFormat="1" spans="1:16">
      <c r="A668" s="111">
        <v>45839</v>
      </c>
      <c r="B668" s="112" t="s">
        <v>630</v>
      </c>
      <c r="C668" s="119" t="s">
        <v>660</v>
      </c>
      <c r="D668" s="112" t="s">
        <v>661</v>
      </c>
      <c r="E668" s="112" t="s">
        <v>662</v>
      </c>
      <c r="F668" s="151">
        <v>45838</v>
      </c>
      <c r="G668" s="112" t="s">
        <v>663</v>
      </c>
      <c r="H668" s="112" t="s">
        <v>21</v>
      </c>
      <c r="I668" s="130">
        <v>13372.9</v>
      </c>
      <c r="J668" s="130">
        <v>0</v>
      </c>
      <c r="K668" s="130">
        <v>13372.9</v>
      </c>
      <c r="L668" s="130">
        <v>13372.9</v>
      </c>
      <c r="M668" s="130"/>
      <c r="N668" s="131">
        <f t="shared" si="43"/>
        <v>0</v>
      </c>
      <c r="O668" s="132" t="s">
        <v>271</v>
      </c>
      <c r="P668" s="112"/>
    </row>
    <row r="669" s="86" customFormat="1" spans="1:16">
      <c r="A669" s="111">
        <v>45839</v>
      </c>
      <c r="B669" s="112" t="s">
        <v>630</v>
      </c>
      <c r="C669" s="119" t="s">
        <v>660</v>
      </c>
      <c r="D669" s="112" t="s">
        <v>661</v>
      </c>
      <c r="E669" s="112" t="s">
        <v>662</v>
      </c>
      <c r="F669" s="151">
        <v>45838</v>
      </c>
      <c r="G669" s="112" t="s">
        <v>663</v>
      </c>
      <c r="H669" s="112" t="s">
        <v>23</v>
      </c>
      <c r="I669" s="130">
        <v>13227.4</v>
      </c>
      <c r="J669" s="130">
        <v>0</v>
      </c>
      <c r="K669" s="130">
        <v>13227.4</v>
      </c>
      <c r="L669" s="130">
        <v>13227.4</v>
      </c>
      <c r="M669" s="130"/>
      <c r="N669" s="131">
        <f t="shared" si="43"/>
        <v>0</v>
      </c>
      <c r="O669" s="132" t="s">
        <v>271</v>
      </c>
      <c r="P669" s="112"/>
    </row>
    <row r="670" s="88" customFormat="1" spans="1:16">
      <c r="A670" s="118">
        <v>45962</v>
      </c>
      <c r="B670" s="112" t="s">
        <v>630</v>
      </c>
      <c r="C670" s="119" t="s">
        <v>660</v>
      </c>
      <c r="D670" s="114" t="s">
        <v>664</v>
      </c>
      <c r="E670" s="114" t="s">
        <v>662</v>
      </c>
      <c r="F670" s="151">
        <v>45987</v>
      </c>
      <c r="G670" s="114" t="s">
        <v>665</v>
      </c>
      <c r="H670" s="114" t="s">
        <v>23</v>
      </c>
      <c r="I670" s="131">
        <v>5680</v>
      </c>
      <c r="J670" s="131"/>
      <c r="K670" s="136">
        <v>5680</v>
      </c>
      <c r="L670" s="136">
        <v>5680</v>
      </c>
      <c r="M670" s="136"/>
      <c r="N670" s="131">
        <f t="shared" si="43"/>
        <v>0</v>
      </c>
      <c r="O670" s="137" t="s">
        <v>666</v>
      </c>
      <c r="P670" s="138"/>
    </row>
    <row r="671" s="88" customFormat="1" spans="1:16">
      <c r="A671" s="118">
        <v>45962</v>
      </c>
      <c r="B671" s="112" t="s">
        <v>630</v>
      </c>
      <c r="C671" s="119" t="s">
        <v>660</v>
      </c>
      <c r="D671" s="114" t="s">
        <v>664</v>
      </c>
      <c r="E671" s="114" t="s">
        <v>662</v>
      </c>
      <c r="F671" s="151">
        <v>45987</v>
      </c>
      <c r="G671" s="114" t="s">
        <v>667</v>
      </c>
      <c r="H671" s="114" t="s">
        <v>23</v>
      </c>
      <c r="I671" s="131">
        <v>5680</v>
      </c>
      <c r="J671" s="131"/>
      <c r="K671" s="136">
        <v>5680</v>
      </c>
      <c r="L671" s="136">
        <v>5680</v>
      </c>
      <c r="M671" s="136"/>
      <c r="N671" s="131">
        <f t="shared" si="43"/>
        <v>0</v>
      </c>
      <c r="O671" s="137" t="s">
        <v>666</v>
      </c>
      <c r="P671" s="138"/>
    </row>
    <row r="672" s="88" customFormat="1" spans="1:16">
      <c r="A672" s="118">
        <v>45962</v>
      </c>
      <c r="B672" s="112" t="s">
        <v>630</v>
      </c>
      <c r="C672" s="119" t="s">
        <v>660</v>
      </c>
      <c r="D672" s="114" t="s">
        <v>664</v>
      </c>
      <c r="E672" s="114" t="s">
        <v>662</v>
      </c>
      <c r="F672" s="151">
        <v>45987</v>
      </c>
      <c r="G672" s="114" t="s">
        <v>668</v>
      </c>
      <c r="H672" s="114" t="s">
        <v>23</v>
      </c>
      <c r="I672" s="131">
        <v>5680</v>
      </c>
      <c r="J672" s="131"/>
      <c r="K672" s="136">
        <v>5680</v>
      </c>
      <c r="L672" s="136">
        <v>5680</v>
      </c>
      <c r="M672" s="136"/>
      <c r="N672" s="131">
        <f t="shared" si="43"/>
        <v>0</v>
      </c>
      <c r="O672" s="137" t="s">
        <v>666</v>
      </c>
      <c r="P672" s="138"/>
    </row>
    <row r="673" s="88" customFormat="1" spans="1:16">
      <c r="A673" s="118">
        <v>45962</v>
      </c>
      <c r="B673" s="112" t="s">
        <v>630</v>
      </c>
      <c r="C673" s="119" t="s">
        <v>660</v>
      </c>
      <c r="D673" s="114" t="s">
        <v>664</v>
      </c>
      <c r="E673" s="114" t="s">
        <v>662</v>
      </c>
      <c r="F673" s="151">
        <v>45987</v>
      </c>
      <c r="G673" s="114" t="s">
        <v>665</v>
      </c>
      <c r="H673" s="112" t="s">
        <v>21</v>
      </c>
      <c r="I673" s="131">
        <v>2840</v>
      </c>
      <c r="J673" s="131"/>
      <c r="K673" s="136">
        <v>2840</v>
      </c>
      <c r="L673" s="136">
        <v>2840</v>
      </c>
      <c r="M673" s="136"/>
      <c r="N673" s="131">
        <f t="shared" si="43"/>
        <v>0</v>
      </c>
      <c r="O673" s="137" t="s">
        <v>666</v>
      </c>
      <c r="P673" s="138"/>
    </row>
    <row r="674" s="88" customFormat="1" spans="1:16">
      <c r="A674" s="118">
        <v>45962</v>
      </c>
      <c r="B674" s="112" t="s">
        <v>630</v>
      </c>
      <c r="C674" s="119" t="s">
        <v>660</v>
      </c>
      <c r="D674" s="114" t="s">
        <v>664</v>
      </c>
      <c r="E674" s="114" t="s">
        <v>662</v>
      </c>
      <c r="F674" s="151">
        <v>45987</v>
      </c>
      <c r="G674" s="114" t="s">
        <v>667</v>
      </c>
      <c r="H674" s="112" t="s">
        <v>21</v>
      </c>
      <c r="I674" s="131">
        <v>2840</v>
      </c>
      <c r="J674" s="131"/>
      <c r="K674" s="136">
        <v>2840</v>
      </c>
      <c r="L674" s="136">
        <v>2840</v>
      </c>
      <c r="M674" s="136"/>
      <c r="N674" s="131">
        <f t="shared" si="43"/>
        <v>0</v>
      </c>
      <c r="O674" s="137" t="s">
        <v>666</v>
      </c>
      <c r="P674" s="138"/>
    </row>
    <row r="675" s="88" customFormat="1" spans="1:16">
      <c r="A675" s="118">
        <v>45962</v>
      </c>
      <c r="B675" s="112" t="s">
        <v>630</v>
      </c>
      <c r="C675" s="119" t="s">
        <v>660</v>
      </c>
      <c r="D675" s="114" t="s">
        <v>664</v>
      </c>
      <c r="E675" s="114" t="s">
        <v>662</v>
      </c>
      <c r="F675" s="151">
        <v>45987</v>
      </c>
      <c r="G675" s="114" t="s">
        <v>668</v>
      </c>
      <c r="H675" s="112" t="s">
        <v>21</v>
      </c>
      <c r="I675" s="131">
        <v>2840</v>
      </c>
      <c r="J675" s="131"/>
      <c r="K675" s="136">
        <v>2840</v>
      </c>
      <c r="L675" s="136">
        <v>2840</v>
      </c>
      <c r="M675" s="136"/>
      <c r="N675" s="131">
        <f t="shared" si="43"/>
        <v>0</v>
      </c>
      <c r="O675" s="137" t="s">
        <v>666</v>
      </c>
      <c r="P675" s="138"/>
    </row>
    <row r="676" s="89" customFormat="1" spans="1:16">
      <c r="A676" s="122">
        <v>45901</v>
      </c>
      <c r="B676" s="112" t="s">
        <v>630</v>
      </c>
      <c r="C676" s="165" t="s">
        <v>669</v>
      </c>
      <c r="D676" s="141" t="s">
        <v>664</v>
      </c>
      <c r="E676" s="141" t="s">
        <v>662</v>
      </c>
      <c r="F676" s="151">
        <v>45916</v>
      </c>
      <c r="G676" s="141" t="s">
        <v>670</v>
      </c>
      <c r="H676" s="141" t="s">
        <v>23</v>
      </c>
      <c r="I676" s="139">
        <v>17040</v>
      </c>
      <c r="J676" s="139">
        <v>0</v>
      </c>
      <c r="K676" s="139">
        <v>17040</v>
      </c>
      <c r="L676" s="139">
        <v>17040</v>
      </c>
      <c r="M676" s="139"/>
      <c r="N676" s="131">
        <f t="shared" si="43"/>
        <v>0</v>
      </c>
      <c r="O676" s="141" t="s">
        <v>671</v>
      </c>
      <c r="P676" s="167" t="s">
        <v>167</v>
      </c>
    </row>
    <row r="677" s="89" customFormat="1" spans="1:16">
      <c r="A677" s="122">
        <v>45901</v>
      </c>
      <c r="B677" s="112" t="s">
        <v>630</v>
      </c>
      <c r="C677" s="165" t="s">
        <v>669</v>
      </c>
      <c r="D677" s="141" t="s">
        <v>664</v>
      </c>
      <c r="E677" s="141" t="s">
        <v>662</v>
      </c>
      <c r="F677" s="151">
        <v>45916</v>
      </c>
      <c r="G677" s="141" t="s">
        <v>670</v>
      </c>
      <c r="H677" s="112" t="s">
        <v>21</v>
      </c>
      <c r="I677" s="139">
        <v>8520</v>
      </c>
      <c r="J677" s="139">
        <v>0</v>
      </c>
      <c r="K677" s="139">
        <v>8520</v>
      </c>
      <c r="L677" s="139">
        <v>8520</v>
      </c>
      <c r="M677" s="139"/>
      <c r="N677" s="131">
        <f t="shared" si="43"/>
        <v>0</v>
      </c>
      <c r="O677" s="141" t="s">
        <v>671</v>
      </c>
      <c r="P677" s="167" t="s">
        <v>167</v>
      </c>
    </row>
    <row r="678" s="86" customFormat="1" spans="1:16">
      <c r="A678" s="111">
        <v>45839</v>
      </c>
      <c r="B678" s="112" t="s">
        <v>630</v>
      </c>
      <c r="C678" s="113" t="s">
        <v>672</v>
      </c>
      <c r="D678" s="112" t="s">
        <v>673</v>
      </c>
      <c r="E678" s="112" t="s">
        <v>674</v>
      </c>
      <c r="F678" s="151">
        <v>45824</v>
      </c>
      <c r="G678" s="112" t="s">
        <v>55</v>
      </c>
      <c r="H678" s="112" t="s">
        <v>23</v>
      </c>
      <c r="I678" s="130">
        <v>2850</v>
      </c>
      <c r="J678" s="130">
        <v>0</v>
      </c>
      <c r="K678" s="130">
        <v>2850</v>
      </c>
      <c r="L678" s="130">
        <v>2850</v>
      </c>
      <c r="M678" s="130"/>
      <c r="N678" s="131">
        <f t="shared" si="43"/>
        <v>0</v>
      </c>
      <c r="O678" s="112" t="s">
        <v>47</v>
      </c>
      <c r="P678" s="112"/>
    </row>
    <row r="679" s="86" customFormat="1" spans="1:16">
      <c r="A679" s="111">
        <v>45839</v>
      </c>
      <c r="B679" s="112" t="s">
        <v>630</v>
      </c>
      <c r="C679" s="113" t="s">
        <v>672</v>
      </c>
      <c r="D679" s="112" t="s">
        <v>673</v>
      </c>
      <c r="E679" s="112" t="s">
        <v>674</v>
      </c>
      <c r="F679" s="151">
        <v>45824</v>
      </c>
      <c r="G679" s="112" t="s">
        <v>55</v>
      </c>
      <c r="H679" s="112" t="s">
        <v>21</v>
      </c>
      <c r="I679" s="130">
        <v>5700</v>
      </c>
      <c r="J679" s="130">
        <v>0</v>
      </c>
      <c r="K679" s="130">
        <v>5700</v>
      </c>
      <c r="L679" s="130">
        <v>5700</v>
      </c>
      <c r="M679" s="130"/>
      <c r="N679" s="131">
        <f t="shared" si="43"/>
        <v>0</v>
      </c>
      <c r="O679" s="112" t="s">
        <v>47</v>
      </c>
      <c r="P679" s="112"/>
    </row>
    <row r="680" s="86" customFormat="1" spans="1:16">
      <c r="A680" s="111">
        <v>45839</v>
      </c>
      <c r="B680" s="112" t="s">
        <v>630</v>
      </c>
      <c r="C680" s="113" t="s">
        <v>675</v>
      </c>
      <c r="D680" s="112" t="s">
        <v>676</v>
      </c>
      <c r="E680" s="112" t="s">
        <v>677</v>
      </c>
      <c r="F680" s="151">
        <v>45824</v>
      </c>
      <c r="G680" s="112" t="s">
        <v>55</v>
      </c>
      <c r="H680" s="112" t="s">
        <v>23</v>
      </c>
      <c r="I680" s="130">
        <v>990</v>
      </c>
      <c r="J680" s="130">
        <v>0</v>
      </c>
      <c r="K680" s="130">
        <v>990</v>
      </c>
      <c r="L680" s="130">
        <v>990</v>
      </c>
      <c r="M680" s="130"/>
      <c r="N680" s="131">
        <f t="shared" si="43"/>
        <v>0</v>
      </c>
      <c r="O680" s="112" t="s">
        <v>47</v>
      </c>
      <c r="P680" s="112"/>
    </row>
    <row r="681" s="86" customFormat="1" spans="1:16">
      <c r="A681" s="111">
        <v>45839</v>
      </c>
      <c r="B681" s="112" t="s">
        <v>630</v>
      </c>
      <c r="C681" s="113" t="s">
        <v>675</v>
      </c>
      <c r="D681" s="112" t="s">
        <v>676</v>
      </c>
      <c r="E681" s="112" t="s">
        <v>677</v>
      </c>
      <c r="F681" s="151">
        <v>45824</v>
      </c>
      <c r="G681" s="112" t="s">
        <v>55</v>
      </c>
      <c r="H681" s="112" t="s">
        <v>21</v>
      </c>
      <c r="I681" s="130">
        <v>1360</v>
      </c>
      <c r="J681" s="130">
        <v>0</v>
      </c>
      <c r="K681" s="130">
        <v>1360</v>
      </c>
      <c r="L681" s="130">
        <v>1360</v>
      </c>
      <c r="M681" s="130"/>
      <c r="N681" s="131">
        <f t="shared" si="43"/>
        <v>0</v>
      </c>
      <c r="O681" s="112" t="s">
        <v>47</v>
      </c>
      <c r="P681" s="112"/>
    </row>
    <row r="682" s="88" customFormat="1" spans="1:16">
      <c r="A682" s="122">
        <v>45901</v>
      </c>
      <c r="B682" s="112" t="s">
        <v>630</v>
      </c>
      <c r="C682" s="119" t="s">
        <v>675</v>
      </c>
      <c r="D682" s="138" t="s">
        <v>676</v>
      </c>
      <c r="E682" s="138" t="s">
        <v>677</v>
      </c>
      <c r="F682" s="151">
        <v>45916</v>
      </c>
      <c r="G682" s="138" t="s">
        <v>241</v>
      </c>
      <c r="H682" s="138" t="s">
        <v>23</v>
      </c>
      <c r="I682" s="131">
        <v>2970</v>
      </c>
      <c r="J682" s="139">
        <v>0</v>
      </c>
      <c r="K682" s="131">
        <v>2970</v>
      </c>
      <c r="L682" s="139">
        <v>2970</v>
      </c>
      <c r="M682" s="139"/>
      <c r="N682" s="131">
        <f t="shared" si="43"/>
        <v>0</v>
      </c>
      <c r="O682" s="138" t="s">
        <v>524</v>
      </c>
      <c r="P682" s="167" t="s">
        <v>249</v>
      </c>
    </row>
    <row r="683" s="88" customFormat="1" spans="1:16">
      <c r="A683" s="122">
        <v>45901</v>
      </c>
      <c r="B683" s="112" t="s">
        <v>630</v>
      </c>
      <c r="C683" s="119" t="s">
        <v>675</v>
      </c>
      <c r="D683" s="138" t="s">
        <v>676</v>
      </c>
      <c r="E683" s="138" t="s">
        <v>677</v>
      </c>
      <c r="F683" s="151">
        <v>45916</v>
      </c>
      <c r="G683" s="138" t="s">
        <v>241</v>
      </c>
      <c r="H683" s="112" t="s">
        <v>21</v>
      </c>
      <c r="I683" s="131">
        <v>4080</v>
      </c>
      <c r="J683" s="139">
        <v>0</v>
      </c>
      <c r="K683" s="131">
        <v>4080</v>
      </c>
      <c r="L683" s="139">
        <v>4080</v>
      </c>
      <c r="M683" s="139"/>
      <c r="N683" s="131">
        <f t="shared" si="43"/>
        <v>0</v>
      </c>
      <c r="O683" s="138" t="s">
        <v>524</v>
      </c>
      <c r="P683" s="167" t="s">
        <v>249</v>
      </c>
    </row>
    <row r="684" s="88" customFormat="1" spans="1:16">
      <c r="A684" s="118">
        <v>45931</v>
      </c>
      <c r="B684" s="112" t="s">
        <v>630</v>
      </c>
      <c r="C684" s="119" t="s">
        <v>675</v>
      </c>
      <c r="D684" s="114" t="s">
        <v>676</v>
      </c>
      <c r="E684" s="114" t="s">
        <v>677</v>
      </c>
      <c r="F684" s="151">
        <v>45946</v>
      </c>
      <c r="G684" s="114" t="s">
        <v>98</v>
      </c>
      <c r="H684" s="114" t="s">
        <v>23</v>
      </c>
      <c r="I684" s="131">
        <v>990</v>
      </c>
      <c r="J684" s="131"/>
      <c r="K684" s="136">
        <v>990</v>
      </c>
      <c r="L684" s="136">
        <v>990</v>
      </c>
      <c r="M684" s="136"/>
      <c r="N684" s="131">
        <f t="shared" si="43"/>
        <v>0</v>
      </c>
      <c r="O684" s="114" t="s">
        <v>678</v>
      </c>
      <c r="P684" s="138"/>
    </row>
    <row r="685" s="88" customFormat="1" spans="1:16">
      <c r="A685" s="118">
        <v>45931</v>
      </c>
      <c r="B685" s="112" t="s">
        <v>630</v>
      </c>
      <c r="C685" s="119" t="s">
        <v>675</v>
      </c>
      <c r="D685" s="114" t="s">
        <v>676</v>
      </c>
      <c r="E685" s="114" t="s">
        <v>677</v>
      </c>
      <c r="F685" s="151">
        <v>45946</v>
      </c>
      <c r="G685" s="114" t="s">
        <v>26</v>
      </c>
      <c r="H685" s="114" t="s">
        <v>23</v>
      </c>
      <c r="I685" s="131">
        <v>990</v>
      </c>
      <c r="J685" s="131"/>
      <c r="K685" s="136">
        <v>990</v>
      </c>
      <c r="L685" s="136">
        <v>990</v>
      </c>
      <c r="M685" s="136"/>
      <c r="N685" s="131">
        <f t="shared" si="43"/>
        <v>0</v>
      </c>
      <c r="O685" s="114" t="s">
        <v>678</v>
      </c>
      <c r="P685" s="138"/>
    </row>
    <row r="686" s="88" customFormat="1" spans="1:16">
      <c r="A686" s="118">
        <v>45931</v>
      </c>
      <c r="B686" s="112" t="s">
        <v>630</v>
      </c>
      <c r="C686" s="119" t="s">
        <v>675</v>
      </c>
      <c r="D686" s="114" t="s">
        <v>676</v>
      </c>
      <c r="E686" s="114" t="s">
        <v>677</v>
      </c>
      <c r="F686" s="151">
        <v>45946</v>
      </c>
      <c r="G686" s="114" t="s">
        <v>28</v>
      </c>
      <c r="H686" s="114" t="s">
        <v>23</v>
      </c>
      <c r="I686" s="131">
        <v>990</v>
      </c>
      <c r="J686" s="131"/>
      <c r="K686" s="136">
        <v>990</v>
      </c>
      <c r="L686" s="136">
        <v>990</v>
      </c>
      <c r="M686" s="136"/>
      <c r="N686" s="131">
        <f t="shared" si="43"/>
        <v>0</v>
      </c>
      <c r="O686" s="114" t="s">
        <v>678</v>
      </c>
      <c r="P686" s="138"/>
    </row>
    <row r="687" s="88" customFormat="1" spans="1:16">
      <c r="A687" s="118">
        <v>45931</v>
      </c>
      <c r="B687" s="112" t="s">
        <v>630</v>
      </c>
      <c r="C687" s="119" t="s">
        <v>675</v>
      </c>
      <c r="D687" s="114" t="s">
        <v>676</v>
      </c>
      <c r="E687" s="114" t="s">
        <v>677</v>
      </c>
      <c r="F687" s="151">
        <v>45946</v>
      </c>
      <c r="G687" s="114" t="s">
        <v>98</v>
      </c>
      <c r="H687" s="112" t="s">
        <v>21</v>
      </c>
      <c r="I687" s="131">
        <v>1360</v>
      </c>
      <c r="J687" s="131"/>
      <c r="K687" s="136">
        <v>1360</v>
      </c>
      <c r="L687" s="136">
        <v>1360</v>
      </c>
      <c r="M687" s="136"/>
      <c r="N687" s="131">
        <f t="shared" si="43"/>
        <v>0</v>
      </c>
      <c r="O687" s="137" t="s">
        <v>678</v>
      </c>
      <c r="P687" s="138"/>
    </row>
    <row r="688" s="88" customFormat="1" spans="1:16">
      <c r="A688" s="118">
        <v>45931</v>
      </c>
      <c r="B688" s="112" t="s">
        <v>630</v>
      </c>
      <c r="C688" s="119" t="s">
        <v>675</v>
      </c>
      <c r="D688" s="114" t="s">
        <v>676</v>
      </c>
      <c r="E688" s="114" t="s">
        <v>677</v>
      </c>
      <c r="F688" s="151">
        <v>45946</v>
      </c>
      <c r="G688" s="114" t="s">
        <v>26</v>
      </c>
      <c r="H688" s="112" t="s">
        <v>21</v>
      </c>
      <c r="I688" s="131">
        <v>1360</v>
      </c>
      <c r="J688" s="131"/>
      <c r="K688" s="136">
        <v>1360</v>
      </c>
      <c r="L688" s="136">
        <v>1360</v>
      </c>
      <c r="M688" s="136"/>
      <c r="N688" s="131">
        <f t="shared" si="43"/>
        <v>0</v>
      </c>
      <c r="O688" s="137" t="s">
        <v>678</v>
      </c>
      <c r="P688" s="138"/>
    </row>
    <row r="689" s="91" customFormat="1" spans="1:16">
      <c r="A689" s="118">
        <v>45931</v>
      </c>
      <c r="B689" s="112" t="s">
        <v>630</v>
      </c>
      <c r="C689" s="218" t="s">
        <v>675</v>
      </c>
      <c r="D689" s="219" t="s">
        <v>676</v>
      </c>
      <c r="E689" s="219" t="s">
        <v>677</v>
      </c>
      <c r="F689" s="151">
        <v>45946</v>
      </c>
      <c r="G689" s="219" t="s">
        <v>28</v>
      </c>
      <c r="H689" s="112" t="s">
        <v>21</v>
      </c>
      <c r="I689" s="222">
        <v>1360</v>
      </c>
      <c r="J689" s="222"/>
      <c r="K689" s="223">
        <v>1360</v>
      </c>
      <c r="L689" s="223">
        <v>1360</v>
      </c>
      <c r="M689" s="223"/>
      <c r="N689" s="131">
        <f t="shared" si="43"/>
        <v>0</v>
      </c>
      <c r="O689" s="224" t="s">
        <v>678</v>
      </c>
      <c r="P689" s="225"/>
    </row>
    <row r="690" s="86" customFormat="1" spans="1:16">
      <c r="A690" s="111">
        <v>45839</v>
      </c>
      <c r="B690" s="112" t="s">
        <v>679</v>
      </c>
      <c r="C690" s="113" t="s">
        <v>680</v>
      </c>
      <c r="D690" s="112" t="s">
        <v>681</v>
      </c>
      <c r="E690" s="112" t="s">
        <v>682</v>
      </c>
      <c r="F690" s="151">
        <v>45838</v>
      </c>
      <c r="G690" s="112" t="s">
        <v>55</v>
      </c>
      <c r="H690" s="112" t="s">
        <v>21</v>
      </c>
      <c r="I690" s="130">
        <v>24076</v>
      </c>
      <c r="J690" s="130">
        <v>0</v>
      </c>
      <c r="K690" s="130">
        <f t="shared" ref="K690:K694" si="47">I690-J690</f>
        <v>24076</v>
      </c>
      <c r="L690" s="130">
        <v>24076</v>
      </c>
      <c r="M690" s="130"/>
      <c r="N690" s="131">
        <f t="shared" si="43"/>
        <v>0</v>
      </c>
      <c r="O690" s="112" t="s">
        <v>133</v>
      </c>
      <c r="P690" s="112"/>
    </row>
    <row r="691" s="86" customFormat="1" spans="1:16">
      <c r="A691" s="111">
        <v>45839</v>
      </c>
      <c r="B691" s="112" t="s">
        <v>679</v>
      </c>
      <c r="C691" s="113" t="s">
        <v>680</v>
      </c>
      <c r="D691" s="112" t="s">
        <v>681</v>
      </c>
      <c r="E691" s="112" t="s">
        <v>682</v>
      </c>
      <c r="F691" s="151">
        <v>45838</v>
      </c>
      <c r="G691" s="112" t="s">
        <v>55</v>
      </c>
      <c r="H691" s="112" t="s">
        <v>23</v>
      </c>
      <c r="I691" s="130">
        <v>6500</v>
      </c>
      <c r="J691" s="130">
        <v>0</v>
      </c>
      <c r="K691" s="130">
        <f t="shared" si="47"/>
        <v>6500</v>
      </c>
      <c r="L691" s="130">
        <v>6500</v>
      </c>
      <c r="M691" s="130"/>
      <c r="N691" s="131">
        <f t="shared" si="43"/>
        <v>0</v>
      </c>
      <c r="O691" s="112" t="s">
        <v>133</v>
      </c>
      <c r="P691" s="112"/>
    </row>
    <row r="692" s="86" customFormat="1" spans="1:16">
      <c r="A692" s="111">
        <v>45839</v>
      </c>
      <c r="B692" s="112" t="s">
        <v>679</v>
      </c>
      <c r="C692" s="113" t="s">
        <v>680</v>
      </c>
      <c r="D692" s="112" t="s">
        <v>681</v>
      </c>
      <c r="E692" s="112" t="s">
        <v>682</v>
      </c>
      <c r="F692" s="151">
        <v>45869</v>
      </c>
      <c r="G692" s="112" t="s">
        <v>56</v>
      </c>
      <c r="H692" s="112" t="s">
        <v>23</v>
      </c>
      <c r="I692" s="130">
        <v>6500</v>
      </c>
      <c r="J692" s="130">
        <v>0</v>
      </c>
      <c r="K692" s="130">
        <f t="shared" si="47"/>
        <v>6500</v>
      </c>
      <c r="L692" s="130">
        <v>6500</v>
      </c>
      <c r="M692" s="130"/>
      <c r="N692" s="131">
        <f t="shared" si="43"/>
        <v>0</v>
      </c>
      <c r="O692" s="112" t="s">
        <v>683</v>
      </c>
      <c r="P692" s="112"/>
    </row>
    <row r="693" s="86" customFormat="1" spans="1:16">
      <c r="A693" s="111">
        <v>45839</v>
      </c>
      <c r="B693" s="112" t="s">
        <v>679</v>
      </c>
      <c r="C693" s="113" t="s">
        <v>680</v>
      </c>
      <c r="D693" s="112" t="s">
        <v>681</v>
      </c>
      <c r="E693" s="112" t="s">
        <v>682</v>
      </c>
      <c r="F693" s="151">
        <v>45869</v>
      </c>
      <c r="G693" s="112" t="s">
        <v>56</v>
      </c>
      <c r="H693" s="112" t="s">
        <v>21</v>
      </c>
      <c r="I693" s="130">
        <v>24076</v>
      </c>
      <c r="J693" s="130">
        <v>0</v>
      </c>
      <c r="K693" s="130">
        <f t="shared" si="47"/>
        <v>24076</v>
      </c>
      <c r="L693" s="130">
        <v>24076</v>
      </c>
      <c r="M693" s="130"/>
      <c r="N693" s="131">
        <f t="shared" si="43"/>
        <v>0</v>
      </c>
      <c r="O693" s="112" t="s">
        <v>182</v>
      </c>
      <c r="P693" s="112"/>
    </row>
    <row r="694" s="87" customFormat="1" spans="1:16">
      <c r="A694" s="111">
        <v>45870</v>
      </c>
      <c r="B694" s="116" t="s">
        <v>679</v>
      </c>
      <c r="C694" s="78" t="s">
        <v>680</v>
      </c>
      <c r="D694" s="116" t="s">
        <v>681</v>
      </c>
      <c r="E694" s="116" t="s">
        <v>682</v>
      </c>
      <c r="F694" s="151">
        <v>45900</v>
      </c>
      <c r="G694" s="116" t="s">
        <v>58</v>
      </c>
      <c r="H694" s="116" t="s">
        <v>23</v>
      </c>
      <c r="I694" s="133">
        <v>6500</v>
      </c>
      <c r="J694" s="133">
        <v>0</v>
      </c>
      <c r="K694" s="130">
        <f t="shared" si="47"/>
        <v>6500</v>
      </c>
      <c r="L694" s="133">
        <v>6500</v>
      </c>
      <c r="M694" s="133"/>
      <c r="N694" s="131">
        <f t="shared" si="43"/>
        <v>0</v>
      </c>
      <c r="O694" s="135" t="s">
        <v>326</v>
      </c>
      <c r="P694" s="135"/>
    </row>
    <row r="695" s="86" customFormat="1" spans="1:18">
      <c r="A695" s="111">
        <v>45839</v>
      </c>
      <c r="B695" s="116" t="s">
        <v>679</v>
      </c>
      <c r="C695" s="113" t="s">
        <v>684</v>
      </c>
      <c r="D695" s="112" t="s">
        <v>685</v>
      </c>
      <c r="E695" s="112" t="s">
        <v>686</v>
      </c>
      <c r="F695" s="151">
        <v>45824</v>
      </c>
      <c r="G695" s="112" t="s">
        <v>46</v>
      </c>
      <c r="H695" s="112" t="s">
        <v>21</v>
      </c>
      <c r="I695" s="130">
        <v>14320.8</v>
      </c>
      <c r="J695" s="130">
        <v>0</v>
      </c>
      <c r="K695" s="130">
        <v>14320.8</v>
      </c>
      <c r="L695" s="130">
        <f>8684.64+5636.16</f>
        <v>14320.8</v>
      </c>
      <c r="M695" s="130"/>
      <c r="N695" s="131">
        <f t="shared" si="43"/>
        <v>0</v>
      </c>
      <c r="O695" s="112" t="s">
        <v>687</v>
      </c>
      <c r="P695" s="112"/>
      <c r="Q695" s="226"/>
      <c r="R695" s="226"/>
    </row>
    <row r="696" s="86" customFormat="1" spans="1:18">
      <c r="A696" s="111">
        <v>45839</v>
      </c>
      <c r="B696" s="116" t="s">
        <v>679</v>
      </c>
      <c r="C696" s="113" t="s">
        <v>684</v>
      </c>
      <c r="D696" s="112" t="s">
        <v>685</v>
      </c>
      <c r="E696" s="112" t="s">
        <v>686</v>
      </c>
      <c r="F696" s="151">
        <v>45824</v>
      </c>
      <c r="G696" s="112" t="s">
        <v>46</v>
      </c>
      <c r="H696" s="112" t="s">
        <v>23</v>
      </c>
      <c r="I696" s="130">
        <v>25740</v>
      </c>
      <c r="J696" s="130">
        <v>0</v>
      </c>
      <c r="K696" s="130">
        <v>25740</v>
      </c>
      <c r="L696" s="130">
        <f>14424.64+11315.36</f>
        <v>25740</v>
      </c>
      <c r="M696" s="130"/>
      <c r="N696" s="131">
        <f t="shared" si="43"/>
        <v>0</v>
      </c>
      <c r="O696" s="112" t="s">
        <v>688</v>
      </c>
      <c r="P696" s="112"/>
      <c r="Q696" s="226"/>
      <c r="R696" s="226"/>
    </row>
    <row r="697" s="89" customFormat="1" spans="1:17">
      <c r="A697" s="122">
        <v>45901</v>
      </c>
      <c r="B697" s="116" t="s">
        <v>679</v>
      </c>
      <c r="C697" s="78" t="s">
        <v>684</v>
      </c>
      <c r="D697" s="116" t="s">
        <v>685</v>
      </c>
      <c r="E697" s="116" t="s">
        <v>686</v>
      </c>
      <c r="F697" s="151">
        <v>45916</v>
      </c>
      <c r="G697" s="116" t="s">
        <v>60</v>
      </c>
      <c r="H697" s="116" t="s">
        <v>23</v>
      </c>
      <c r="I697" s="139">
        <v>8580</v>
      </c>
      <c r="J697" s="139">
        <v>0</v>
      </c>
      <c r="K697" s="139">
        <f>25740/3</f>
        <v>8580</v>
      </c>
      <c r="L697" s="139">
        <v>8580</v>
      </c>
      <c r="M697" s="139"/>
      <c r="N697" s="131">
        <f t="shared" si="43"/>
        <v>0</v>
      </c>
      <c r="O697" s="141" t="s">
        <v>689</v>
      </c>
      <c r="P697" s="141"/>
      <c r="Q697" s="89" t="s">
        <v>51</v>
      </c>
    </row>
    <row r="698" s="89" customFormat="1" spans="1:17">
      <c r="A698" s="122">
        <v>45901</v>
      </c>
      <c r="B698" s="116" t="s">
        <v>679</v>
      </c>
      <c r="C698" s="78" t="s">
        <v>684</v>
      </c>
      <c r="D698" s="116" t="s">
        <v>685</v>
      </c>
      <c r="E698" s="116" t="s">
        <v>686</v>
      </c>
      <c r="F698" s="151">
        <v>45916</v>
      </c>
      <c r="G698" s="116" t="s">
        <v>60</v>
      </c>
      <c r="H698" s="121" t="s">
        <v>30</v>
      </c>
      <c r="I698" s="139">
        <v>250</v>
      </c>
      <c r="J698" s="139">
        <v>0</v>
      </c>
      <c r="K698" s="139">
        <v>250</v>
      </c>
      <c r="L698" s="139">
        <v>250</v>
      </c>
      <c r="M698" s="139"/>
      <c r="N698" s="131">
        <f t="shared" si="43"/>
        <v>0</v>
      </c>
      <c r="O698" s="141" t="s">
        <v>689</v>
      </c>
      <c r="P698" s="141"/>
      <c r="Q698" s="89" t="s">
        <v>51</v>
      </c>
    </row>
    <row r="699" s="89" customFormat="1" spans="1:17">
      <c r="A699" s="122">
        <v>45901</v>
      </c>
      <c r="B699" s="116" t="s">
        <v>679</v>
      </c>
      <c r="C699" s="78" t="s">
        <v>684</v>
      </c>
      <c r="D699" s="116" t="s">
        <v>685</v>
      </c>
      <c r="E699" s="116" t="s">
        <v>686</v>
      </c>
      <c r="F699" s="151">
        <v>45916</v>
      </c>
      <c r="G699" s="116" t="s">
        <v>60</v>
      </c>
      <c r="H699" s="112" t="s">
        <v>21</v>
      </c>
      <c r="I699" s="139">
        <v>5444.4</v>
      </c>
      <c r="J699" s="139">
        <v>0</v>
      </c>
      <c r="K699" s="139">
        <f>16333.2/3</f>
        <v>5444.4</v>
      </c>
      <c r="L699" s="139">
        <v>5444.4</v>
      </c>
      <c r="M699" s="139"/>
      <c r="N699" s="131">
        <f t="shared" si="43"/>
        <v>0</v>
      </c>
      <c r="O699" s="141" t="s">
        <v>689</v>
      </c>
      <c r="P699" s="141"/>
      <c r="Q699" s="89" t="s">
        <v>51</v>
      </c>
    </row>
    <row r="700" s="89" customFormat="1" spans="1:17">
      <c r="A700" s="122">
        <v>45962</v>
      </c>
      <c r="B700" s="116" t="s">
        <v>679</v>
      </c>
      <c r="C700" s="78" t="s">
        <v>684</v>
      </c>
      <c r="D700" s="116" t="s">
        <v>685</v>
      </c>
      <c r="E700" s="116" t="s">
        <v>690</v>
      </c>
      <c r="F700" s="151">
        <v>45962</v>
      </c>
      <c r="G700" s="116" t="s">
        <v>146</v>
      </c>
      <c r="H700" s="116" t="s">
        <v>23</v>
      </c>
      <c r="I700" s="139">
        <v>20020</v>
      </c>
      <c r="J700" s="139">
        <v>0</v>
      </c>
      <c r="K700" s="139">
        <v>20020</v>
      </c>
      <c r="L700" s="139">
        <f>11440+8580</f>
        <v>20020</v>
      </c>
      <c r="M700" s="139"/>
      <c r="N700" s="131">
        <f t="shared" si="43"/>
        <v>0</v>
      </c>
      <c r="O700" s="141" t="s">
        <v>691</v>
      </c>
      <c r="P700" s="141"/>
      <c r="Q700" s="89" t="s">
        <v>51</v>
      </c>
    </row>
    <row r="701" s="89" customFormat="1" spans="1:17">
      <c r="A701" s="122">
        <v>45962</v>
      </c>
      <c r="B701" s="116" t="s">
        <v>679</v>
      </c>
      <c r="C701" s="78" t="s">
        <v>684</v>
      </c>
      <c r="D701" s="116" t="s">
        <v>685</v>
      </c>
      <c r="E701" s="116" t="s">
        <v>690</v>
      </c>
      <c r="F701" s="151">
        <v>45962</v>
      </c>
      <c r="G701" s="116" t="s">
        <v>147</v>
      </c>
      <c r="H701" s="121" t="s">
        <v>30</v>
      </c>
      <c r="I701" s="139">
        <v>3000</v>
      </c>
      <c r="J701" s="139">
        <v>0</v>
      </c>
      <c r="K701" s="139">
        <v>3000</v>
      </c>
      <c r="L701" s="139">
        <v>3000</v>
      </c>
      <c r="M701" s="139"/>
      <c r="N701" s="131">
        <f t="shared" si="43"/>
        <v>0</v>
      </c>
      <c r="O701" s="141" t="s">
        <v>692</v>
      </c>
      <c r="P701" s="141"/>
      <c r="Q701" s="89" t="s">
        <v>51</v>
      </c>
    </row>
    <row r="702" s="89" customFormat="1" spans="1:17">
      <c r="A702" s="122">
        <v>45962</v>
      </c>
      <c r="B702" s="116" t="s">
        <v>679</v>
      </c>
      <c r="C702" s="78" t="s">
        <v>684</v>
      </c>
      <c r="D702" s="116" t="s">
        <v>685</v>
      </c>
      <c r="E702" s="116" t="s">
        <v>690</v>
      </c>
      <c r="F702" s="151">
        <v>45962</v>
      </c>
      <c r="G702" s="116" t="s">
        <v>146</v>
      </c>
      <c r="H702" s="112" t="s">
        <v>21</v>
      </c>
      <c r="I702" s="139">
        <v>12703.6</v>
      </c>
      <c r="J702" s="139">
        <v>0</v>
      </c>
      <c r="K702" s="139">
        <v>12703.6</v>
      </c>
      <c r="L702" s="139">
        <f>7259.2+5444.4</f>
        <v>12703.6</v>
      </c>
      <c r="M702" s="139"/>
      <c r="N702" s="131">
        <f t="shared" si="43"/>
        <v>0</v>
      </c>
      <c r="O702" s="141" t="s">
        <v>693</v>
      </c>
      <c r="P702" s="141"/>
      <c r="Q702" s="89" t="s">
        <v>51</v>
      </c>
    </row>
    <row r="703" s="86" customFormat="1" spans="1:16">
      <c r="A703" s="111">
        <v>45839</v>
      </c>
      <c r="B703" s="116" t="s">
        <v>679</v>
      </c>
      <c r="C703" s="113" t="s">
        <v>694</v>
      </c>
      <c r="D703" s="112" t="s">
        <v>695</v>
      </c>
      <c r="E703" s="112" t="s">
        <v>696</v>
      </c>
      <c r="F703" s="151">
        <v>45824</v>
      </c>
      <c r="G703" s="112" t="s">
        <v>697</v>
      </c>
      <c r="H703" s="112" t="s">
        <v>21</v>
      </c>
      <c r="I703" s="139">
        <v>9336</v>
      </c>
      <c r="J703" s="139">
        <v>0</v>
      </c>
      <c r="K703" s="139">
        <v>9336</v>
      </c>
      <c r="L703" s="139">
        <v>9336</v>
      </c>
      <c r="M703" s="139"/>
      <c r="N703" s="131">
        <f t="shared" si="43"/>
        <v>0</v>
      </c>
      <c r="O703" s="112" t="s">
        <v>256</v>
      </c>
      <c r="P703" s="112"/>
    </row>
    <row r="704" s="86" customFormat="1" spans="1:16">
      <c r="A704" s="111">
        <v>45839</v>
      </c>
      <c r="B704" s="116" t="s">
        <v>679</v>
      </c>
      <c r="C704" s="113" t="s">
        <v>694</v>
      </c>
      <c r="D704" s="112" t="s">
        <v>695</v>
      </c>
      <c r="E704" s="112" t="s">
        <v>696</v>
      </c>
      <c r="F704" s="151">
        <v>45824</v>
      </c>
      <c r="G704" s="112" t="s">
        <v>46</v>
      </c>
      <c r="H704" s="112" t="s">
        <v>23</v>
      </c>
      <c r="I704" s="139">
        <v>17040</v>
      </c>
      <c r="J704" s="139">
        <v>0</v>
      </c>
      <c r="K704" s="139">
        <v>17040</v>
      </c>
      <c r="L704" s="139">
        <v>17040</v>
      </c>
      <c r="M704" s="139"/>
      <c r="N704" s="131">
        <f t="shared" si="43"/>
        <v>0</v>
      </c>
      <c r="O704" s="112" t="s">
        <v>256</v>
      </c>
      <c r="P704" s="112"/>
    </row>
    <row r="705" s="86" customFormat="1" spans="1:16">
      <c r="A705" s="111">
        <v>45839</v>
      </c>
      <c r="B705" s="116" t="s">
        <v>679</v>
      </c>
      <c r="C705" s="113" t="s">
        <v>694</v>
      </c>
      <c r="D705" s="112" t="s">
        <v>695</v>
      </c>
      <c r="E705" s="112" t="s">
        <v>696</v>
      </c>
      <c r="F705" s="151">
        <v>45824</v>
      </c>
      <c r="G705" s="112" t="s">
        <v>698</v>
      </c>
      <c r="H705" s="112" t="s">
        <v>21</v>
      </c>
      <c r="I705" s="139">
        <v>6636</v>
      </c>
      <c r="J705" s="139">
        <v>0</v>
      </c>
      <c r="K705" s="139">
        <v>6636</v>
      </c>
      <c r="L705" s="139">
        <v>6636</v>
      </c>
      <c r="M705" s="139"/>
      <c r="N705" s="131">
        <f t="shared" si="43"/>
        <v>0</v>
      </c>
      <c r="O705" s="112" t="s">
        <v>256</v>
      </c>
      <c r="P705" s="112"/>
    </row>
    <row r="706" s="86" customFormat="1" spans="1:16">
      <c r="A706" s="111">
        <v>45870</v>
      </c>
      <c r="B706" s="116" t="s">
        <v>679</v>
      </c>
      <c r="C706" s="113" t="s">
        <v>694</v>
      </c>
      <c r="D706" s="112" t="s">
        <v>695</v>
      </c>
      <c r="E706" s="112" t="s">
        <v>696</v>
      </c>
      <c r="F706" s="151">
        <v>45900</v>
      </c>
      <c r="G706" s="112" t="s">
        <v>699</v>
      </c>
      <c r="H706" s="121" t="s">
        <v>30</v>
      </c>
      <c r="I706" s="139">
        <v>3000</v>
      </c>
      <c r="J706" s="139">
        <v>0</v>
      </c>
      <c r="K706" s="139">
        <f t="shared" ref="K706:K708" si="48">I706-J706</f>
        <v>3000</v>
      </c>
      <c r="L706" s="139">
        <v>3000</v>
      </c>
      <c r="M706" s="139"/>
      <c r="N706" s="131">
        <f t="shared" si="43"/>
        <v>0</v>
      </c>
      <c r="O706" s="112" t="s">
        <v>305</v>
      </c>
      <c r="P706" s="112"/>
    </row>
    <row r="707" s="89" customFormat="1" spans="1:17">
      <c r="A707" s="122">
        <v>45901</v>
      </c>
      <c r="B707" s="116" t="s">
        <v>679</v>
      </c>
      <c r="C707" s="78" t="s">
        <v>694</v>
      </c>
      <c r="D707" s="116" t="s">
        <v>695</v>
      </c>
      <c r="E707" s="116" t="s">
        <v>696</v>
      </c>
      <c r="F707" s="151">
        <v>45916</v>
      </c>
      <c r="G707" s="116" t="s">
        <v>86</v>
      </c>
      <c r="H707" s="116" t="s">
        <v>23</v>
      </c>
      <c r="I707" s="139">
        <v>17040</v>
      </c>
      <c r="J707" s="139">
        <v>0</v>
      </c>
      <c r="K707" s="139">
        <f t="shared" si="48"/>
        <v>17040</v>
      </c>
      <c r="L707" s="139">
        <v>17040</v>
      </c>
      <c r="M707" s="139"/>
      <c r="N707" s="131">
        <f t="shared" ref="N707:N770" si="49">K707-L707</f>
        <v>0</v>
      </c>
      <c r="O707" s="186" t="s">
        <v>305</v>
      </c>
      <c r="P707" s="141"/>
      <c r="Q707" s="89" t="s">
        <v>51</v>
      </c>
    </row>
    <row r="708" s="89" customFormat="1" spans="1:17">
      <c r="A708" s="122">
        <v>45901</v>
      </c>
      <c r="B708" s="116" t="s">
        <v>679</v>
      </c>
      <c r="C708" s="78" t="s">
        <v>694</v>
      </c>
      <c r="D708" s="116" t="s">
        <v>695</v>
      </c>
      <c r="E708" s="116" t="s">
        <v>696</v>
      </c>
      <c r="F708" s="151">
        <v>45916</v>
      </c>
      <c r="G708" s="116" t="s">
        <v>86</v>
      </c>
      <c r="H708" s="112" t="s">
        <v>21</v>
      </c>
      <c r="I708" s="139">
        <v>16439</v>
      </c>
      <c r="J708" s="139">
        <v>0</v>
      </c>
      <c r="K708" s="139">
        <f t="shared" si="48"/>
        <v>16439</v>
      </c>
      <c r="L708" s="139">
        <v>16439</v>
      </c>
      <c r="M708" s="139"/>
      <c r="N708" s="131">
        <f t="shared" si="49"/>
        <v>0</v>
      </c>
      <c r="O708" s="186" t="s">
        <v>305</v>
      </c>
      <c r="P708" s="141"/>
      <c r="Q708" s="89" t="s">
        <v>51</v>
      </c>
    </row>
    <row r="709" s="86" customFormat="1" spans="1:16">
      <c r="A709" s="111">
        <v>45839</v>
      </c>
      <c r="B709" s="116" t="s">
        <v>679</v>
      </c>
      <c r="C709" s="113" t="s">
        <v>700</v>
      </c>
      <c r="D709" s="112" t="s">
        <v>701</v>
      </c>
      <c r="E709" s="112" t="s">
        <v>702</v>
      </c>
      <c r="F709" s="151">
        <v>45824</v>
      </c>
      <c r="G709" s="112" t="s">
        <v>46</v>
      </c>
      <c r="H709" s="112" t="s">
        <v>21</v>
      </c>
      <c r="I709" s="139">
        <v>16632</v>
      </c>
      <c r="J709" s="139">
        <v>0</v>
      </c>
      <c r="K709" s="139">
        <v>16632</v>
      </c>
      <c r="L709" s="139">
        <v>16632</v>
      </c>
      <c r="M709" s="139"/>
      <c r="N709" s="131">
        <f t="shared" si="49"/>
        <v>0</v>
      </c>
      <c r="O709" s="112" t="s">
        <v>22</v>
      </c>
      <c r="P709" s="112"/>
    </row>
    <row r="710" s="86" customFormat="1" spans="1:16">
      <c r="A710" s="111">
        <v>45839</v>
      </c>
      <c r="B710" s="116" t="s">
        <v>679</v>
      </c>
      <c r="C710" s="113" t="s">
        <v>700</v>
      </c>
      <c r="D710" s="112" t="s">
        <v>701</v>
      </c>
      <c r="E710" s="112" t="s">
        <v>702</v>
      </c>
      <c r="F710" s="151">
        <v>45824</v>
      </c>
      <c r="G710" s="112" t="s">
        <v>46</v>
      </c>
      <c r="H710" s="112" t="s">
        <v>23</v>
      </c>
      <c r="I710" s="139">
        <v>3630</v>
      </c>
      <c r="J710" s="139">
        <v>0</v>
      </c>
      <c r="K710" s="139">
        <v>3630</v>
      </c>
      <c r="L710" s="139">
        <v>3630</v>
      </c>
      <c r="M710" s="139"/>
      <c r="N710" s="131">
        <f t="shared" si="49"/>
        <v>0</v>
      </c>
      <c r="O710" s="112" t="s">
        <v>22</v>
      </c>
      <c r="P710" s="112"/>
    </row>
    <row r="711" s="89" customFormat="1" spans="1:17">
      <c r="A711" s="122">
        <v>45901</v>
      </c>
      <c r="B711" s="116" t="s">
        <v>679</v>
      </c>
      <c r="C711" s="78" t="s">
        <v>700</v>
      </c>
      <c r="D711" s="116" t="s">
        <v>701</v>
      </c>
      <c r="E711" s="116" t="s">
        <v>702</v>
      </c>
      <c r="F711" s="151">
        <v>45916</v>
      </c>
      <c r="G711" s="116" t="s">
        <v>86</v>
      </c>
      <c r="H711" s="116" t="s">
        <v>23</v>
      </c>
      <c r="I711" s="139">
        <v>3630</v>
      </c>
      <c r="J711" s="139">
        <v>0</v>
      </c>
      <c r="K711" s="139">
        <f t="shared" ref="K711:K713" si="50">I711-J711</f>
        <v>3630</v>
      </c>
      <c r="L711" s="139">
        <v>3630</v>
      </c>
      <c r="M711" s="139"/>
      <c r="N711" s="131">
        <f t="shared" si="49"/>
        <v>0</v>
      </c>
      <c r="O711" s="141" t="s">
        <v>703</v>
      </c>
      <c r="P711" s="141"/>
      <c r="Q711" s="89" t="s">
        <v>51</v>
      </c>
    </row>
    <row r="712" s="89" customFormat="1" spans="1:17">
      <c r="A712" s="122">
        <v>45901</v>
      </c>
      <c r="B712" s="116" t="s">
        <v>679</v>
      </c>
      <c r="C712" s="78" t="s">
        <v>700</v>
      </c>
      <c r="D712" s="116" t="s">
        <v>701</v>
      </c>
      <c r="E712" s="116" t="s">
        <v>702</v>
      </c>
      <c r="F712" s="151">
        <v>45916</v>
      </c>
      <c r="G712" s="116" t="s">
        <v>86</v>
      </c>
      <c r="H712" s="112" t="s">
        <v>21</v>
      </c>
      <c r="I712" s="139">
        <v>16632</v>
      </c>
      <c r="J712" s="139">
        <v>0</v>
      </c>
      <c r="K712" s="139">
        <f t="shared" si="50"/>
        <v>16632</v>
      </c>
      <c r="L712" s="139">
        <v>16632</v>
      </c>
      <c r="M712" s="139"/>
      <c r="N712" s="131">
        <f t="shared" si="49"/>
        <v>0</v>
      </c>
      <c r="O712" s="141" t="s">
        <v>703</v>
      </c>
      <c r="P712" s="141"/>
      <c r="Q712" s="89" t="s">
        <v>51</v>
      </c>
    </row>
    <row r="713" s="86" customFormat="1" spans="1:16">
      <c r="A713" s="111">
        <v>45839</v>
      </c>
      <c r="B713" s="116" t="s">
        <v>679</v>
      </c>
      <c r="C713" s="113" t="s">
        <v>704</v>
      </c>
      <c r="D713" s="112" t="s">
        <v>705</v>
      </c>
      <c r="E713" s="112" t="s">
        <v>706</v>
      </c>
      <c r="F713" s="151">
        <v>45824</v>
      </c>
      <c r="G713" s="112" t="s">
        <v>46</v>
      </c>
      <c r="H713" s="112" t="s">
        <v>21</v>
      </c>
      <c r="I713" s="130">
        <v>19110</v>
      </c>
      <c r="J713" s="130">
        <v>6370</v>
      </c>
      <c r="K713" s="130">
        <f t="shared" si="50"/>
        <v>12740</v>
      </c>
      <c r="L713" s="130">
        <v>12740</v>
      </c>
      <c r="M713" s="130"/>
      <c r="N713" s="131">
        <f t="shared" si="49"/>
        <v>0</v>
      </c>
      <c r="O713" s="112" t="s">
        <v>707</v>
      </c>
      <c r="P713" s="112"/>
    </row>
    <row r="714" s="86" customFormat="1" spans="1:16">
      <c r="A714" s="111">
        <v>45839</v>
      </c>
      <c r="B714" s="116" t="s">
        <v>679</v>
      </c>
      <c r="C714" s="113" t="s">
        <v>704</v>
      </c>
      <c r="D714" s="112" t="s">
        <v>705</v>
      </c>
      <c r="E714" s="112" t="s">
        <v>706</v>
      </c>
      <c r="F714" s="151">
        <v>45824</v>
      </c>
      <c r="G714" s="112" t="s">
        <v>46</v>
      </c>
      <c r="H714" s="112" t="s">
        <v>23</v>
      </c>
      <c r="I714" s="130">
        <v>16170</v>
      </c>
      <c r="J714" s="130">
        <v>0</v>
      </c>
      <c r="K714" s="130">
        <v>16170</v>
      </c>
      <c r="L714" s="130">
        <v>16170</v>
      </c>
      <c r="M714" s="130"/>
      <c r="N714" s="131">
        <f t="shared" si="49"/>
        <v>0</v>
      </c>
      <c r="O714" s="112" t="s">
        <v>708</v>
      </c>
      <c r="P714" s="112"/>
    </row>
    <row r="715" s="89" customFormat="1" spans="1:17">
      <c r="A715" s="122">
        <v>45901</v>
      </c>
      <c r="B715" s="116" t="s">
        <v>679</v>
      </c>
      <c r="C715" s="78" t="s">
        <v>704</v>
      </c>
      <c r="D715" s="116" t="s">
        <v>705</v>
      </c>
      <c r="E715" s="116" t="s">
        <v>706</v>
      </c>
      <c r="F715" s="151">
        <v>45916</v>
      </c>
      <c r="G715" s="116" t="s">
        <v>86</v>
      </c>
      <c r="H715" s="116" t="s">
        <v>23</v>
      </c>
      <c r="I715" s="139">
        <v>16170</v>
      </c>
      <c r="J715" s="139">
        <v>0</v>
      </c>
      <c r="K715" s="139">
        <f t="shared" ref="K715:K720" si="51">I715-J715</f>
        <v>16170</v>
      </c>
      <c r="L715" s="139">
        <v>16170</v>
      </c>
      <c r="M715" s="139"/>
      <c r="N715" s="131">
        <f t="shared" si="49"/>
        <v>0</v>
      </c>
      <c r="O715" s="141" t="s">
        <v>709</v>
      </c>
      <c r="P715" s="141"/>
      <c r="Q715" s="89" t="s">
        <v>51</v>
      </c>
    </row>
    <row r="716" s="89" customFormat="1" spans="1:17">
      <c r="A716" s="122">
        <v>45901</v>
      </c>
      <c r="B716" s="116" t="s">
        <v>679</v>
      </c>
      <c r="C716" s="78" t="s">
        <v>704</v>
      </c>
      <c r="D716" s="116" t="s">
        <v>705</v>
      </c>
      <c r="E716" s="116" t="s">
        <v>706</v>
      </c>
      <c r="F716" s="151">
        <v>45916</v>
      </c>
      <c r="G716" s="116" t="s">
        <v>86</v>
      </c>
      <c r="H716" s="112" t="s">
        <v>21</v>
      </c>
      <c r="I716" s="139">
        <v>19110</v>
      </c>
      <c r="J716" s="139">
        <v>6370</v>
      </c>
      <c r="K716" s="139">
        <f t="shared" si="51"/>
        <v>12740</v>
      </c>
      <c r="L716" s="139">
        <v>12740</v>
      </c>
      <c r="M716" s="139"/>
      <c r="N716" s="131">
        <f t="shared" si="49"/>
        <v>0</v>
      </c>
      <c r="O716" s="141" t="s">
        <v>710</v>
      </c>
      <c r="P716" s="141"/>
      <c r="Q716" s="89" t="s">
        <v>51</v>
      </c>
    </row>
    <row r="717" s="86" customFormat="1" spans="1:16">
      <c r="A717" s="111">
        <v>45839</v>
      </c>
      <c r="B717" s="116" t="s">
        <v>679</v>
      </c>
      <c r="C717" s="113" t="s">
        <v>711</v>
      </c>
      <c r="D717" s="112" t="s">
        <v>712</v>
      </c>
      <c r="E717" s="112" t="s">
        <v>713</v>
      </c>
      <c r="F717" s="151">
        <v>45869</v>
      </c>
      <c r="G717" s="112" t="s">
        <v>260</v>
      </c>
      <c r="H717" s="112" t="s">
        <v>21</v>
      </c>
      <c r="I717" s="139">
        <v>59301.84</v>
      </c>
      <c r="J717" s="139">
        <v>0</v>
      </c>
      <c r="K717" s="139">
        <f t="shared" si="51"/>
        <v>59301.84</v>
      </c>
      <c r="L717" s="139">
        <v>59301.84</v>
      </c>
      <c r="M717" s="139"/>
      <c r="N717" s="131">
        <f t="shared" si="49"/>
        <v>0</v>
      </c>
      <c r="O717" s="112" t="s">
        <v>156</v>
      </c>
      <c r="P717" s="112"/>
    </row>
    <row r="718" s="86" customFormat="1" spans="1:16">
      <c r="A718" s="111">
        <v>45839</v>
      </c>
      <c r="B718" s="116" t="s">
        <v>679</v>
      </c>
      <c r="C718" s="113" t="s">
        <v>711</v>
      </c>
      <c r="D718" s="112" t="s">
        <v>712</v>
      </c>
      <c r="E718" s="112" t="s">
        <v>713</v>
      </c>
      <c r="F718" s="151">
        <v>45869</v>
      </c>
      <c r="G718" s="112" t="s">
        <v>260</v>
      </c>
      <c r="H718" s="112" t="s">
        <v>23</v>
      </c>
      <c r="I718" s="139">
        <v>26892</v>
      </c>
      <c r="J718" s="139">
        <v>0</v>
      </c>
      <c r="K718" s="139">
        <f t="shared" si="51"/>
        <v>26892</v>
      </c>
      <c r="L718" s="139">
        <v>26892</v>
      </c>
      <c r="M718" s="139"/>
      <c r="N718" s="131">
        <f t="shared" si="49"/>
        <v>0</v>
      </c>
      <c r="O718" s="112" t="s">
        <v>156</v>
      </c>
      <c r="P718" s="112"/>
    </row>
    <row r="719" s="89" customFormat="1" spans="1:17">
      <c r="A719" s="122">
        <v>45901</v>
      </c>
      <c r="B719" s="116" t="s">
        <v>679</v>
      </c>
      <c r="C719" s="78" t="s">
        <v>711</v>
      </c>
      <c r="D719" s="116" t="s">
        <v>712</v>
      </c>
      <c r="E719" s="116" t="s">
        <v>713</v>
      </c>
      <c r="F719" s="151">
        <v>45930</v>
      </c>
      <c r="G719" s="116" t="s">
        <v>315</v>
      </c>
      <c r="H719" s="116" t="s">
        <v>23</v>
      </c>
      <c r="I719" s="139">
        <v>26892</v>
      </c>
      <c r="J719" s="139">
        <v>0</v>
      </c>
      <c r="K719" s="139">
        <f t="shared" si="51"/>
        <v>26892</v>
      </c>
      <c r="L719" s="139">
        <v>24463</v>
      </c>
      <c r="M719" s="139"/>
      <c r="N719" s="131">
        <f t="shared" si="49"/>
        <v>2429</v>
      </c>
      <c r="O719" s="141" t="s">
        <v>714</v>
      </c>
      <c r="P719" s="141"/>
      <c r="Q719" s="89" t="s">
        <v>51</v>
      </c>
    </row>
    <row r="720" s="89" customFormat="1" spans="1:17">
      <c r="A720" s="122">
        <v>45901</v>
      </c>
      <c r="B720" s="116" t="s">
        <v>679</v>
      </c>
      <c r="C720" s="78" t="s">
        <v>711</v>
      </c>
      <c r="D720" s="116" t="s">
        <v>712</v>
      </c>
      <c r="E720" s="116" t="s">
        <v>713</v>
      </c>
      <c r="F720" s="151">
        <v>45930</v>
      </c>
      <c r="G720" s="116" t="s">
        <v>315</v>
      </c>
      <c r="H720" s="112" t="s">
        <v>21</v>
      </c>
      <c r="I720" s="139">
        <v>59301.84</v>
      </c>
      <c r="J720" s="139">
        <v>0</v>
      </c>
      <c r="K720" s="139">
        <f t="shared" si="51"/>
        <v>59301.84</v>
      </c>
      <c r="L720" s="139">
        <v>59301.84</v>
      </c>
      <c r="M720" s="139"/>
      <c r="N720" s="131">
        <f t="shared" si="49"/>
        <v>0</v>
      </c>
      <c r="O720" s="141" t="s">
        <v>714</v>
      </c>
      <c r="P720" s="141"/>
      <c r="Q720" s="89" t="s">
        <v>51</v>
      </c>
    </row>
    <row r="721" s="88" customFormat="1" spans="1:16">
      <c r="A721" s="118">
        <v>45962</v>
      </c>
      <c r="B721" s="116" t="s">
        <v>679</v>
      </c>
      <c r="C721" s="119" t="s">
        <v>711</v>
      </c>
      <c r="D721" s="114" t="s">
        <v>715</v>
      </c>
      <c r="E721" s="114" t="s">
        <v>713</v>
      </c>
      <c r="F721" s="151">
        <v>45976</v>
      </c>
      <c r="G721" s="114" t="s">
        <v>98</v>
      </c>
      <c r="H721" s="114" t="s">
        <v>23</v>
      </c>
      <c r="I721" s="131">
        <v>13446</v>
      </c>
      <c r="J721" s="131"/>
      <c r="K721" s="136">
        <v>13446</v>
      </c>
      <c r="L721" s="136">
        <v>13446</v>
      </c>
      <c r="M721" s="136"/>
      <c r="N721" s="131">
        <f t="shared" si="49"/>
        <v>0</v>
      </c>
      <c r="O721" s="114" t="s">
        <v>716</v>
      </c>
      <c r="P721" s="138"/>
    </row>
    <row r="722" s="88" customFormat="1" spans="1:16">
      <c r="A722" s="118">
        <v>45962</v>
      </c>
      <c r="B722" s="116" t="s">
        <v>679</v>
      </c>
      <c r="C722" s="119" t="s">
        <v>711</v>
      </c>
      <c r="D722" s="114" t="s">
        <v>715</v>
      </c>
      <c r="E722" s="114" t="s">
        <v>713</v>
      </c>
      <c r="F722" s="151">
        <v>45976</v>
      </c>
      <c r="G722" s="114" t="s">
        <v>26</v>
      </c>
      <c r="H722" s="114" t="s">
        <v>23</v>
      </c>
      <c r="I722" s="131">
        <v>13446</v>
      </c>
      <c r="J722" s="131"/>
      <c r="K722" s="136">
        <v>13446</v>
      </c>
      <c r="L722" s="136">
        <v>13446</v>
      </c>
      <c r="M722" s="136"/>
      <c r="N722" s="131">
        <f t="shared" si="49"/>
        <v>0</v>
      </c>
      <c r="O722" s="114" t="s">
        <v>716</v>
      </c>
      <c r="P722" s="138"/>
    </row>
    <row r="723" s="88" customFormat="1" spans="1:16">
      <c r="A723" s="118">
        <v>45962</v>
      </c>
      <c r="B723" s="116" t="s">
        <v>679</v>
      </c>
      <c r="C723" s="119" t="s">
        <v>711</v>
      </c>
      <c r="D723" s="114" t="s">
        <v>715</v>
      </c>
      <c r="E723" s="114" t="s">
        <v>713</v>
      </c>
      <c r="F723" s="151">
        <v>45966</v>
      </c>
      <c r="G723" s="114" t="s">
        <v>290</v>
      </c>
      <c r="H723" s="121" t="s">
        <v>30</v>
      </c>
      <c r="I723" s="131">
        <v>250</v>
      </c>
      <c r="J723" s="131"/>
      <c r="K723" s="136">
        <v>250</v>
      </c>
      <c r="L723" s="136">
        <v>250</v>
      </c>
      <c r="M723" s="136"/>
      <c r="N723" s="131">
        <f t="shared" si="49"/>
        <v>0</v>
      </c>
      <c r="O723" s="114" t="s">
        <v>716</v>
      </c>
      <c r="P723" s="138" t="s">
        <v>717</v>
      </c>
    </row>
    <row r="724" s="88" customFormat="1" spans="1:16">
      <c r="A724" s="118">
        <v>45962</v>
      </c>
      <c r="B724" s="116" t="s">
        <v>679</v>
      </c>
      <c r="C724" s="119" t="s">
        <v>711</v>
      </c>
      <c r="D724" s="114" t="s">
        <v>715</v>
      </c>
      <c r="E724" s="114" t="s">
        <v>713</v>
      </c>
      <c r="F724" s="151">
        <v>45966</v>
      </c>
      <c r="G724" s="114" t="s">
        <v>291</v>
      </c>
      <c r="H724" s="121" t="s">
        <v>30</v>
      </c>
      <c r="I724" s="131">
        <v>250</v>
      </c>
      <c r="J724" s="131"/>
      <c r="K724" s="136">
        <v>250</v>
      </c>
      <c r="L724" s="136">
        <v>250</v>
      </c>
      <c r="M724" s="136"/>
      <c r="N724" s="131">
        <f t="shared" si="49"/>
        <v>0</v>
      </c>
      <c r="O724" s="114" t="s">
        <v>716</v>
      </c>
      <c r="P724" s="138"/>
    </row>
    <row r="725" s="88" customFormat="1" spans="1:16">
      <c r="A725" s="118">
        <v>45962</v>
      </c>
      <c r="B725" s="116" t="s">
        <v>679</v>
      </c>
      <c r="C725" s="119" t="s">
        <v>711</v>
      </c>
      <c r="D725" s="114" t="s">
        <v>715</v>
      </c>
      <c r="E725" s="114" t="s">
        <v>713</v>
      </c>
      <c r="F725" s="151">
        <v>45966</v>
      </c>
      <c r="G725" s="114" t="s">
        <v>292</v>
      </c>
      <c r="H725" s="121" t="s">
        <v>30</v>
      </c>
      <c r="I725" s="131">
        <v>250</v>
      </c>
      <c r="J725" s="131"/>
      <c r="K725" s="136">
        <v>250</v>
      </c>
      <c r="L725" s="136">
        <v>250</v>
      </c>
      <c r="M725" s="136"/>
      <c r="N725" s="131">
        <f t="shared" si="49"/>
        <v>0</v>
      </c>
      <c r="O725" s="114" t="s">
        <v>716</v>
      </c>
      <c r="P725" s="138"/>
    </row>
    <row r="726" s="88" customFormat="1" spans="1:16">
      <c r="A726" s="118">
        <v>45962</v>
      </c>
      <c r="B726" s="116" t="s">
        <v>679</v>
      </c>
      <c r="C726" s="119" t="s">
        <v>711</v>
      </c>
      <c r="D726" s="114" t="s">
        <v>715</v>
      </c>
      <c r="E726" s="114" t="s">
        <v>713</v>
      </c>
      <c r="F726" s="151">
        <v>45966</v>
      </c>
      <c r="G726" s="114" t="s">
        <v>293</v>
      </c>
      <c r="H726" s="121" t="s">
        <v>30</v>
      </c>
      <c r="I726" s="131">
        <v>250</v>
      </c>
      <c r="J726" s="131"/>
      <c r="K726" s="136">
        <v>250</v>
      </c>
      <c r="L726" s="136">
        <v>250</v>
      </c>
      <c r="M726" s="136"/>
      <c r="N726" s="131">
        <f t="shared" si="49"/>
        <v>0</v>
      </c>
      <c r="O726" s="114" t="s">
        <v>716</v>
      </c>
      <c r="P726" s="138"/>
    </row>
    <row r="727" s="88" customFormat="1" spans="1:16">
      <c r="A727" s="118">
        <v>45962</v>
      </c>
      <c r="B727" s="116" t="s">
        <v>679</v>
      </c>
      <c r="C727" s="119" t="s">
        <v>711</v>
      </c>
      <c r="D727" s="114" t="s">
        <v>715</v>
      </c>
      <c r="E727" s="114" t="s">
        <v>713</v>
      </c>
      <c r="F727" s="151">
        <v>45966</v>
      </c>
      <c r="G727" s="114" t="s">
        <v>294</v>
      </c>
      <c r="H727" s="121" t="s">
        <v>30</v>
      </c>
      <c r="I727" s="131">
        <v>250</v>
      </c>
      <c r="J727" s="131"/>
      <c r="K727" s="136">
        <v>250</v>
      </c>
      <c r="L727" s="136">
        <v>250</v>
      </c>
      <c r="M727" s="136"/>
      <c r="N727" s="131">
        <f t="shared" si="49"/>
        <v>0</v>
      </c>
      <c r="O727" s="114" t="s">
        <v>716</v>
      </c>
      <c r="P727" s="138"/>
    </row>
    <row r="728" s="88" customFormat="1" spans="1:16">
      <c r="A728" s="118">
        <v>45962</v>
      </c>
      <c r="B728" s="116" t="s">
        <v>679</v>
      </c>
      <c r="C728" s="119" t="s">
        <v>711</v>
      </c>
      <c r="D728" s="114" t="s">
        <v>715</v>
      </c>
      <c r="E728" s="114" t="s">
        <v>713</v>
      </c>
      <c r="F728" s="151">
        <v>45966</v>
      </c>
      <c r="G728" s="114" t="s">
        <v>295</v>
      </c>
      <c r="H728" s="121" t="s">
        <v>30</v>
      </c>
      <c r="I728" s="131">
        <v>250</v>
      </c>
      <c r="J728" s="131"/>
      <c r="K728" s="136">
        <v>250</v>
      </c>
      <c r="L728" s="136">
        <v>250</v>
      </c>
      <c r="M728" s="136"/>
      <c r="N728" s="131">
        <f t="shared" si="49"/>
        <v>0</v>
      </c>
      <c r="O728" s="114" t="s">
        <v>716</v>
      </c>
      <c r="P728" s="138"/>
    </row>
    <row r="729" s="88" customFormat="1" spans="1:16">
      <c r="A729" s="118">
        <v>45962</v>
      </c>
      <c r="B729" s="116" t="s">
        <v>679</v>
      </c>
      <c r="C729" s="119" t="s">
        <v>711</v>
      </c>
      <c r="D729" s="114" t="s">
        <v>715</v>
      </c>
      <c r="E729" s="114" t="s">
        <v>713</v>
      </c>
      <c r="F729" s="151">
        <v>45966</v>
      </c>
      <c r="G729" s="114" t="s">
        <v>296</v>
      </c>
      <c r="H729" s="121" t="s">
        <v>30</v>
      </c>
      <c r="I729" s="131">
        <v>250</v>
      </c>
      <c r="J729" s="131"/>
      <c r="K729" s="136">
        <v>250</v>
      </c>
      <c r="L729" s="136">
        <v>250</v>
      </c>
      <c r="M729" s="136"/>
      <c r="N729" s="131">
        <f t="shared" si="49"/>
        <v>0</v>
      </c>
      <c r="O729" s="114" t="s">
        <v>716</v>
      </c>
      <c r="P729" s="138"/>
    </row>
    <row r="730" s="88" customFormat="1" spans="1:16">
      <c r="A730" s="118">
        <v>45962</v>
      </c>
      <c r="B730" s="116" t="s">
        <v>679</v>
      </c>
      <c r="C730" s="119" t="s">
        <v>711</v>
      </c>
      <c r="D730" s="114" t="s">
        <v>715</v>
      </c>
      <c r="E730" s="114" t="s">
        <v>713</v>
      </c>
      <c r="F730" s="151">
        <v>45966</v>
      </c>
      <c r="G730" s="114" t="s">
        <v>297</v>
      </c>
      <c r="H730" s="121" t="s">
        <v>30</v>
      </c>
      <c r="I730" s="131">
        <v>250</v>
      </c>
      <c r="J730" s="131"/>
      <c r="K730" s="136">
        <v>250</v>
      </c>
      <c r="L730" s="136">
        <v>250</v>
      </c>
      <c r="M730" s="136"/>
      <c r="N730" s="131">
        <f t="shared" si="49"/>
        <v>0</v>
      </c>
      <c r="O730" s="114" t="s">
        <v>716</v>
      </c>
      <c r="P730" s="138"/>
    </row>
    <row r="731" s="88" customFormat="1" spans="1:16">
      <c r="A731" s="118">
        <v>45962</v>
      </c>
      <c r="B731" s="116" t="s">
        <v>679</v>
      </c>
      <c r="C731" s="119" t="s">
        <v>711</v>
      </c>
      <c r="D731" s="114" t="s">
        <v>715</v>
      </c>
      <c r="E731" s="114" t="s">
        <v>713</v>
      </c>
      <c r="F731" s="151">
        <v>45966</v>
      </c>
      <c r="G731" s="114" t="s">
        <v>298</v>
      </c>
      <c r="H731" s="121" t="s">
        <v>30</v>
      </c>
      <c r="I731" s="131">
        <v>250</v>
      </c>
      <c r="J731" s="131"/>
      <c r="K731" s="136">
        <v>250</v>
      </c>
      <c r="L731" s="136">
        <v>250</v>
      </c>
      <c r="M731" s="136"/>
      <c r="N731" s="131">
        <f t="shared" si="49"/>
        <v>0</v>
      </c>
      <c r="O731" s="114" t="s">
        <v>716</v>
      </c>
      <c r="P731" s="138"/>
    </row>
    <row r="732" s="88" customFormat="1" spans="1:16">
      <c r="A732" s="118">
        <v>45962</v>
      </c>
      <c r="B732" s="116" t="s">
        <v>679</v>
      </c>
      <c r="C732" s="119" t="s">
        <v>711</v>
      </c>
      <c r="D732" s="114" t="s">
        <v>715</v>
      </c>
      <c r="E732" s="114" t="s">
        <v>713</v>
      </c>
      <c r="F732" s="151">
        <v>45966</v>
      </c>
      <c r="G732" s="114" t="s">
        <v>299</v>
      </c>
      <c r="H732" s="121" t="s">
        <v>30</v>
      </c>
      <c r="I732" s="131">
        <v>250</v>
      </c>
      <c r="J732" s="131"/>
      <c r="K732" s="136">
        <v>250</v>
      </c>
      <c r="L732" s="136">
        <v>250</v>
      </c>
      <c r="M732" s="136"/>
      <c r="N732" s="131">
        <f t="shared" si="49"/>
        <v>0</v>
      </c>
      <c r="O732" s="114" t="s">
        <v>716</v>
      </c>
      <c r="P732" s="138"/>
    </row>
    <row r="733" s="88" customFormat="1" spans="1:16">
      <c r="A733" s="118">
        <v>45962</v>
      </c>
      <c r="B733" s="116" t="s">
        <v>679</v>
      </c>
      <c r="C733" s="119" t="s">
        <v>711</v>
      </c>
      <c r="D733" s="114" t="s">
        <v>715</v>
      </c>
      <c r="E733" s="114" t="s">
        <v>713</v>
      </c>
      <c r="F733" s="151">
        <v>45966</v>
      </c>
      <c r="G733" s="114" t="s">
        <v>300</v>
      </c>
      <c r="H733" s="121" t="s">
        <v>30</v>
      </c>
      <c r="I733" s="131">
        <v>250</v>
      </c>
      <c r="J733" s="131"/>
      <c r="K733" s="136">
        <v>250</v>
      </c>
      <c r="L733" s="136">
        <v>250</v>
      </c>
      <c r="M733" s="136"/>
      <c r="N733" s="131">
        <f t="shared" si="49"/>
        <v>0</v>
      </c>
      <c r="O733" s="114" t="s">
        <v>716</v>
      </c>
      <c r="P733" s="138"/>
    </row>
    <row r="734" s="88" customFormat="1" spans="1:16">
      <c r="A734" s="118">
        <v>45962</v>
      </c>
      <c r="B734" s="116" t="s">
        <v>679</v>
      </c>
      <c r="C734" s="119" t="s">
        <v>711</v>
      </c>
      <c r="D734" s="114" t="s">
        <v>715</v>
      </c>
      <c r="E734" s="114" t="s">
        <v>713</v>
      </c>
      <c r="F734" s="151">
        <v>45966</v>
      </c>
      <c r="G734" s="114" t="s">
        <v>301</v>
      </c>
      <c r="H734" s="121" t="s">
        <v>30</v>
      </c>
      <c r="I734" s="131">
        <v>250</v>
      </c>
      <c r="J734" s="131"/>
      <c r="K734" s="136">
        <v>250</v>
      </c>
      <c r="L734" s="136">
        <v>250</v>
      </c>
      <c r="M734" s="136"/>
      <c r="N734" s="131">
        <f t="shared" si="49"/>
        <v>0</v>
      </c>
      <c r="O734" s="114" t="s">
        <v>716</v>
      </c>
      <c r="P734" s="138"/>
    </row>
    <row r="735" s="88" customFormat="1" spans="1:16">
      <c r="A735" s="118">
        <v>45962</v>
      </c>
      <c r="B735" s="116" t="s">
        <v>679</v>
      </c>
      <c r="C735" s="119" t="s">
        <v>711</v>
      </c>
      <c r="D735" s="114" t="s">
        <v>715</v>
      </c>
      <c r="E735" s="114" t="s">
        <v>713</v>
      </c>
      <c r="F735" s="151">
        <v>45976</v>
      </c>
      <c r="G735" s="114" t="s">
        <v>98</v>
      </c>
      <c r="H735" s="112" t="s">
        <v>21</v>
      </c>
      <c r="I735" s="131">
        <v>29650.92</v>
      </c>
      <c r="J735" s="131"/>
      <c r="K735" s="136">
        <v>29650.92</v>
      </c>
      <c r="L735" s="136">
        <v>29650.92</v>
      </c>
      <c r="M735" s="136"/>
      <c r="N735" s="131">
        <f t="shared" si="49"/>
        <v>0</v>
      </c>
      <c r="O735" s="114" t="s">
        <v>716</v>
      </c>
      <c r="P735" s="138"/>
    </row>
    <row r="736" s="88" customFormat="1" spans="1:16">
      <c r="A736" s="118">
        <v>45962</v>
      </c>
      <c r="B736" s="116" t="s">
        <v>679</v>
      </c>
      <c r="C736" s="119" t="s">
        <v>711</v>
      </c>
      <c r="D736" s="114" t="s">
        <v>715</v>
      </c>
      <c r="E736" s="114" t="s">
        <v>713</v>
      </c>
      <c r="F736" s="151">
        <v>45976</v>
      </c>
      <c r="G736" s="114" t="s">
        <v>26</v>
      </c>
      <c r="H736" s="112" t="s">
        <v>21</v>
      </c>
      <c r="I736" s="131">
        <v>29650.92</v>
      </c>
      <c r="J736" s="131"/>
      <c r="K736" s="136">
        <v>29650.92</v>
      </c>
      <c r="L736" s="136">
        <v>29650.92</v>
      </c>
      <c r="M736" s="136"/>
      <c r="N736" s="131">
        <f t="shared" si="49"/>
        <v>0</v>
      </c>
      <c r="O736" s="114" t="s">
        <v>716</v>
      </c>
      <c r="P736" s="138"/>
    </row>
    <row r="737" s="86" customFormat="1" spans="1:16">
      <c r="A737" s="111">
        <v>45839</v>
      </c>
      <c r="B737" s="116" t="s">
        <v>679</v>
      </c>
      <c r="C737" s="113" t="s">
        <v>718</v>
      </c>
      <c r="D737" s="112" t="s">
        <v>719</v>
      </c>
      <c r="E737" s="112" t="s">
        <v>720</v>
      </c>
      <c r="F737" s="151">
        <v>45824</v>
      </c>
      <c r="G737" s="112" t="s">
        <v>46</v>
      </c>
      <c r="H737" s="112" t="s">
        <v>21</v>
      </c>
      <c r="I737" s="139">
        <v>4230</v>
      </c>
      <c r="J737" s="139">
        <v>0</v>
      </c>
      <c r="K737" s="139">
        <v>4230</v>
      </c>
      <c r="L737" s="139">
        <v>4230</v>
      </c>
      <c r="M737" s="139"/>
      <c r="N737" s="131">
        <f t="shared" si="49"/>
        <v>0</v>
      </c>
      <c r="O737" s="112" t="s">
        <v>47</v>
      </c>
      <c r="P737" s="112"/>
    </row>
    <row r="738" s="86" customFormat="1" spans="1:16">
      <c r="A738" s="111">
        <v>45839</v>
      </c>
      <c r="B738" s="116" t="s">
        <v>679</v>
      </c>
      <c r="C738" s="113" t="s">
        <v>718</v>
      </c>
      <c r="D738" s="112" t="s">
        <v>719</v>
      </c>
      <c r="E738" s="112" t="s">
        <v>720</v>
      </c>
      <c r="F738" s="151">
        <v>45824</v>
      </c>
      <c r="G738" s="112" t="s">
        <v>46</v>
      </c>
      <c r="H738" s="112" t="s">
        <v>23</v>
      </c>
      <c r="I738" s="139">
        <v>4950</v>
      </c>
      <c r="J738" s="139">
        <v>0</v>
      </c>
      <c r="K738" s="139">
        <v>4950</v>
      </c>
      <c r="L738" s="139">
        <v>4950</v>
      </c>
      <c r="M738" s="139"/>
      <c r="N738" s="131">
        <f t="shared" si="49"/>
        <v>0</v>
      </c>
      <c r="O738" s="112" t="s">
        <v>47</v>
      </c>
      <c r="P738" s="112"/>
    </row>
    <row r="739" s="89" customFormat="1" spans="1:17">
      <c r="A739" s="122">
        <v>45901</v>
      </c>
      <c r="B739" s="116" t="s">
        <v>679</v>
      </c>
      <c r="C739" s="78" t="s">
        <v>718</v>
      </c>
      <c r="D739" s="116" t="s">
        <v>719</v>
      </c>
      <c r="E739" s="116" t="s">
        <v>720</v>
      </c>
      <c r="F739" s="151">
        <v>45916</v>
      </c>
      <c r="G739" s="116" t="s">
        <v>86</v>
      </c>
      <c r="H739" s="116" t="s">
        <v>23</v>
      </c>
      <c r="I739" s="139">
        <v>4950</v>
      </c>
      <c r="J739" s="139">
        <v>0</v>
      </c>
      <c r="K739" s="139">
        <f t="shared" ref="K739:K744" si="52">I739-J739</f>
        <v>4950</v>
      </c>
      <c r="L739" s="139">
        <v>4950</v>
      </c>
      <c r="M739" s="139"/>
      <c r="N739" s="131">
        <f t="shared" si="49"/>
        <v>0</v>
      </c>
      <c r="O739" s="141" t="s">
        <v>105</v>
      </c>
      <c r="P739" s="141"/>
      <c r="Q739" s="89" t="s">
        <v>51</v>
      </c>
    </row>
    <row r="740" s="89" customFormat="1" spans="1:17">
      <c r="A740" s="122">
        <v>45901</v>
      </c>
      <c r="B740" s="116" t="s">
        <v>679</v>
      </c>
      <c r="C740" s="78" t="s">
        <v>718</v>
      </c>
      <c r="D740" s="116" t="s">
        <v>719</v>
      </c>
      <c r="E740" s="116" t="s">
        <v>720</v>
      </c>
      <c r="F740" s="151">
        <v>45916</v>
      </c>
      <c r="G740" s="116" t="s">
        <v>86</v>
      </c>
      <c r="H740" s="112" t="s">
        <v>21</v>
      </c>
      <c r="I740" s="139">
        <v>4230</v>
      </c>
      <c r="J740" s="139">
        <v>0</v>
      </c>
      <c r="K740" s="139">
        <f t="shared" si="52"/>
        <v>4230</v>
      </c>
      <c r="L740" s="139">
        <v>4230</v>
      </c>
      <c r="M740" s="139"/>
      <c r="N740" s="131">
        <f t="shared" si="49"/>
        <v>0</v>
      </c>
      <c r="O740" s="141" t="s">
        <v>105</v>
      </c>
      <c r="P740" s="141"/>
      <c r="Q740" s="89" t="s">
        <v>51</v>
      </c>
    </row>
    <row r="741" s="86" customFormat="1" spans="1:16">
      <c r="A741" s="111">
        <v>45839</v>
      </c>
      <c r="B741" s="116" t="s">
        <v>679</v>
      </c>
      <c r="C741" s="113" t="s">
        <v>721</v>
      </c>
      <c r="D741" s="112" t="s">
        <v>719</v>
      </c>
      <c r="E741" s="112" t="s">
        <v>722</v>
      </c>
      <c r="F741" s="151">
        <v>45824</v>
      </c>
      <c r="G741" s="112" t="s">
        <v>46</v>
      </c>
      <c r="H741" s="112" t="s">
        <v>21</v>
      </c>
      <c r="I741" s="130">
        <v>4089</v>
      </c>
      <c r="J741" s="130">
        <v>0</v>
      </c>
      <c r="K741" s="130">
        <v>4089</v>
      </c>
      <c r="L741" s="130">
        <f>3874+215</f>
        <v>4089</v>
      </c>
      <c r="M741" s="130"/>
      <c r="N741" s="131">
        <f t="shared" si="49"/>
        <v>0</v>
      </c>
      <c r="O741" s="112" t="s">
        <v>723</v>
      </c>
      <c r="P741" s="112"/>
    </row>
    <row r="742" s="86" customFormat="1" spans="1:16">
      <c r="A742" s="111">
        <v>45839</v>
      </c>
      <c r="B742" s="116" t="s">
        <v>679</v>
      </c>
      <c r="C742" s="113" t="s">
        <v>721</v>
      </c>
      <c r="D742" s="112" t="s">
        <v>719</v>
      </c>
      <c r="E742" s="112" t="s">
        <v>722</v>
      </c>
      <c r="F742" s="151">
        <v>45824</v>
      </c>
      <c r="G742" s="112" t="s">
        <v>46</v>
      </c>
      <c r="H742" s="112" t="s">
        <v>23</v>
      </c>
      <c r="I742" s="130">
        <v>4785</v>
      </c>
      <c r="J742" s="130">
        <v>0</v>
      </c>
      <c r="K742" s="130">
        <v>4785</v>
      </c>
      <c r="L742" s="130">
        <v>4785</v>
      </c>
      <c r="M742" s="130"/>
      <c r="N742" s="131">
        <f t="shared" si="49"/>
        <v>0</v>
      </c>
      <c r="O742" s="112" t="s">
        <v>724</v>
      </c>
      <c r="P742" s="112"/>
    </row>
    <row r="743" s="89" customFormat="1" spans="1:17">
      <c r="A743" s="122">
        <v>45901</v>
      </c>
      <c r="B743" s="116" t="s">
        <v>679</v>
      </c>
      <c r="C743" s="78" t="s">
        <v>721</v>
      </c>
      <c r="D743" s="116" t="s">
        <v>719</v>
      </c>
      <c r="E743" s="116" t="s">
        <v>722</v>
      </c>
      <c r="F743" s="151">
        <v>45916</v>
      </c>
      <c r="G743" s="116" t="s">
        <v>86</v>
      </c>
      <c r="H743" s="116" t="s">
        <v>23</v>
      </c>
      <c r="I743" s="139">
        <v>4785</v>
      </c>
      <c r="J743" s="139">
        <v>0</v>
      </c>
      <c r="K743" s="139">
        <f t="shared" si="52"/>
        <v>4785</v>
      </c>
      <c r="L743" s="139">
        <v>4785</v>
      </c>
      <c r="M743" s="139"/>
      <c r="N743" s="131">
        <f t="shared" si="49"/>
        <v>0</v>
      </c>
      <c r="O743" s="141" t="s">
        <v>725</v>
      </c>
      <c r="P743" s="141"/>
      <c r="Q743" s="89" t="s">
        <v>51</v>
      </c>
    </row>
    <row r="744" s="96" customFormat="1" spans="1:17">
      <c r="A744" s="227">
        <v>45901</v>
      </c>
      <c r="B744" s="228" t="s">
        <v>679</v>
      </c>
      <c r="C744" s="229" t="s">
        <v>721</v>
      </c>
      <c r="D744" s="228" t="s">
        <v>719</v>
      </c>
      <c r="E744" s="228" t="s">
        <v>722</v>
      </c>
      <c r="F744" s="230">
        <v>45916</v>
      </c>
      <c r="G744" s="228" t="s">
        <v>86</v>
      </c>
      <c r="H744" s="231" t="s">
        <v>21</v>
      </c>
      <c r="I744" s="232">
        <v>4089</v>
      </c>
      <c r="J744" s="232">
        <v>0</v>
      </c>
      <c r="K744" s="232">
        <f t="shared" si="52"/>
        <v>4089</v>
      </c>
      <c r="L744" s="232">
        <f>3270+516+125+178</f>
        <v>4089</v>
      </c>
      <c r="M744" s="232"/>
      <c r="N744" s="233">
        <f t="shared" si="49"/>
        <v>0</v>
      </c>
      <c r="O744" s="234" t="s">
        <v>726</v>
      </c>
      <c r="P744" s="234"/>
      <c r="Q744" s="96" t="s">
        <v>51</v>
      </c>
    </row>
    <row r="745" s="86" customFormat="1" spans="1:16">
      <c r="A745" s="111">
        <v>45839</v>
      </c>
      <c r="B745" s="116" t="s">
        <v>679</v>
      </c>
      <c r="C745" s="113" t="s">
        <v>727</v>
      </c>
      <c r="D745" s="112" t="s">
        <v>728</v>
      </c>
      <c r="E745" s="112" t="s">
        <v>729</v>
      </c>
      <c r="F745" s="151">
        <v>45824</v>
      </c>
      <c r="G745" s="112" t="s">
        <v>46</v>
      </c>
      <c r="H745" s="112" t="s">
        <v>21</v>
      </c>
      <c r="I745" s="130">
        <v>39017.55</v>
      </c>
      <c r="J745" s="130">
        <v>0</v>
      </c>
      <c r="K745" s="130">
        <v>39017.55</v>
      </c>
      <c r="L745" s="130">
        <f>7176.2+31841.35</f>
        <v>39017.55</v>
      </c>
      <c r="M745" s="130"/>
      <c r="N745" s="131">
        <f t="shared" si="49"/>
        <v>0</v>
      </c>
      <c r="O745" s="112" t="s">
        <v>730</v>
      </c>
      <c r="P745" s="112"/>
    </row>
    <row r="746" s="86" customFormat="1" spans="1:16">
      <c r="A746" s="111">
        <v>45839</v>
      </c>
      <c r="B746" s="116" t="s">
        <v>679</v>
      </c>
      <c r="C746" s="113" t="s">
        <v>727</v>
      </c>
      <c r="D746" s="112" t="s">
        <v>728</v>
      </c>
      <c r="E746" s="112" t="s">
        <v>729</v>
      </c>
      <c r="F746" s="151">
        <v>45824</v>
      </c>
      <c r="G746" s="112" t="s">
        <v>46</v>
      </c>
      <c r="H746" s="112" t="s">
        <v>23</v>
      </c>
      <c r="I746" s="130">
        <v>36465</v>
      </c>
      <c r="J746" s="130">
        <v>0</v>
      </c>
      <c r="K746" s="130">
        <v>36465</v>
      </c>
      <c r="L746" s="130">
        <f>12155+24310</f>
        <v>36465</v>
      </c>
      <c r="M746" s="130"/>
      <c r="N746" s="131">
        <f t="shared" si="49"/>
        <v>0</v>
      </c>
      <c r="O746" s="112" t="s">
        <v>730</v>
      </c>
      <c r="P746" s="112"/>
    </row>
    <row r="747" s="89" customFormat="1" spans="1:17">
      <c r="A747" s="122">
        <v>45901</v>
      </c>
      <c r="B747" s="116" t="s">
        <v>679</v>
      </c>
      <c r="C747" s="78" t="s">
        <v>727</v>
      </c>
      <c r="D747" s="116" t="s">
        <v>728</v>
      </c>
      <c r="E747" s="116" t="s">
        <v>729</v>
      </c>
      <c r="F747" s="151">
        <v>45916</v>
      </c>
      <c r="G747" s="116" t="s">
        <v>315</v>
      </c>
      <c r="H747" s="116" t="s">
        <v>23</v>
      </c>
      <c r="I747" s="139">
        <v>24310</v>
      </c>
      <c r="J747" s="139">
        <v>0</v>
      </c>
      <c r="K747" s="139">
        <v>24310</v>
      </c>
      <c r="L747" s="139">
        <f>12155+12155</f>
        <v>24310</v>
      </c>
      <c r="M747" s="139"/>
      <c r="N747" s="131">
        <f t="shared" si="49"/>
        <v>0</v>
      </c>
      <c r="O747" s="141" t="s">
        <v>731</v>
      </c>
      <c r="P747" s="141" t="s">
        <v>732</v>
      </c>
      <c r="Q747" s="89" t="s">
        <v>51</v>
      </c>
    </row>
    <row r="748" s="89" customFormat="1" spans="1:17">
      <c r="A748" s="122">
        <v>45901</v>
      </c>
      <c r="B748" s="116" t="s">
        <v>679</v>
      </c>
      <c r="C748" s="78" t="s">
        <v>727</v>
      </c>
      <c r="D748" s="116" t="s">
        <v>728</v>
      </c>
      <c r="E748" s="116" t="s">
        <v>729</v>
      </c>
      <c r="F748" s="151">
        <v>45916</v>
      </c>
      <c r="G748" s="116" t="s">
        <v>315</v>
      </c>
      <c r="H748" s="112" t="s">
        <v>21</v>
      </c>
      <c r="I748" s="139">
        <v>26011.7</v>
      </c>
      <c r="J748" s="139">
        <v>0</v>
      </c>
      <c r="K748" s="139">
        <v>26011.7</v>
      </c>
      <c r="L748" s="139">
        <f>13005.85*2</f>
        <v>26011.7</v>
      </c>
      <c r="M748" s="139"/>
      <c r="N748" s="131">
        <f t="shared" si="49"/>
        <v>0</v>
      </c>
      <c r="O748" s="141" t="s">
        <v>731</v>
      </c>
      <c r="P748" s="141" t="s">
        <v>732</v>
      </c>
      <c r="Q748" s="89" t="s">
        <v>51</v>
      </c>
    </row>
    <row r="749" s="89" customFormat="1" spans="1:17">
      <c r="A749" s="122">
        <v>45901</v>
      </c>
      <c r="B749" s="116" t="s">
        <v>679</v>
      </c>
      <c r="C749" s="78" t="s">
        <v>727</v>
      </c>
      <c r="D749" s="116" t="s">
        <v>728</v>
      </c>
      <c r="E749" s="116" t="s">
        <v>729</v>
      </c>
      <c r="F749" s="151">
        <v>45916</v>
      </c>
      <c r="G749" s="116" t="s">
        <v>26</v>
      </c>
      <c r="H749" s="112" t="s">
        <v>21</v>
      </c>
      <c r="I749" s="139">
        <v>7500</v>
      </c>
      <c r="J749" s="139">
        <v>0</v>
      </c>
      <c r="K749" s="139">
        <v>7500</v>
      </c>
      <c r="L749" s="139">
        <v>7500</v>
      </c>
      <c r="M749" s="139"/>
      <c r="N749" s="131">
        <f t="shared" si="49"/>
        <v>0</v>
      </c>
      <c r="O749" s="141" t="s">
        <v>731</v>
      </c>
      <c r="P749" s="141" t="s">
        <v>733</v>
      </c>
      <c r="Q749" s="89" t="s">
        <v>51</v>
      </c>
    </row>
    <row r="750" s="89" customFormat="1" spans="1:16">
      <c r="A750" s="122">
        <v>45901</v>
      </c>
      <c r="B750" s="116" t="s">
        <v>679</v>
      </c>
      <c r="C750" s="78" t="s">
        <v>727</v>
      </c>
      <c r="D750" s="116" t="s">
        <v>728</v>
      </c>
      <c r="E750" s="116" t="s">
        <v>729</v>
      </c>
      <c r="F750" s="151">
        <v>45916</v>
      </c>
      <c r="G750" s="116" t="s">
        <v>26</v>
      </c>
      <c r="H750" s="116" t="s">
        <v>23</v>
      </c>
      <c r="I750" s="139">
        <v>7500</v>
      </c>
      <c r="J750" s="139"/>
      <c r="K750" s="139">
        <v>7500</v>
      </c>
      <c r="L750" s="139">
        <v>7500</v>
      </c>
      <c r="M750" s="139"/>
      <c r="N750" s="131">
        <f t="shared" si="49"/>
        <v>0</v>
      </c>
      <c r="O750" s="141" t="s">
        <v>731</v>
      </c>
      <c r="P750" s="141" t="s">
        <v>733</v>
      </c>
    </row>
    <row r="751" s="88" customFormat="1" spans="1:16">
      <c r="A751" s="118">
        <v>45962</v>
      </c>
      <c r="B751" s="116" t="s">
        <v>679</v>
      </c>
      <c r="C751" s="119" t="s">
        <v>727</v>
      </c>
      <c r="D751" s="114" t="s">
        <v>728</v>
      </c>
      <c r="E751" s="114" t="s">
        <v>729</v>
      </c>
      <c r="F751" s="151">
        <v>45976</v>
      </c>
      <c r="G751" s="114" t="s">
        <v>734</v>
      </c>
      <c r="H751" s="121" t="s">
        <v>30</v>
      </c>
      <c r="I751" s="131">
        <v>250</v>
      </c>
      <c r="J751" s="131"/>
      <c r="K751" s="136">
        <v>250</v>
      </c>
      <c r="L751" s="136">
        <v>250</v>
      </c>
      <c r="M751" s="136"/>
      <c r="N751" s="131">
        <f t="shared" si="49"/>
        <v>0</v>
      </c>
      <c r="O751" s="114" t="s">
        <v>731</v>
      </c>
      <c r="P751" s="138"/>
    </row>
    <row r="752" s="88" customFormat="1" spans="1:16">
      <c r="A752" s="118">
        <v>45962</v>
      </c>
      <c r="B752" s="116" t="s">
        <v>679</v>
      </c>
      <c r="C752" s="119" t="s">
        <v>727</v>
      </c>
      <c r="D752" s="114" t="s">
        <v>728</v>
      </c>
      <c r="E752" s="114" t="s">
        <v>729</v>
      </c>
      <c r="F752" s="151">
        <v>45976</v>
      </c>
      <c r="G752" s="114" t="s">
        <v>735</v>
      </c>
      <c r="H752" s="121" t="s">
        <v>30</v>
      </c>
      <c r="I752" s="131">
        <v>250</v>
      </c>
      <c r="J752" s="131"/>
      <c r="K752" s="136">
        <v>250</v>
      </c>
      <c r="L752" s="136">
        <v>250</v>
      </c>
      <c r="M752" s="136"/>
      <c r="N752" s="131">
        <f t="shared" si="49"/>
        <v>0</v>
      </c>
      <c r="O752" s="114" t="s">
        <v>731</v>
      </c>
      <c r="P752" s="138"/>
    </row>
    <row r="753" s="88" customFormat="1" spans="1:16">
      <c r="A753" s="118">
        <v>45962</v>
      </c>
      <c r="B753" s="116" t="s">
        <v>679</v>
      </c>
      <c r="C753" s="119" t="s">
        <v>727</v>
      </c>
      <c r="D753" s="114" t="s">
        <v>728</v>
      </c>
      <c r="E753" s="114" t="s">
        <v>729</v>
      </c>
      <c r="F753" s="151">
        <v>45976</v>
      </c>
      <c r="G753" s="114" t="s">
        <v>736</v>
      </c>
      <c r="H753" s="121" t="s">
        <v>30</v>
      </c>
      <c r="I753" s="131">
        <v>250</v>
      </c>
      <c r="J753" s="131"/>
      <c r="K753" s="136">
        <v>250</v>
      </c>
      <c r="L753" s="136">
        <v>250</v>
      </c>
      <c r="M753" s="136"/>
      <c r="N753" s="131">
        <f t="shared" si="49"/>
        <v>0</v>
      </c>
      <c r="O753" s="114" t="s">
        <v>731</v>
      </c>
      <c r="P753" s="138"/>
    </row>
    <row r="754" s="88" customFormat="1" spans="1:16">
      <c r="A754" s="118">
        <v>45962</v>
      </c>
      <c r="B754" s="116" t="s">
        <v>679</v>
      </c>
      <c r="C754" s="119" t="s">
        <v>727</v>
      </c>
      <c r="D754" s="114" t="s">
        <v>728</v>
      </c>
      <c r="E754" s="114" t="s">
        <v>729</v>
      </c>
      <c r="F754" s="151">
        <v>45976</v>
      </c>
      <c r="G754" s="114" t="s">
        <v>737</v>
      </c>
      <c r="H754" s="121" t="s">
        <v>30</v>
      </c>
      <c r="I754" s="131">
        <v>250</v>
      </c>
      <c r="J754" s="131"/>
      <c r="K754" s="136">
        <v>250</v>
      </c>
      <c r="L754" s="136">
        <v>250</v>
      </c>
      <c r="M754" s="136"/>
      <c r="N754" s="131">
        <f t="shared" si="49"/>
        <v>0</v>
      </c>
      <c r="O754" s="114" t="s">
        <v>731</v>
      </c>
      <c r="P754" s="138"/>
    </row>
    <row r="755" s="88" customFormat="1" spans="1:16">
      <c r="A755" s="118">
        <v>45962</v>
      </c>
      <c r="B755" s="116" t="s">
        <v>679</v>
      </c>
      <c r="C755" s="119" t="s">
        <v>727</v>
      </c>
      <c r="D755" s="114" t="s">
        <v>728</v>
      </c>
      <c r="E755" s="114" t="s">
        <v>729</v>
      </c>
      <c r="F755" s="151">
        <v>45976</v>
      </c>
      <c r="G755" s="114" t="s">
        <v>738</v>
      </c>
      <c r="H755" s="121" t="s">
        <v>30</v>
      </c>
      <c r="I755" s="131">
        <v>250</v>
      </c>
      <c r="J755" s="131"/>
      <c r="K755" s="136">
        <v>250</v>
      </c>
      <c r="L755" s="136">
        <v>250</v>
      </c>
      <c r="M755" s="136"/>
      <c r="N755" s="131">
        <f t="shared" si="49"/>
        <v>0</v>
      </c>
      <c r="O755" s="114" t="s">
        <v>731</v>
      </c>
      <c r="P755" s="138"/>
    </row>
    <row r="756" s="88" customFormat="1" spans="1:16">
      <c r="A756" s="118">
        <v>45962</v>
      </c>
      <c r="B756" s="116" t="s">
        <v>679</v>
      </c>
      <c r="C756" s="119" t="s">
        <v>727</v>
      </c>
      <c r="D756" s="114" t="s">
        <v>728</v>
      </c>
      <c r="E756" s="114" t="s">
        <v>729</v>
      </c>
      <c r="F756" s="151">
        <v>45976</v>
      </c>
      <c r="G756" s="114" t="s">
        <v>739</v>
      </c>
      <c r="H756" s="121" t="s">
        <v>30</v>
      </c>
      <c r="I756" s="131">
        <v>250</v>
      </c>
      <c r="J756" s="131"/>
      <c r="K756" s="136">
        <v>250</v>
      </c>
      <c r="L756" s="136">
        <v>250</v>
      </c>
      <c r="M756" s="136"/>
      <c r="N756" s="131">
        <f t="shared" si="49"/>
        <v>0</v>
      </c>
      <c r="O756" s="114" t="s">
        <v>731</v>
      </c>
      <c r="P756" s="138"/>
    </row>
    <row r="757" s="88" customFormat="1" spans="1:16">
      <c r="A757" s="118">
        <v>45962</v>
      </c>
      <c r="B757" s="116" t="s">
        <v>679</v>
      </c>
      <c r="C757" s="119" t="s">
        <v>727</v>
      </c>
      <c r="D757" s="114" t="s">
        <v>728</v>
      </c>
      <c r="E757" s="114" t="s">
        <v>729</v>
      </c>
      <c r="F757" s="151">
        <v>45976</v>
      </c>
      <c r="G757" s="114" t="s">
        <v>740</v>
      </c>
      <c r="H757" s="121" t="s">
        <v>30</v>
      </c>
      <c r="I757" s="131">
        <v>250</v>
      </c>
      <c r="J757" s="131"/>
      <c r="K757" s="136">
        <v>250</v>
      </c>
      <c r="L757" s="136">
        <v>250</v>
      </c>
      <c r="M757" s="136"/>
      <c r="N757" s="131">
        <f t="shared" si="49"/>
        <v>0</v>
      </c>
      <c r="O757" s="114" t="s">
        <v>731</v>
      </c>
      <c r="P757" s="138"/>
    </row>
    <row r="758" s="88" customFormat="1" spans="1:16">
      <c r="A758" s="118">
        <v>45962</v>
      </c>
      <c r="B758" s="116" t="s">
        <v>679</v>
      </c>
      <c r="C758" s="119" t="s">
        <v>727</v>
      </c>
      <c r="D758" s="114" t="s">
        <v>728</v>
      </c>
      <c r="E758" s="114" t="s">
        <v>729</v>
      </c>
      <c r="F758" s="151">
        <v>45976</v>
      </c>
      <c r="G758" s="114" t="s">
        <v>741</v>
      </c>
      <c r="H758" s="121" t="s">
        <v>30</v>
      </c>
      <c r="I758" s="131">
        <v>250</v>
      </c>
      <c r="J758" s="131"/>
      <c r="K758" s="136">
        <v>250</v>
      </c>
      <c r="L758" s="136">
        <v>250</v>
      </c>
      <c r="M758" s="136"/>
      <c r="N758" s="131">
        <f t="shared" si="49"/>
        <v>0</v>
      </c>
      <c r="O758" s="114" t="s">
        <v>731</v>
      </c>
      <c r="P758" s="138"/>
    </row>
    <row r="759" s="88" customFormat="1" spans="1:16">
      <c r="A759" s="118">
        <v>45962</v>
      </c>
      <c r="B759" s="116" t="s">
        <v>679</v>
      </c>
      <c r="C759" s="119" t="s">
        <v>727</v>
      </c>
      <c r="D759" s="114" t="s">
        <v>728</v>
      </c>
      <c r="E759" s="114" t="s">
        <v>729</v>
      </c>
      <c r="F759" s="151">
        <v>45976</v>
      </c>
      <c r="G759" s="114" t="s">
        <v>742</v>
      </c>
      <c r="H759" s="121" t="s">
        <v>30</v>
      </c>
      <c r="I759" s="131">
        <v>250</v>
      </c>
      <c r="J759" s="131"/>
      <c r="K759" s="136">
        <v>250</v>
      </c>
      <c r="L759" s="136">
        <v>250</v>
      </c>
      <c r="M759" s="136"/>
      <c r="N759" s="131">
        <f t="shared" si="49"/>
        <v>0</v>
      </c>
      <c r="O759" s="114" t="s">
        <v>731</v>
      </c>
      <c r="P759" s="138"/>
    </row>
    <row r="760" s="88" customFormat="1" spans="1:16">
      <c r="A760" s="118">
        <v>45962</v>
      </c>
      <c r="B760" s="116" t="s">
        <v>679</v>
      </c>
      <c r="C760" s="119" t="s">
        <v>727</v>
      </c>
      <c r="D760" s="114" t="s">
        <v>728</v>
      </c>
      <c r="E760" s="114" t="s">
        <v>729</v>
      </c>
      <c r="F760" s="151">
        <v>45976</v>
      </c>
      <c r="G760" s="114" t="s">
        <v>743</v>
      </c>
      <c r="H760" s="121" t="s">
        <v>30</v>
      </c>
      <c r="I760" s="131">
        <v>250</v>
      </c>
      <c r="J760" s="131"/>
      <c r="K760" s="136">
        <v>250</v>
      </c>
      <c r="L760" s="136">
        <v>250</v>
      </c>
      <c r="M760" s="136"/>
      <c r="N760" s="131">
        <f t="shared" si="49"/>
        <v>0</v>
      </c>
      <c r="O760" s="114" t="s">
        <v>731</v>
      </c>
      <c r="P760" s="138"/>
    </row>
    <row r="761" s="88" customFormat="1" spans="1:16">
      <c r="A761" s="118">
        <v>45962</v>
      </c>
      <c r="B761" s="116" t="s">
        <v>679</v>
      </c>
      <c r="C761" s="119" t="s">
        <v>727</v>
      </c>
      <c r="D761" s="114" t="s">
        <v>728</v>
      </c>
      <c r="E761" s="114" t="s">
        <v>729</v>
      </c>
      <c r="F761" s="151">
        <v>45976</v>
      </c>
      <c r="G761" s="114" t="s">
        <v>744</v>
      </c>
      <c r="H761" s="121" t="s">
        <v>30</v>
      </c>
      <c r="I761" s="131">
        <v>250</v>
      </c>
      <c r="J761" s="131"/>
      <c r="K761" s="136">
        <v>250</v>
      </c>
      <c r="L761" s="136">
        <v>250</v>
      </c>
      <c r="M761" s="136"/>
      <c r="N761" s="131">
        <f t="shared" si="49"/>
        <v>0</v>
      </c>
      <c r="O761" s="114" t="s">
        <v>731</v>
      </c>
      <c r="P761" s="138"/>
    </row>
    <row r="762" s="88" customFormat="1" spans="1:16">
      <c r="A762" s="118">
        <v>45962</v>
      </c>
      <c r="B762" s="116" t="s">
        <v>679</v>
      </c>
      <c r="C762" s="119" t="s">
        <v>727</v>
      </c>
      <c r="D762" s="114" t="s">
        <v>728</v>
      </c>
      <c r="E762" s="114" t="s">
        <v>729</v>
      </c>
      <c r="F762" s="151">
        <v>45976</v>
      </c>
      <c r="G762" s="114" t="s">
        <v>745</v>
      </c>
      <c r="H762" s="121" t="s">
        <v>30</v>
      </c>
      <c r="I762" s="131">
        <v>250</v>
      </c>
      <c r="J762" s="131"/>
      <c r="K762" s="136">
        <v>250</v>
      </c>
      <c r="L762" s="136">
        <v>250</v>
      </c>
      <c r="M762" s="136"/>
      <c r="N762" s="131">
        <f t="shared" si="49"/>
        <v>0</v>
      </c>
      <c r="O762" s="114" t="s">
        <v>731</v>
      </c>
      <c r="P762" s="138"/>
    </row>
    <row r="763" s="88" customFormat="1" spans="1:16">
      <c r="A763" s="111">
        <v>45839</v>
      </c>
      <c r="B763" s="116" t="s">
        <v>679</v>
      </c>
      <c r="C763" s="119" t="s">
        <v>746</v>
      </c>
      <c r="D763" s="138" t="s">
        <v>747</v>
      </c>
      <c r="E763" s="112" t="s">
        <v>748</v>
      </c>
      <c r="F763" s="151">
        <v>45807</v>
      </c>
      <c r="G763" s="166" t="s">
        <v>102</v>
      </c>
      <c r="H763" s="112" t="s">
        <v>21</v>
      </c>
      <c r="I763" s="139">
        <v>4658</v>
      </c>
      <c r="J763" s="131">
        <v>0</v>
      </c>
      <c r="K763" s="139">
        <v>4658</v>
      </c>
      <c r="L763" s="139">
        <v>4658</v>
      </c>
      <c r="M763" s="139"/>
      <c r="N763" s="131">
        <f t="shared" si="49"/>
        <v>0</v>
      </c>
      <c r="O763" s="138" t="s">
        <v>487</v>
      </c>
      <c r="P763" s="138"/>
    </row>
    <row r="764" s="88" customFormat="1" spans="1:16">
      <c r="A764" s="111">
        <v>45839</v>
      </c>
      <c r="B764" s="116" t="s">
        <v>679</v>
      </c>
      <c r="C764" s="119" t="s">
        <v>746</v>
      </c>
      <c r="D764" s="138" t="s">
        <v>747</v>
      </c>
      <c r="E764" s="112" t="s">
        <v>748</v>
      </c>
      <c r="F764" s="151">
        <v>45807</v>
      </c>
      <c r="G764" s="166" t="s">
        <v>102</v>
      </c>
      <c r="H764" s="138" t="s">
        <v>23</v>
      </c>
      <c r="I764" s="139">
        <v>7582</v>
      </c>
      <c r="J764" s="131">
        <v>0</v>
      </c>
      <c r="K764" s="139">
        <v>7582</v>
      </c>
      <c r="L764" s="139">
        <v>7582</v>
      </c>
      <c r="M764" s="139"/>
      <c r="N764" s="131">
        <f t="shared" si="49"/>
        <v>0</v>
      </c>
      <c r="O764" s="138" t="s">
        <v>487</v>
      </c>
      <c r="P764" s="138"/>
    </row>
    <row r="765" s="88" customFormat="1" spans="1:16">
      <c r="A765" s="118">
        <v>45962</v>
      </c>
      <c r="B765" s="116" t="s">
        <v>679</v>
      </c>
      <c r="C765" s="119" t="s">
        <v>746</v>
      </c>
      <c r="D765" s="114" t="s">
        <v>749</v>
      </c>
      <c r="E765" s="114" t="s">
        <v>750</v>
      </c>
      <c r="F765" s="151">
        <v>45976</v>
      </c>
      <c r="G765" s="114" t="s">
        <v>96</v>
      </c>
      <c r="H765" s="114" t="s">
        <v>23</v>
      </c>
      <c r="I765" s="131">
        <v>3400</v>
      </c>
      <c r="J765" s="131"/>
      <c r="K765" s="136">
        <v>3400</v>
      </c>
      <c r="L765" s="136">
        <v>3400</v>
      </c>
      <c r="M765" s="136"/>
      <c r="N765" s="131">
        <f t="shared" si="49"/>
        <v>0</v>
      </c>
      <c r="O765" s="114" t="s">
        <v>666</v>
      </c>
      <c r="P765" s="138"/>
    </row>
    <row r="766" s="88" customFormat="1" spans="1:16">
      <c r="A766" s="118">
        <v>45962</v>
      </c>
      <c r="B766" s="116" t="s">
        <v>679</v>
      </c>
      <c r="C766" s="119" t="s">
        <v>746</v>
      </c>
      <c r="D766" s="114" t="s">
        <v>749</v>
      </c>
      <c r="E766" s="114" t="s">
        <v>750</v>
      </c>
      <c r="F766" s="151">
        <v>45976</v>
      </c>
      <c r="G766" s="114" t="s">
        <v>98</v>
      </c>
      <c r="H766" s="114" t="s">
        <v>23</v>
      </c>
      <c r="I766" s="131">
        <v>3400</v>
      </c>
      <c r="J766" s="131"/>
      <c r="K766" s="136">
        <v>3400</v>
      </c>
      <c r="L766" s="136">
        <v>3400</v>
      </c>
      <c r="M766" s="136"/>
      <c r="N766" s="131">
        <f t="shared" si="49"/>
        <v>0</v>
      </c>
      <c r="O766" s="114" t="s">
        <v>666</v>
      </c>
      <c r="P766" s="138"/>
    </row>
    <row r="767" s="88" customFormat="1" spans="1:16">
      <c r="A767" s="118">
        <v>45962</v>
      </c>
      <c r="B767" s="116" t="s">
        <v>679</v>
      </c>
      <c r="C767" s="119" t="s">
        <v>746</v>
      </c>
      <c r="D767" s="114" t="s">
        <v>749</v>
      </c>
      <c r="E767" s="114" t="s">
        <v>750</v>
      </c>
      <c r="F767" s="151">
        <v>45976</v>
      </c>
      <c r="G767" s="114" t="s">
        <v>26</v>
      </c>
      <c r="H767" s="114" t="s">
        <v>23</v>
      </c>
      <c r="I767" s="131">
        <v>3400</v>
      </c>
      <c r="J767" s="131"/>
      <c r="K767" s="136">
        <v>3400</v>
      </c>
      <c r="L767" s="136">
        <v>3400</v>
      </c>
      <c r="M767" s="136"/>
      <c r="N767" s="131">
        <f t="shared" si="49"/>
        <v>0</v>
      </c>
      <c r="O767" s="114" t="s">
        <v>666</v>
      </c>
      <c r="P767" s="138"/>
    </row>
    <row r="768" s="88" customFormat="1" spans="1:16">
      <c r="A768" s="118">
        <v>45962</v>
      </c>
      <c r="B768" s="116" t="s">
        <v>679</v>
      </c>
      <c r="C768" s="119" t="s">
        <v>746</v>
      </c>
      <c r="D768" s="114" t="s">
        <v>749</v>
      </c>
      <c r="E768" s="114" t="s">
        <v>750</v>
      </c>
      <c r="F768" s="151">
        <v>45976</v>
      </c>
      <c r="G768" s="114" t="s">
        <v>96</v>
      </c>
      <c r="H768" s="112" t="s">
        <v>21</v>
      </c>
      <c r="I768" s="131">
        <v>2720</v>
      </c>
      <c r="J768" s="131"/>
      <c r="K768" s="136">
        <v>2720</v>
      </c>
      <c r="L768" s="136">
        <v>2720</v>
      </c>
      <c r="M768" s="136"/>
      <c r="N768" s="131">
        <f t="shared" si="49"/>
        <v>0</v>
      </c>
      <c r="O768" s="114" t="s">
        <v>666</v>
      </c>
      <c r="P768" s="138"/>
    </row>
    <row r="769" s="88" customFormat="1" spans="1:16">
      <c r="A769" s="118">
        <v>45962</v>
      </c>
      <c r="B769" s="116" t="s">
        <v>679</v>
      </c>
      <c r="C769" s="119" t="s">
        <v>746</v>
      </c>
      <c r="D769" s="114" t="s">
        <v>749</v>
      </c>
      <c r="E769" s="114" t="s">
        <v>750</v>
      </c>
      <c r="F769" s="151">
        <v>45976</v>
      </c>
      <c r="G769" s="114" t="s">
        <v>98</v>
      </c>
      <c r="H769" s="112" t="s">
        <v>21</v>
      </c>
      <c r="I769" s="131">
        <v>2720</v>
      </c>
      <c r="J769" s="131"/>
      <c r="K769" s="136">
        <v>2720</v>
      </c>
      <c r="L769" s="136">
        <v>2720</v>
      </c>
      <c r="M769" s="136"/>
      <c r="N769" s="131">
        <f t="shared" si="49"/>
        <v>0</v>
      </c>
      <c r="O769" s="114" t="s">
        <v>751</v>
      </c>
      <c r="P769" s="138"/>
    </row>
    <row r="770" s="88" customFormat="1" spans="1:16">
      <c r="A770" s="118">
        <v>45962</v>
      </c>
      <c r="B770" s="116" t="s">
        <v>679</v>
      </c>
      <c r="C770" s="119" t="s">
        <v>746</v>
      </c>
      <c r="D770" s="114" t="s">
        <v>749</v>
      </c>
      <c r="E770" s="114" t="s">
        <v>750</v>
      </c>
      <c r="F770" s="151">
        <v>45976</v>
      </c>
      <c r="G770" s="114" t="s">
        <v>26</v>
      </c>
      <c r="H770" s="112" t="s">
        <v>21</v>
      </c>
      <c r="I770" s="131">
        <v>2720</v>
      </c>
      <c r="J770" s="131"/>
      <c r="K770" s="136">
        <v>2720</v>
      </c>
      <c r="L770" s="136">
        <v>2720</v>
      </c>
      <c r="M770" s="136"/>
      <c r="N770" s="131">
        <f t="shared" si="49"/>
        <v>0</v>
      </c>
      <c r="O770" s="114" t="s">
        <v>751</v>
      </c>
      <c r="P770" s="138"/>
    </row>
    <row r="771" s="86" customFormat="1" spans="1:16">
      <c r="A771" s="111">
        <v>45839</v>
      </c>
      <c r="B771" s="116" t="s">
        <v>679</v>
      </c>
      <c r="C771" s="113" t="s">
        <v>752</v>
      </c>
      <c r="D771" s="112" t="s">
        <v>753</v>
      </c>
      <c r="E771" s="114" t="s">
        <v>754</v>
      </c>
      <c r="F771" s="151">
        <v>45869</v>
      </c>
      <c r="G771" s="112" t="s">
        <v>755</v>
      </c>
      <c r="H771" s="112" t="s">
        <v>21</v>
      </c>
      <c r="I771" s="139">
        <v>19920</v>
      </c>
      <c r="J771" s="139">
        <v>0</v>
      </c>
      <c r="K771" s="139">
        <f t="shared" ref="K771:K774" si="53">I771-J771</f>
        <v>19920</v>
      </c>
      <c r="L771" s="139">
        <v>19920</v>
      </c>
      <c r="M771" s="139"/>
      <c r="N771" s="131">
        <f t="shared" ref="N771:N834" si="54">K771-L771</f>
        <v>0</v>
      </c>
      <c r="O771" s="166" t="s">
        <v>57</v>
      </c>
      <c r="P771" s="112"/>
    </row>
    <row r="772" s="86" customFormat="1" spans="1:16">
      <c r="A772" s="111">
        <v>45839</v>
      </c>
      <c r="B772" s="116" t="s">
        <v>679</v>
      </c>
      <c r="C772" s="113" t="s">
        <v>752</v>
      </c>
      <c r="D772" s="112" t="s">
        <v>753</v>
      </c>
      <c r="E772" s="114" t="s">
        <v>754</v>
      </c>
      <c r="F772" s="151">
        <v>45869</v>
      </c>
      <c r="G772" s="112" t="s">
        <v>289</v>
      </c>
      <c r="H772" s="112" t="s">
        <v>23</v>
      </c>
      <c r="I772" s="139">
        <v>24900</v>
      </c>
      <c r="J772" s="139">
        <v>0</v>
      </c>
      <c r="K772" s="139">
        <f t="shared" si="53"/>
        <v>24900</v>
      </c>
      <c r="L772" s="139">
        <v>24900</v>
      </c>
      <c r="M772" s="139"/>
      <c r="N772" s="131">
        <f t="shared" si="54"/>
        <v>0</v>
      </c>
      <c r="O772" s="166" t="s">
        <v>57</v>
      </c>
      <c r="P772" s="112"/>
    </row>
    <row r="773" s="86" customFormat="1" spans="1:16">
      <c r="A773" s="111">
        <v>45839</v>
      </c>
      <c r="B773" s="116" t="s">
        <v>679</v>
      </c>
      <c r="C773" s="113" t="s">
        <v>752</v>
      </c>
      <c r="D773" s="112" t="s">
        <v>753</v>
      </c>
      <c r="E773" s="114" t="s">
        <v>754</v>
      </c>
      <c r="F773" s="151">
        <v>45869</v>
      </c>
      <c r="G773" s="112" t="s">
        <v>357</v>
      </c>
      <c r="H773" s="121" t="s">
        <v>30</v>
      </c>
      <c r="I773" s="139">
        <v>3000</v>
      </c>
      <c r="J773" s="139">
        <v>0</v>
      </c>
      <c r="K773" s="139">
        <f t="shared" si="53"/>
        <v>3000</v>
      </c>
      <c r="L773" s="139">
        <v>3000</v>
      </c>
      <c r="M773" s="139"/>
      <c r="N773" s="131">
        <f t="shared" si="54"/>
        <v>0</v>
      </c>
      <c r="O773" s="166" t="s">
        <v>57</v>
      </c>
      <c r="P773" s="112"/>
    </row>
    <row r="774" s="88" customFormat="1" spans="1:16">
      <c r="A774" s="118">
        <v>45962</v>
      </c>
      <c r="B774" s="116" t="s">
        <v>679</v>
      </c>
      <c r="C774" s="119" t="s">
        <v>752</v>
      </c>
      <c r="D774" s="114" t="s">
        <v>753</v>
      </c>
      <c r="E774" s="114" t="s">
        <v>754</v>
      </c>
      <c r="F774" s="151">
        <v>45976</v>
      </c>
      <c r="G774" s="114" t="s">
        <v>96</v>
      </c>
      <c r="H774" s="114" t="s">
        <v>23</v>
      </c>
      <c r="I774" s="131">
        <v>8300</v>
      </c>
      <c r="J774" s="131">
        <v>4550</v>
      </c>
      <c r="K774" s="136">
        <f t="shared" si="53"/>
        <v>3750</v>
      </c>
      <c r="L774" s="136">
        <v>3750</v>
      </c>
      <c r="M774" s="136"/>
      <c r="N774" s="131">
        <f t="shared" si="54"/>
        <v>0</v>
      </c>
      <c r="O774" s="114" t="s">
        <v>756</v>
      </c>
      <c r="P774" s="138"/>
    </row>
    <row r="775" s="88" customFormat="1" spans="1:16">
      <c r="A775" s="118">
        <v>45962</v>
      </c>
      <c r="B775" s="116" t="s">
        <v>679</v>
      </c>
      <c r="C775" s="119" t="s">
        <v>752</v>
      </c>
      <c r="D775" s="114" t="s">
        <v>753</v>
      </c>
      <c r="E775" s="114" t="s">
        <v>754</v>
      </c>
      <c r="F775" s="151">
        <v>45976</v>
      </c>
      <c r="G775" s="114" t="s">
        <v>98</v>
      </c>
      <c r="H775" s="114" t="s">
        <v>23</v>
      </c>
      <c r="I775" s="131">
        <v>8300</v>
      </c>
      <c r="J775" s="131"/>
      <c r="K775" s="136">
        <v>8300</v>
      </c>
      <c r="L775" s="136">
        <v>8300</v>
      </c>
      <c r="M775" s="136"/>
      <c r="N775" s="131">
        <f t="shared" si="54"/>
        <v>0</v>
      </c>
      <c r="O775" s="114" t="s">
        <v>757</v>
      </c>
      <c r="P775" s="138"/>
    </row>
    <row r="776" s="88" customFormat="1" spans="1:16">
      <c r="A776" s="118">
        <v>45962</v>
      </c>
      <c r="B776" s="116" t="s">
        <v>679</v>
      </c>
      <c r="C776" s="119" t="s">
        <v>752</v>
      </c>
      <c r="D776" s="114" t="s">
        <v>753</v>
      </c>
      <c r="E776" s="114" t="s">
        <v>754</v>
      </c>
      <c r="F776" s="151">
        <v>45976</v>
      </c>
      <c r="G776" s="114" t="s">
        <v>26</v>
      </c>
      <c r="H776" s="114" t="s">
        <v>23</v>
      </c>
      <c r="I776" s="131">
        <v>8300</v>
      </c>
      <c r="J776" s="131"/>
      <c r="K776" s="136">
        <v>8300</v>
      </c>
      <c r="L776" s="136">
        <v>8300</v>
      </c>
      <c r="M776" s="136"/>
      <c r="N776" s="131">
        <f t="shared" si="54"/>
        <v>0</v>
      </c>
      <c r="O776" s="114" t="s">
        <v>757</v>
      </c>
      <c r="P776" s="138"/>
    </row>
    <row r="777" s="88" customFormat="1" spans="1:16">
      <c r="A777" s="118">
        <v>45962</v>
      </c>
      <c r="B777" s="116" t="s">
        <v>679</v>
      </c>
      <c r="C777" s="119" t="s">
        <v>758</v>
      </c>
      <c r="D777" s="114" t="s">
        <v>759</v>
      </c>
      <c r="E777" s="114" t="s">
        <v>760</v>
      </c>
      <c r="F777" s="151">
        <v>45991</v>
      </c>
      <c r="G777" s="114" t="s">
        <v>170</v>
      </c>
      <c r="H777" s="114" t="s">
        <v>23</v>
      </c>
      <c r="I777" s="136">
        <v>12080</v>
      </c>
      <c r="J777" s="131"/>
      <c r="K777" s="136">
        <v>12080</v>
      </c>
      <c r="L777" s="136">
        <v>12080</v>
      </c>
      <c r="M777" s="136"/>
      <c r="N777" s="131">
        <f t="shared" si="54"/>
        <v>0</v>
      </c>
      <c r="O777" s="237" t="s">
        <v>761</v>
      </c>
      <c r="P777" s="143" t="s">
        <v>762</v>
      </c>
    </row>
    <row r="778" s="88" customFormat="1" spans="1:16">
      <c r="A778" s="118">
        <v>45962</v>
      </c>
      <c r="B778" s="116" t="s">
        <v>679</v>
      </c>
      <c r="C778" s="119" t="s">
        <v>758</v>
      </c>
      <c r="D778" s="114" t="s">
        <v>759</v>
      </c>
      <c r="E778" s="114" t="s">
        <v>760</v>
      </c>
      <c r="F778" s="151">
        <v>45991</v>
      </c>
      <c r="G778" s="114" t="s">
        <v>172</v>
      </c>
      <c r="H778" s="114" t="s">
        <v>23</v>
      </c>
      <c r="I778" s="136">
        <v>12080</v>
      </c>
      <c r="J778" s="131"/>
      <c r="K778" s="136">
        <v>12080</v>
      </c>
      <c r="L778" s="136">
        <v>12080</v>
      </c>
      <c r="M778" s="136"/>
      <c r="N778" s="131">
        <f t="shared" si="54"/>
        <v>0</v>
      </c>
      <c r="O778" s="237" t="s">
        <v>761</v>
      </c>
      <c r="P778" s="143" t="s">
        <v>762</v>
      </c>
    </row>
    <row r="779" s="88" customFormat="1" spans="1:16">
      <c r="A779" s="118">
        <v>45962</v>
      </c>
      <c r="B779" s="116" t="s">
        <v>679</v>
      </c>
      <c r="C779" s="119" t="s">
        <v>758</v>
      </c>
      <c r="D779" s="114" t="s">
        <v>759</v>
      </c>
      <c r="E779" s="114" t="s">
        <v>760</v>
      </c>
      <c r="F779" s="151">
        <v>45991</v>
      </c>
      <c r="G779" s="114" t="s">
        <v>173</v>
      </c>
      <c r="H779" s="114" t="s">
        <v>23</v>
      </c>
      <c r="I779" s="136">
        <v>12080</v>
      </c>
      <c r="J779" s="131"/>
      <c r="K779" s="136">
        <v>12080</v>
      </c>
      <c r="L779" s="136">
        <v>12080</v>
      </c>
      <c r="M779" s="136"/>
      <c r="N779" s="131">
        <f t="shared" si="54"/>
        <v>0</v>
      </c>
      <c r="O779" s="114" t="s">
        <v>761</v>
      </c>
      <c r="P779" s="143" t="s">
        <v>762</v>
      </c>
    </row>
    <row r="780" s="88" customFormat="1" spans="1:16">
      <c r="A780" s="118">
        <v>45962</v>
      </c>
      <c r="B780" s="116" t="s">
        <v>679</v>
      </c>
      <c r="C780" s="119" t="s">
        <v>758</v>
      </c>
      <c r="D780" s="114" t="s">
        <v>759</v>
      </c>
      <c r="E780" s="114" t="s">
        <v>760</v>
      </c>
      <c r="F780" s="151">
        <v>45991</v>
      </c>
      <c r="G780" s="114" t="s">
        <v>170</v>
      </c>
      <c r="H780" s="112" t="s">
        <v>21</v>
      </c>
      <c r="I780" s="136">
        <v>10570</v>
      </c>
      <c r="J780" s="131"/>
      <c r="K780" s="136">
        <v>10570</v>
      </c>
      <c r="L780" s="136">
        <v>10570</v>
      </c>
      <c r="M780" s="136"/>
      <c r="N780" s="131">
        <f t="shared" si="54"/>
        <v>0</v>
      </c>
      <c r="O780" s="114" t="s">
        <v>761</v>
      </c>
      <c r="P780" s="143" t="s">
        <v>762</v>
      </c>
    </row>
    <row r="781" s="88" customFormat="1" spans="1:16">
      <c r="A781" s="118">
        <v>45962</v>
      </c>
      <c r="B781" s="116" t="s">
        <v>679</v>
      </c>
      <c r="C781" s="119" t="s">
        <v>758</v>
      </c>
      <c r="D781" s="114" t="s">
        <v>759</v>
      </c>
      <c r="E781" s="114" t="s">
        <v>760</v>
      </c>
      <c r="F781" s="151">
        <v>45991</v>
      </c>
      <c r="G781" s="114" t="s">
        <v>172</v>
      </c>
      <c r="H781" s="112" t="s">
        <v>21</v>
      </c>
      <c r="I781" s="136">
        <v>10570</v>
      </c>
      <c r="J781" s="131"/>
      <c r="K781" s="136">
        <v>10570</v>
      </c>
      <c r="L781" s="136">
        <v>10570</v>
      </c>
      <c r="M781" s="136"/>
      <c r="N781" s="131">
        <f t="shared" si="54"/>
        <v>0</v>
      </c>
      <c r="O781" s="114" t="s">
        <v>761</v>
      </c>
      <c r="P781" s="143" t="s">
        <v>762</v>
      </c>
    </row>
    <row r="782" s="88" customFormat="1" spans="1:16">
      <c r="A782" s="118">
        <v>45962</v>
      </c>
      <c r="B782" s="116" t="s">
        <v>679</v>
      </c>
      <c r="C782" s="119" t="s">
        <v>758</v>
      </c>
      <c r="D782" s="114" t="s">
        <v>759</v>
      </c>
      <c r="E782" s="114" t="s">
        <v>760</v>
      </c>
      <c r="F782" s="151">
        <v>45991</v>
      </c>
      <c r="G782" s="114" t="s">
        <v>173</v>
      </c>
      <c r="H782" s="112" t="s">
        <v>21</v>
      </c>
      <c r="I782" s="136">
        <v>10570</v>
      </c>
      <c r="J782" s="131"/>
      <c r="K782" s="136">
        <v>10570</v>
      </c>
      <c r="L782" s="136">
        <v>10570</v>
      </c>
      <c r="M782" s="136"/>
      <c r="N782" s="131">
        <f t="shared" si="54"/>
        <v>0</v>
      </c>
      <c r="O782" s="114" t="s">
        <v>761</v>
      </c>
      <c r="P782" s="143" t="s">
        <v>762</v>
      </c>
    </row>
    <row r="783" s="86" customFormat="1" spans="1:16">
      <c r="A783" s="111">
        <v>45839</v>
      </c>
      <c r="B783" s="116" t="s">
        <v>679</v>
      </c>
      <c r="C783" s="113" t="s">
        <v>763</v>
      </c>
      <c r="D783" s="112" t="s">
        <v>764</v>
      </c>
      <c r="E783" s="112" t="s">
        <v>765</v>
      </c>
      <c r="F783" s="151">
        <v>45819</v>
      </c>
      <c r="G783" s="112" t="s">
        <v>102</v>
      </c>
      <c r="H783" s="112" t="s">
        <v>21</v>
      </c>
      <c r="I783" s="130">
        <v>85423</v>
      </c>
      <c r="J783" s="130">
        <v>0</v>
      </c>
      <c r="K783" s="130">
        <v>85423</v>
      </c>
      <c r="L783" s="130">
        <v>85423</v>
      </c>
      <c r="M783" s="130"/>
      <c r="N783" s="131">
        <f t="shared" si="54"/>
        <v>0</v>
      </c>
      <c r="O783" s="112" t="s">
        <v>766</v>
      </c>
      <c r="P783" s="112"/>
    </row>
    <row r="784" s="86" customFormat="1" spans="1:16">
      <c r="A784" s="111">
        <v>45839</v>
      </c>
      <c r="B784" s="116" t="s">
        <v>679</v>
      </c>
      <c r="C784" s="113" t="s">
        <v>763</v>
      </c>
      <c r="D784" s="112" t="s">
        <v>764</v>
      </c>
      <c r="E784" s="112" t="s">
        <v>765</v>
      </c>
      <c r="F784" s="151">
        <v>45819</v>
      </c>
      <c r="G784" s="112" t="s">
        <v>102</v>
      </c>
      <c r="H784" s="112" t="s">
        <v>23</v>
      </c>
      <c r="I784" s="130">
        <v>47910</v>
      </c>
      <c r="J784" s="130">
        <v>0</v>
      </c>
      <c r="K784" s="130">
        <v>47910</v>
      </c>
      <c r="L784" s="130">
        <v>47910</v>
      </c>
      <c r="M784" s="130"/>
      <c r="N784" s="131">
        <f t="shared" si="54"/>
        <v>0</v>
      </c>
      <c r="O784" s="112" t="s">
        <v>767</v>
      </c>
      <c r="P784" s="112"/>
    </row>
    <row r="785" s="86" customFormat="1" spans="1:16">
      <c r="A785" s="111">
        <v>45839</v>
      </c>
      <c r="B785" s="116" t="s">
        <v>679</v>
      </c>
      <c r="C785" s="113" t="s">
        <v>763</v>
      </c>
      <c r="D785" s="112" t="s">
        <v>764</v>
      </c>
      <c r="E785" s="112" t="s">
        <v>765</v>
      </c>
      <c r="F785" s="151">
        <v>45849</v>
      </c>
      <c r="G785" s="112" t="s">
        <v>55</v>
      </c>
      <c r="H785" s="112" t="s">
        <v>21</v>
      </c>
      <c r="I785" s="130">
        <v>85423</v>
      </c>
      <c r="J785" s="130">
        <v>0</v>
      </c>
      <c r="K785" s="130">
        <f t="shared" ref="K785:K790" si="55">I785-J785</f>
        <v>85423</v>
      </c>
      <c r="L785" s="130">
        <f>66667+18756</f>
        <v>85423</v>
      </c>
      <c r="M785" s="130"/>
      <c r="N785" s="131">
        <f t="shared" si="54"/>
        <v>0</v>
      </c>
      <c r="O785" s="112" t="s">
        <v>768</v>
      </c>
      <c r="P785" s="112"/>
    </row>
    <row r="786" s="86" customFormat="1" spans="1:16">
      <c r="A786" s="111">
        <v>45839</v>
      </c>
      <c r="B786" s="116" t="s">
        <v>679</v>
      </c>
      <c r="C786" s="113" t="s">
        <v>763</v>
      </c>
      <c r="D786" s="112" t="s">
        <v>764</v>
      </c>
      <c r="E786" s="112" t="s">
        <v>765</v>
      </c>
      <c r="F786" s="151">
        <v>45849</v>
      </c>
      <c r="G786" s="112" t="s">
        <v>55</v>
      </c>
      <c r="H786" s="112" t="s">
        <v>23</v>
      </c>
      <c r="I786" s="130">
        <v>47910</v>
      </c>
      <c r="J786" s="130">
        <v>0</v>
      </c>
      <c r="K786" s="130">
        <f t="shared" si="55"/>
        <v>47910</v>
      </c>
      <c r="L786" s="130">
        <f>14577+33333</f>
        <v>47910</v>
      </c>
      <c r="M786" s="130"/>
      <c r="N786" s="131">
        <f t="shared" si="54"/>
        <v>0</v>
      </c>
      <c r="O786" s="112" t="s">
        <v>769</v>
      </c>
      <c r="P786" s="112"/>
    </row>
    <row r="787" s="86" customFormat="1" spans="1:16">
      <c r="A787" s="111">
        <v>45870</v>
      </c>
      <c r="B787" s="116" t="s">
        <v>679</v>
      </c>
      <c r="C787" s="113" t="s">
        <v>763</v>
      </c>
      <c r="D787" s="112" t="s">
        <v>764</v>
      </c>
      <c r="E787" s="166" t="s">
        <v>765</v>
      </c>
      <c r="F787" s="151">
        <v>45900</v>
      </c>
      <c r="G787" s="112" t="s">
        <v>56</v>
      </c>
      <c r="H787" s="112" t="s">
        <v>21</v>
      </c>
      <c r="I787" s="159">
        <v>85423</v>
      </c>
      <c r="J787" s="133">
        <v>0</v>
      </c>
      <c r="K787" s="133">
        <f t="shared" si="55"/>
        <v>85423</v>
      </c>
      <c r="L787" s="133">
        <f>52090+33333</f>
        <v>85423</v>
      </c>
      <c r="M787" s="133"/>
      <c r="N787" s="131">
        <f t="shared" si="54"/>
        <v>0</v>
      </c>
      <c r="O787" s="112" t="s">
        <v>770</v>
      </c>
      <c r="P787" s="112"/>
    </row>
    <row r="788" s="86" customFormat="1" spans="1:16">
      <c r="A788" s="111">
        <v>45870</v>
      </c>
      <c r="B788" s="116" t="s">
        <v>679</v>
      </c>
      <c r="C788" s="113" t="s">
        <v>763</v>
      </c>
      <c r="D788" s="112" t="s">
        <v>764</v>
      </c>
      <c r="E788" s="166" t="s">
        <v>765</v>
      </c>
      <c r="F788" s="151">
        <v>45900</v>
      </c>
      <c r="G788" s="112" t="s">
        <v>56</v>
      </c>
      <c r="H788" s="116" t="s">
        <v>23</v>
      </c>
      <c r="I788" s="159">
        <v>47910</v>
      </c>
      <c r="J788" s="133">
        <v>0</v>
      </c>
      <c r="K788" s="133">
        <f t="shared" si="55"/>
        <v>47910</v>
      </c>
      <c r="L788" s="133">
        <v>47910</v>
      </c>
      <c r="M788" s="133"/>
      <c r="N788" s="131">
        <f t="shared" si="54"/>
        <v>0</v>
      </c>
      <c r="O788" s="112" t="s">
        <v>769</v>
      </c>
      <c r="P788" s="112"/>
    </row>
    <row r="789" s="89" customFormat="1" spans="1:16">
      <c r="A789" s="122">
        <v>45901</v>
      </c>
      <c r="B789" s="116" t="s">
        <v>679</v>
      </c>
      <c r="C789" s="78" t="s">
        <v>763</v>
      </c>
      <c r="D789" s="116" t="s">
        <v>764</v>
      </c>
      <c r="E789" s="116" t="s">
        <v>765</v>
      </c>
      <c r="F789" s="151">
        <v>45911</v>
      </c>
      <c r="G789" s="116" t="s">
        <v>58</v>
      </c>
      <c r="H789" s="116" t="s">
        <v>23</v>
      </c>
      <c r="I789" s="139">
        <v>47910</v>
      </c>
      <c r="J789" s="139">
        <v>0</v>
      </c>
      <c r="K789" s="139">
        <f t="shared" si="55"/>
        <v>47910</v>
      </c>
      <c r="L789" s="139">
        <v>47910</v>
      </c>
      <c r="M789" s="139"/>
      <c r="N789" s="131">
        <f t="shared" si="54"/>
        <v>0</v>
      </c>
      <c r="O789" s="112" t="s">
        <v>769</v>
      </c>
      <c r="P789" s="141"/>
    </row>
    <row r="790" s="89" customFormat="1" spans="1:16">
      <c r="A790" s="122">
        <v>45901</v>
      </c>
      <c r="B790" s="116" t="s">
        <v>679</v>
      </c>
      <c r="C790" s="78" t="s">
        <v>763</v>
      </c>
      <c r="D790" s="116" t="s">
        <v>764</v>
      </c>
      <c r="E790" s="116" t="s">
        <v>765</v>
      </c>
      <c r="F790" s="151">
        <v>45911</v>
      </c>
      <c r="G790" s="116" t="s">
        <v>58</v>
      </c>
      <c r="H790" s="112" t="s">
        <v>21</v>
      </c>
      <c r="I790" s="139">
        <v>85423</v>
      </c>
      <c r="J790" s="139">
        <v>0</v>
      </c>
      <c r="K790" s="139">
        <f t="shared" si="55"/>
        <v>85423</v>
      </c>
      <c r="L790" s="139">
        <v>85423</v>
      </c>
      <c r="M790" s="139"/>
      <c r="N790" s="131">
        <f t="shared" si="54"/>
        <v>0</v>
      </c>
      <c r="O790" s="112" t="s">
        <v>770</v>
      </c>
      <c r="P790" s="141"/>
    </row>
    <row r="791" s="88" customFormat="1" spans="1:16">
      <c r="A791" s="118">
        <v>45931</v>
      </c>
      <c r="B791" s="116" t="s">
        <v>679</v>
      </c>
      <c r="C791" s="119" t="s">
        <v>763</v>
      </c>
      <c r="D791" s="114" t="s">
        <v>764</v>
      </c>
      <c r="E791" s="114" t="s">
        <v>765</v>
      </c>
      <c r="F791" s="151">
        <v>45941</v>
      </c>
      <c r="G791" s="114" t="s">
        <v>60</v>
      </c>
      <c r="H791" s="114" t="s">
        <v>23</v>
      </c>
      <c r="I791" s="136">
        <v>47910</v>
      </c>
      <c r="J791" s="131"/>
      <c r="K791" s="136">
        <v>47910</v>
      </c>
      <c r="L791" s="136">
        <v>47910</v>
      </c>
      <c r="M791" s="136"/>
      <c r="N791" s="131">
        <f t="shared" si="54"/>
        <v>0</v>
      </c>
      <c r="O791" s="112" t="s">
        <v>769</v>
      </c>
      <c r="P791" s="138"/>
    </row>
    <row r="792" s="88" customFormat="1" spans="1:16">
      <c r="A792" s="118">
        <v>45931</v>
      </c>
      <c r="B792" s="116" t="s">
        <v>679</v>
      </c>
      <c r="C792" s="119" t="s">
        <v>763</v>
      </c>
      <c r="D792" s="114" t="s">
        <v>764</v>
      </c>
      <c r="E792" s="114" t="s">
        <v>765</v>
      </c>
      <c r="F792" s="151">
        <v>45941</v>
      </c>
      <c r="G792" s="114" t="s">
        <v>60</v>
      </c>
      <c r="H792" s="112" t="s">
        <v>21</v>
      </c>
      <c r="I792" s="136">
        <v>85423</v>
      </c>
      <c r="J792" s="131"/>
      <c r="K792" s="136">
        <v>85423</v>
      </c>
      <c r="L792" s="136">
        <v>85423</v>
      </c>
      <c r="M792" s="136"/>
      <c r="N792" s="131">
        <f t="shared" si="54"/>
        <v>0</v>
      </c>
      <c r="O792" s="112" t="s">
        <v>770</v>
      </c>
      <c r="P792" s="138"/>
    </row>
    <row r="793" s="88" customFormat="1" spans="1:16">
      <c r="A793" s="118">
        <v>45962</v>
      </c>
      <c r="B793" s="116" t="s">
        <v>679</v>
      </c>
      <c r="C793" s="119" t="s">
        <v>763</v>
      </c>
      <c r="D793" s="114" t="s">
        <v>764</v>
      </c>
      <c r="E793" s="114" t="s">
        <v>765</v>
      </c>
      <c r="F793" s="151">
        <v>45972</v>
      </c>
      <c r="G793" s="114" t="s">
        <v>28</v>
      </c>
      <c r="H793" s="114" t="s">
        <v>23</v>
      </c>
      <c r="I793" s="136">
        <v>47910</v>
      </c>
      <c r="J793" s="131"/>
      <c r="K793" s="136">
        <v>47910</v>
      </c>
      <c r="L793" s="136">
        <v>47910</v>
      </c>
      <c r="M793" s="136"/>
      <c r="N793" s="131">
        <f t="shared" si="54"/>
        <v>0</v>
      </c>
      <c r="O793" s="112" t="s">
        <v>771</v>
      </c>
      <c r="P793" s="138"/>
    </row>
    <row r="794" s="88" customFormat="1" spans="1:16">
      <c r="A794" s="118">
        <v>45962</v>
      </c>
      <c r="B794" s="116" t="s">
        <v>679</v>
      </c>
      <c r="C794" s="119" t="s">
        <v>763</v>
      </c>
      <c r="D794" s="114" t="s">
        <v>764</v>
      </c>
      <c r="E794" s="114" t="s">
        <v>765</v>
      </c>
      <c r="F794" s="151">
        <v>45972</v>
      </c>
      <c r="G794" s="114" t="s">
        <v>28</v>
      </c>
      <c r="H794" s="112" t="s">
        <v>21</v>
      </c>
      <c r="I794" s="136">
        <v>85423</v>
      </c>
      <c r="J794" s="131"/>
      <c r="K794" s="136">
        <v>85423</v>
      </c>
      <c r="L794" s="136">
        <f>100000-47910+33333</f>
        <v>85423</v>
      </c>
      <c r="M794" s="136"/>
      <c r="N794" s="131">
        <f t="shared" si="54"/>
        <v>0</v>
      </c>
      <c r="O794" s="112" t="s">
        <v>772</v>
      </c>
      <c r="P794" s="138"/>
    </row>
    <row r="795" s="86" customFormat="1" spans="1:16">
      <c r="A795" s="111">
        <v>45962</v>
      </c>
      <c r="B795" s="116" t="s">
        <v>679</v>
      </c>
      <c r="C795" s="113" t="s">
        <v>773</v>
      </c>
      <c r="D795" s="166" t="s">
        <v>774</v>
      </c>
      <c r="E795" s="112" t="s">
        <v>775</v>
      </c>
      <c r="F795" s="151">
        <v>45962</v>
      </c>
      <c r="G795" s="166" t="s">
        <v>24</v>
      </c>
      <c r="H795" s="141" t="s">
        <v>23</v>
      </c>
      <c r="I795" s="130">
        <v>9300</v>
      </c>
      <c r="J795" s="130">
        <v>0</v>
      </c>
      <c r="K795" s="130">
        <v>9300</v>
      </c>
      <c r="L795" s="130">
        <v>9300</v>
      </c>
      <c r="M795" s="130"/>
      <c r="N795" s="131">
        <f t="shared" si="54"/>
        <v>0</v>
      </c>
      <c r="O795" s="112" t="s">
        <v>244</v>
      </c>
      <c r="P795" s="112"/>
    </row>
    <row r="796" s="86" customFormat="1" spans="1:16">
      <c r="A796" s="111">
        <v>45962</v>
      </c>
      <c r="B796" s="116" t="s">
        <v>679</v>
      </c>
      <c r="C796" s="113" t="s">
        <v>773</v>
      </c>
      <c r="D796" s="112" t="s">
        <v>774</v>
      </c>
      <c r="E796" s="112" t="s">
        <v>775</v>
      </c>
      <c r="F796" s="151">
        <v>45962</v>
      </c>
      <c r="G796" s="166" t="s">
        <v>24</v>
      </c>
      <c r="H796" s="112" t="s">
        <v>21</v>
      </c>
      <c r="I796" s="159">
        <v>9300</v>
      </c>
      <c r="J796" s="133">
        <v>0</v>
      </c>
      <c r="K796" s="133">
        <v>9300</v>
      </c>
      <c r="L796" s="133">
        <v>9300</v>
      </c>
      <c r="M796" s="133"/>
      <c r="N796" s="131">
        <f t="shared" si="54"/>
        <v>0</v>
      </c>
      <c r="O796" s="112" t="s">
        <v>244</v>
      </c>
      <c r="P796" s="112"/>
    </row>
    <row r="797" s="86" customFormat="1" spans="1:16">
      <c r="A797" s="111">
        <v>45962</v>
      </c>
      <c r="B797" s="116" t="s">
        <v>679</v>
      </c>
      <c r="C797" s="113" t="s">
        <v>773</v>
      </c>
      <c r="D797" s="166" t="s">
        <v>774</v>
      </c>
      <c r="E797" s="112" t="s">
        <v>775</v>
      </c>
      <c r="F797" s="151">
        <v>45962</v>
      </c>
      <c r="G797" s="166" t="s">
        <v>776</v>
      </c>
      <c r="H797" s="141" t="s">
        <v>23</v>
      </c>
      <c r="I797" s="130">
        <v>9300</v>
      </c>
      <c r="J797" s="130">
        <v>0</v>
      </c>
      <c r="K797" s="130">
        <v>9300</v>
      </c>
      <c r="L797" s="130">
        <f>4650*2</f>
        <v>9300</v>
      </c>
      <c r="M797" s="130"/>
      <c r="N797" s="131">
        <f t="shared" si="54"/>
        <v>0</v>
      </c>
      <c r="O797" s="112" t="s">
        <v>777</v>
      </c>
      <c r="P797" s="112"/>
    </row>
    <row r="798" s="86" customFormat="1" spans="1:16">
      <c r="A798" s="111">
        <v>45962</v>
      </c>
      <c r="B798" s="116" t="s">
        <v>679</v>
      </c>
      <c r="C798" s="113" t="s">
        <v>773</v>
      </c>
      <c r="D798" s="112" t="s">
        <v>774</v>
      </c>
      <c r="E798" s="112" t="s">
        <v>775</v>
      </c>
      <c r="F798" s="151">
        <v>45962</v>
      </c>
      <c r="G798" s="166" t="s">
        <v>776</v>
      </c>
      <c r="H798" s="112" t="s">
        <v>21</v>
      </c>
      <c r="I798" s="159">
        <v>9300</v>
      </c>
      <c r="J798" s="133">
        <v>0</v>
      </c>
      <c r="K798" s="133">
        <v>9300</v>
      </c>
      <c r="L798" s="130">
        <f>4650*2</f>
        <v>9300</v>
      </c>
      <c r="M798" s="133"/>
      <c r="N798" s="131">
        <f t="shared" si="54"/>
        <v>0</v>
      </c>
      <c r="O798" s="112" t="s">
        <v>777</v>
      </c>
      <c r="P798" s="112"/>
    </row>
    <row r="799" s="89" customFormat="1" spans="1:17">
      <c r="A799" s="122">
        <v>45901</v>
      </c>
      <c r="B799" s="116" t="s">
        <v>679</v>
      </c>
      <c r="C799" s="165" t="s">
        <v>778</v>
      </c>
      <c r="D799" s="141" t="s">
        <v>779</v>
      </c>
      <c r="E799" s="141" t="s">
        <v>780</v>
      </c>
      <c r="F799" s="151">
        <v>45916</v>
      </c>
      <c r="G799" s="141" t="s">
        <v>781</v>
      </c>
      <c r="H799" s="141" t="s">
        <v>23</v>
      </c>
      <c r="I799" s="139">
        <v>6270</v>
      </c>
      <c r="J799" s="139">
        <v>0</v>
      </c>
      <c r="K799" s="139">
        <f t="shared" ref="K799:K804" si="56">I799-J799</f>
        <v>6270</v>
      </c>
      <c r="L799" s="139">
        <v>6270</v>
      </c>
      <c r="M799" s="139"/>
      <c r="N799" s="131">
        <f t="shared" si="54"/>
        <v>0</v>
      </c>
      <c r="O799" s="141" t="s">
        <v>782</v>
      </c>
      <c r="P799" s="168" t="s">
        <v>183</v>
      </c>
      <c r="Q799" s="89" t="s">
        <v>51</v>
      </c>
    </row>
    <row r="800" s="89" customFormat="1" spans="1:17">
      <c r="A800" s="122">
        <v>45901</v>
      </c>
      <c r="B800" s="116" t="s">
        <v>679</v>
      </c>
      <c r="C800" s="165" t="s">
        <v>778</v>
      </c>
      <c r="D800" s="141" t="s">
        <v>779</v>
      </c>
      <c r="E800" s="141" t="s">
        <v>780</v>
      </c>
      <c r="F800" s="151">
        <v>45916</v>
      </c>
      <c r="G800" s="141" t="s">
        <v>781</v>
      </c>
      <c r="H800" s="112" t="s">
        <v>21</v>
      </c>
      <c r="I800" s="139">
        <v>4229.4</v>
      </c>
      <c r="J800" s="139">
        <v>0</v>
      </c>
      <c r="K800" s="139">
        <f t="shared" si="56"/>
        <v>4229.4</v>
      </c>
      <c r="L800" s="139">
        <v>4229.4</v>
      </c>
      <c r="M800" s="139"/>
      <c r="N800" s="131">
        <f t="shared" si="54"/>
        <v>0</v>
      </c>
      <c r="O800" s="141" t="s">
        <v>782</v>
      </c>
      <c r="P800" s="168" t="s">
        <v>183</v>
      </c>
      <c r="Q800" s="89" t="s">
        <v>51</v>
      </c>
    </row>
    <row r="801" s="88" customFormat="1" spans="1:16">
      <c r="A801" s="111">
        <v>45839</v>
      </c>
      <c r="B801" s="116" t="s">
        <v>679</v>
      </c>
      <c r="C801" s="119" t="s">
        <v>783</v>
      </c>
      <c r="D801" s="138" t="s">
        <v>784</v>
      </c>
      <c r="E801" s="112" t="s">
        <v>785</v>
      </c>
      <c r="F801" s="151">
        <v>45807</v>
      </c>
      <c r="G801" s="166" t="s">
        <v>424</v>
      </c>
      <c r="H801" s="112" t="s">
        <v>21</v>
      </c>
      <c r="I801" s="131">
        <v>16274.7</v>
      </c>
      <c r="J801" s="131">
        <v>0</v>
      </c>
      <c r="K801" s="131">
        <v>16274.7</v>
      </c>
      <c r="L801" s="131">
        <v>16274.7</v>
      </c>
      <c r="M801" s="131"/>
      <c r="N801" s="131">
        <f t="shared" si="54"/>
        <v>0</v>
      </c>
      <c r="O801" s="138" t="s">
        <v>786</v>
      </c>
      <c r="P801" s="138"/>
    </row>
    <row r="802" s="88" customFormat="1" spans="1:16">
      <c r="A802" s="111">
        <v>45839</v>
      </c>
      <c r="B802" s="116" t="s">
        <v>679</v>
      </c>
      <c r="C802" s="119" t="s">
        <v>783</v>
      </c>
      <c r="D802" s="138" t="s">
        <v>784</v>
      </c>
      <c r="E802" s="112" t="s">
        <v>785</v>
      </c>
      <c r="F802" s="151">
        <v>45807</v>
      </c>
      <c r="G802" s="166" t="s">
        <v>424</v>
      </c>
      <c r="H802" s="138" t="s">
        <v>23</v>
      </c>
      <c r="I802" s="131">
        <v>10725</v>
      </c>
      <c r="J802" s="131">
        <v>0</v>
      </c>
      <c r="K802" s="131">
        <v>10725</v>
      </c>
      <c r="L802" s="131">
        <v>10725</v>
      </c>
      <c r="M802" s="131"/>
      <c r="N802" s="131">
        <f t="shared" si="54"/>
        <v>0</v>
      </c>
      <c r="O802" s="138" t="s">
        <v>786</v>
      </c>
      <c r="P802" s="138"/>
    </row>
    <row r="803" s="87" customFormat="1" spans="1:16">
      <c r="A803" s="111">
        <v>45870</v>
      </c>
      <c r="B803" s="116" t="s">
        <v>679</v>
      </c>
      <c r="C803" s="78" t="s">
        <v>783</v>
      </c>
      <c r="D803" s="116" t="s">
        <v>784</v>
      </c>
      <c r="E803" s="116" t="s">
        <v>785</v>
      </c>
      <c r="F803" s="151">
        <v>45886</v>
      </c>
      <c r="G803" s="116" t="s">
        <v>289</v>
      </c>
      <c r="H803" s="112" t="s">
        <v>21</v>
      </c>
      <c r="I803" s="133">
        <v>16274.7</v>
      </c>
      <c r="J803" s="133">
        <v>0</v>
      </c>
      <c r="K803" s="133">
        <f t="shared" si="56"/>
        <v>16274.7</v>
      </c>
      <c r="L803" s="133">
        <v>16274.7</v>
      </c>
      <c r="M803" s="133"/>
      <c r="N803" s="131">
        <f t="shared" si="54"/>
        <v>0</v>
      </c>
      <c r="O803" s="112" t="s">
        <v>787</v>
      </c>
      <c r="P803" s="135"/>
    </row>
    <row r="804" s="97" customFormat="1" spans="1:16">
      <c r="A804" s="111">
        <v>45870</v>
      </c>
      <c r="B804" s="116" t="s">
        <v>679</v>
      </c>
      <c r="C804" s="78" t="s">
        <v>783</v>
      </c>
      <c r="D804" s="116" t="s">
        <v>784</v>
      </c>
      <c r="E804" s="116" t="s">
        <v>785</v>
      </c>
      <c r="F804" s="151">
        <v>45886</v>
      </c>
      <c r="G804" s="116" t="s">
        <v>289</v>
      </c>
      <c r="H804" s="116" t="s">
        <v>23</v>
      </c>
      <c r="I804" s="133">
        <v>10725</v>
      </c>
      <c r="J804" s="133">
        <v>0</v>
      </c>
      <c r="K804" s="133">
        <f t="shared" si="56"/>
        <v>10725</v>
      </c>
      <c r="L804" s="133">
        <v>10725</v>
      </c>
      <c r="M804" s="133"/>
      <c r="N804" s="131">
        <f t="shared" si="54"/>
        <v>0</v>
      </c>
      <c r="O804" s="112" t="s">
        <v>787</v>
      </c>
      <c r="P804" s="238"/>
    </row>
    <row r="805" s="88" customFormat="1" spans="1:16">
      <c r="A805" s="118">
        <v>45962</v>
      </c>
      <c r="B805" s="116" t="s">
        <v>679</v>
      </c>
      <c r="C805" s="119" t="s">
        <v>783</v>
      </c>
      <c r="D805" s="114" t="s">
        <v>784</v>
      </c>
      <c r="E805" s="114" t="s">
        <v>785</v>
      </c>
      <c r="F805" s="151">
        <v>45976</v>
      </c>
      <c r="G805" s="114" t="s">
        <v>96</v>
      </c>
      <c r="H805" s="114" t="s">
        <v>23</v>
      </c>
      <c r="I805" s="131">
        <v>3575</v>
      </c>
      <c r="J805" s="131"/>
      <c r="K805" s="136">
        <v>3575</v>
      </c>
      <c r="L805" s="136">
        <v>1825</v>
      </c>
      <c r="M805" s="136"/>
      <c r="N805" s="131">
        <f t="shared" si="54"/>
        <v>1750</v>
      </c>
      <c r="O805" s="114" t="s">
        <v>788</v>
      </c>
      <c r="P805" s="138"/>
    </row>
    <row r="806" s="88" customFormat="1" spans="1:16">
      <c r="A806" s="118">
        <v>45962</v>
      </c>
      <c r="B806" s="116" t="s">
        <v>679</v>
      </c>
      <c r="C806" s="119" t="s">
        <v>783</v>
      </c>
      <c r="D806" s="114" t="s">
        <v>784</v>
      </c>
      <c r="E806" s="114" t="s">
        <v>785</v>
      </c>
      <c r="F806" s="151">
        <v>45976</v>
      </c>
      <c r="G806" s="114" t="s">
        <v>98</v>
      </c>
      <c r="H806" s="114" t="s">
        <v>23</v>
      </c>
      <c r="I806" s="131">
        <v>3575</v>
      </c>
      <c r="J806" s="131"/>
      <c r="K806" s="136">
        <v>3575</v>
      </c>
      <c r="L806" s="136">
        <v>3575</v>
      </c>
      <c r="M806" s="136"/>
      <c r="N806" s="131">
        <f t="shared" si="54"/>
        <v>0</v>
      </c>
      <c r="O806" s="114" t="s">
        <v>788</v>
      </c>
      <c r="P806" s="138"/>
    </row>
    <row r="807" s="88" customFormat="1" spans="1:16">
      <c r="A807" s="118">
        <v>45962</v>
      </c>
      <c r="B807" s="116" t="s">
        <v>679</v>
      </c>
      <c r="C807" s="119" t="s">
        <v>783</v>
      </c>
      <c r="D807" s="114" t="s">
        <v>784</v>
      </c>
      <c r="E807" s="114" t="s">
        <v>785</v>
      </c>
      <c r="F807" s="151">
        <v>45976</v>
      </c>
      <c r="G807" s="114" t="s">
        <v>26</v>
      </c>
      <c r="H807" s="114" t="s">
        <v>23</v>
      </c>
      <c r="I807" s="131">
        <v>3575</v>
      </c>
      <c r="J807" s="131"/>
      <c r="K807" s="136">
        <v>3575</v>
      </c>
      <c r="L807" s="136">
        <v>3575</v>
      </c>
      <c r="M807" s="136"/>
      <c r="N807" s="131">
        <f t="shared" si="54"/>
        <v>0</v>
      </c>
      <c r="O807" s="114" t="s">
        <v>788</v>
      </c>
      <c r="P807" s="138"/>
    </row>
    <row r="808" s="88" customFormat="1" spans="1:16">
      <c r="A808" s="118">
        <v>45962</v>
      </c>
      <c r="B808" s="116" t="s">
        <v>679</v>
      </c>
      <c r="C808" s="119" t="s">
        <v>783</v>
      </c>
      <c r="D808" s="114" t="s">
        <v>784</v>
      </c>
      <c r="E808" s="114" t="s">
        <v>785</v>
      </c>
      <c r="F808" s="151">
        <v>45976</v>
      </c>
      <c r="G808" s="114" t="s">
        <v>96</v>
      </c>
      <c r="H808" s="112" t="s">
        <v>21</v>
      </c>
      <c r="I808" s="131">
        <v>5424.9</v>
      </c>
      <c r="J808" s="131"/>
      <c r="K808" s="136">
        <v>5424.9</v>
      </c>
      <c r="L808" s="136">
        <v>5424.9</v>
      </c>
      <c r="M808" s="136"/>
      <c r="N808" s="131">
        <f t="shared" si="54"/>
        <v>0</v>
      </c>
      <c r="O808" s="114" t="s">
        <v>788</v>
      </c>
      <c r="P808" s="138"/>
    </row>
    <row r="809" s="88" customFormat="1" spans="1:16">
      <c r="A809" s="118">
        <v>45962</v>
      </c>
      <c r="B809" s="116" t="s">
        <v>679</v>
      </c>
      <c r="C809" s="119" t="s">
        <v>783</v>
      </c>
      <c r="D809" s="114" t="s">
        <v>784</v>
      </c>
      <c r="E809" s="114" t="s">
        <v>785</v>
      </c>
      <c r="F809" s="151">
        <v>45976</v>
      </c>
      <c r="G809" s="114" t="s">
        <v>98</v>
      </c>
      <c r="H809" s="112" t="s">
        <v>21</v>
      </c>
      <c r="I809" s="131">
        <v>5424.9</v>
      </c>
      <c r="J809" s="131"/>
      <c r="K809" s="136">
        <v>5424.9</v>
      </c>
      <c r="L809" s="136">
        <v>5424.9</v>
      </c>
      <c r="M809" s="136"/>
      <c r="N809" s="131">
        <f t="shared" si="54"/>
        <v>0</v>
      </c>
      <c r="O809" s="114" t="s">
        <v>788</v>
      </c>
      <c r="P809" s="138"/>
    </row>
    <row r="810" s="88" customFormat="1" spans="1:16">
      <c r="A810" s="118">
        <v>45962</v>
      </c>
      <c r="B810" s="116" t="s">
        <v>679</v>
      </c>
      <c r="C810" s="119" t="s">
        <v>783</v>
      </c>
      <c r="D810" s="114" t="s">
        <v>784</v>
      </c>
      <c r="E810" s="114" t="s">
        <v>785</v>
      </c>
      <c r="F810" s="151">
        <v>45976</v>
      </c>
      <c r="G810" s="114" t="s">
        <v>26</v>
      </c>
      <c r="H810" s="112" t="s">
        <v>21</v>
      </c>
      <c r="I810" s="131">
        <v>5424.9</v>
      </c>
      <c r="J810" s="131"/>
      <c r="K810" s="136">
        <v>5424.9</v>
      </c>
      <c r="L810" s="136">
        <v>5424.9</v>
      </c>
      <c r="M810" s="136"/>
      <c r="N810" s="131">
        <f t="shared" si="54"/>
        <v>0</v>
      </c>
      <c r="O810" s="114" t="s">
        <v>788</v>
      </c>
      <c r="P810" s="138"/>
    </row>
    <row r="811" s="86" customFormat="1" spans="1:16">
      <c r="A811" s="111">
        <v>45839</v>
      </c>
      <c r="B811" s="116" t="s">
        <v>679</v>
      </c>
      <c r="C811" s="113" t="s">
        <v>789</v>
      </c>
      <c r="D811" s="112" t="s">
        <v>790</v>
      </c>
      <c r="E811" s="112" t="s">
        <v>791</v>
      </c>
      <c r="F811" s="151">
        <v>45824</v>
      </c>
      <c r="G811" s="112" t="s">
        <v>46</v>
      </c>
      <c r="H811" s="112" t="s">
        <v>21</v>
      </c>
      <c r="I811" s="130">
        <v>25875</v>
      </c>
      <c r="J811" s="130">
        <v>0</v>
      </c>
      <c r="K811" s="130">
        <v>25875</v>
      </c>
      <c r="L811" s="130">
        <v>25875</v>
      </c>
      <c r="M811" s="130"/>
      <c r="N811" s="131">
        <f t="shared" si="54"/>
        <v>0</v>
      </c>
      <c r="O811" s="112" t="s">
        <v>487</v>
      </c>
      <c r="P811" s="112"/>
    </row>
    <row r="812" s="86" customFormat="1" spans="1:16">
      <c r="A812" s="111">
        <v>45839</v>
      </c>
      <c r="B812" s="116" t="s">
        <v>679</v>
      </c>
      <c r="C812" s="113" t="s">
        <v>789</v>
      </c>
      <c r="D812" s="112" t="s">
        <v>790</v>
      </c>
      <c r="E812" s="112" t="s">
        <v>791</v>
      </c>
      <c r="F812" s="151">
        <v>45824</v>
      </c>
      <c r="G812" s="112" t="s">
        <v>46</v>
      </c>
      <c r="H812" s="112" t="s">
        <v>23</v>
      </c>
      <c r="I812" s="130">
        <v>23805</v>
      </c>
      <c r="J812" s="130">
        <v>0</v>
      </c>
      <c r="K812" s="130">
        <v>23805</v>
      </c>
      <c r="L812" s="130">
        <v>23805</v>
      </c>
      <c r="M812" s="130"/>
      <c r="N812" s="131">
        <f t="shared" si="54"/>
        <v>0</v>
      </c>
      <c r="O812" s="112" t="s">
        <v>792</v>
      </c>
      <c r="P812" s="112"/>
    </row>
    <row r="813" s="89" customFormat="1" ht="27" spans="1:17">
      <c r="A813" s="122">
        <v>45901</v>
      </c>
      <c r="B813" s="235" t="s">
        <v>679</v>
      </c>
      <c r="C813" s="188" t="s">
        <v>789</v>
      </c>
      <c r="D813" s="235" t="s">
        <v>790</v>
      </c>
      <c r="E813" s="235" t="s">
        <v>791</v>
      </c>
      <c r="F813" s="236">
        <v>45916</v>
      </c>
      <c r="G813" s="235" t="s">
        <v>86</v>
      </c>
      <c r="H813" s="235" t="s">
        <v>23</v>
      </c>
      <c r="I813" s="239">
        <v>23805</v>
      </c>
      <c r="J813" s="239">
        <v>0</v>
      </c>
      <c r="K813" s="239">
        <f t="shared" ref="K813:K815" si="57">I813-J813</f>
        <v>23805</v>
      </c>
      <c r="L813" s="239">
        <f>7935+7935+6000.24+1934.76</f>
        <v>23805</v>
      </c>
      <c r="M813" s="239"/>
      <c r="N813" s="161">
        <f t="shared" si="54"/>
        <v>0</v>
      </c>
      <c r="O813" s="240" t="s">
        <v>793</v>
      </c>
      <c r="P813" s="141"/>
      <c r="Q813" s="89" t="s">
        <v>51</v>
      </c>
    </row>
    <row r="814" s="89" customFormat="1" spans="1:17">
      <c r="A814" s="122">
        <v>45901</v>
      </c>
      <c r="B814" s="116" t="s">
        <v>679</v>
      </c>
      <c r="C814" s="78" t="s">
        <v>789</v>
      </c>
      <c r="D814" s="116" t="s">
        <v>790</v>
      </c>
      <c r="E814" s="116" t="s">
        <v>791</v>
      </c>
      <c r="F814" s="151">
        <v>45916</v>
      </c>
      <c r="G814" s="116" t="s">
        <v>123</v>
      </c>
      <c r="H814" s="112" t="s">
        <v>21</v>
      </c>
      <c r="I814" s="139">
        <v>12158.63</v>
      </c>
      <c r="J814" s="139">
        <v>0</v>
      </c>
      <c r="K814" s="139">
        <f t="shared" si="57"/>
        <v>12158.63</v>
      </c>
      <c r="L814" s="139">
        <f>2953.77+9204.86</f>
        <v>12158.63</v>
      </c>
      <c r="M814" s="139"/>
      <c r="N814" s="131">
        <f t="shared" si="54"/>
        <v>0</v>
      </c>
      <c r="O814" s="141" t="s">
        <v>794</v>
      </c>
      <c r="P814" s="141"/>
      <c r="Q814" s="89" t="s">
        <v>51</v>
      </c>
    </row>
    <row r="815" s="89" customFormat="1" spans="1:17">
      <c r="A815" s="122">
        <v>45901</v>
      </c>
      <c r="B815" s="116" t="s">
        <v>679</v>
      </c>
      <c r="C815" s="78" t="s">
        <v>789</v>
      </c>
      <c r="D815" s="116" t="s">
        <v>790</v>
      </c>
      <c r="E815" s="116" t="s">
        <v>791</v>
      </c>
      <c r="F815" s="151">
        <v>45916</v>
      </c>
      <c r="G815" s="116" t="s">
        <v>122</v>
      </c>
      <c r="H815" s="112" t="s">
        <v>21</v>
      </c>
      <c r="I815" s="139">
        <v>14296.23</v>
      </c>
      <c r="J815" s="139">
        <v>0</v>
      </c>
      <c r="K815" s="139">
        <f t="shared" si="57"/>
        <v>14296.23</v>
      </c>
      <c r="L815" s="139">
        <f>8625+5671.23</f>
        <v>14296.23</v>
      </c>
      <c r="M815" s="139"/>
      <c r="N815" s="131">
        <f t="shared" si="54"/>
        <v>0</v>
      </c>
      <c r="O815" s="141" t="s">
        <v>795</v>
      </c>
      <c r="P815" s="141"/>
      <c r="Q815" s="89" t="s">
        <v>51</v>
      </c>
    </row>
    <row r="816" s="88" customFormat="1" spans="1:16">
      <c r="A816" s="118">
        <v>45962</v>
      </c>
      <c r="B816" s="116" t="s">
        <v>679</v>
      </c>
      <c r="C816" s="119" t="s">
        <v>789</v>
      </c>
      <c r="D816" s="114" t="s">
        <v>790</v>
      </c>
      <c r="E816" s="114" t="s">
        <v>791</v>
      </c>
      <c r="F816" s="151">
        <v>45981</v>
      </c>
      <c r="G816" s="114" t="s">
        <v>290</v>
      </c>
      <c r="H816" s="121" t="s">
        <v>30</v>
      </c>
      <c r="I816" s="131">
        <v>250</v>
      </c>
      <c r="J816" s="131"/>
      <c r="K816" s="136">
        <v>250</v>
      </c>
      <c r="L816" s="136">
        <v>250</v>
      </c>
      <c r="M816" s="136"/>
      <c r="N816" s="131">
        <f t="shared" si="54"/>
        <v>0</v>
      </c>
      <c r="O816" s="114" t="s">
        <v>796</v>
      </c>
      <c r="P816" s="138"/>
    </row>
    <row r="817" s="88" customFormat="1" spans="1:16">
      <c r="A817" s="118">
        <v>45962</v>
      </c>
      <c r="B817" s="116" t="s">
        <v>679</v>
      </c>
      <c r="C817" s="119" t="s">
        <v>789</v>
      </c>
      <c r="D817" s="114" t="s">
        <v>790</v>
      </c>
      <c r="E817" s="114" t="s">
        <v>791</v>
      </c>
      <c r="F817" s="151">
        <v>45981</v>
      </c>
      <c r="G817" s="114" t="s">
        <v>291</v>
      </c>
      <c r="H817" s="121" t="s">
        <v>30</v>
      </c>
      <c r="I817" s="131">
        <v>250</v>
      </c>
      <c r="J817" s="131"/>
      <c r="K817" s="136">
        <v>250</v>
      </c>
      <c r="L817" s="136">
        <v>250</v>
      </c>
      <c r="M817" s="136"/>
      <c r="N817" s="131">
        <f t="shared" si="54"/>
        <v>0</v>
      </c>
      <c r="O817" s="114" t="s">
        <v>796</v>
      </c>
      <c r="P817" s="138"/>
    </row>
    <row r="818" s="88" customFormat="1" spans="1:16">
      <c r="A818" s="118">
        <v>45962</v>
      </c>
      <c r="B818" s="116" t="s">
        <v>679</v>
      </c>
      <c r="C818" s="119" t="s">
        <v>789</v>
      </c>
      <c r="D818" s="114" t="s">
        <v>790</v>
      </c>
      <c r="E818" s="114" t="s">
        <v>791</v>
      </c>
      <c r="F818" s="151">
        <v>45981</v>
      </c>
      <c r="G818" s="114" t="s">
        <v>292</v>
      </c>
      <c r="H818" s="121" t="s">
        <v>30</v>
      </c>
      <c r="I818" s="131">
        <v>250</v>
      </c>
      <c r="J818" s="131"/>
      <c r="K818" s="136">
        <v>250</v>
      </c>
      <c r="L818" s="136">
        <v>250</v>
      </c>
      <c r="M818" s="136"/>
      <c r="N818" s="131">
        <f t="shared" si="54"/>
        <v>0</v>
      </c>
      <c r="O818" s="114" t="s">
        <v>796</v>
      </c>
      <c r="P818" s="138"/>
    </row>
    <row r="819" s="88" customFormat="1" spans="1:16">
      <c r="A819" s="118">
        <v>45962</v>
      </c>
      <c r="B819" s="116" t="s">
        <v>679</v>
      </c>
      <c r="C819" s="119" t="s">
        <v>789</v>
      </c>
      <c r="D819" s="114" t="s">
        <v>790</v>
      </c>
      <c r="E819" s="114" t="s">
        <v>791</v>
      </c>
      <c r="F819" s="151">
        <v>45981</v>
      </c>
      <c r="G819" s="114" t="s">
        <v>293</v>
      </c>
      <c r="H819" s="121" t="s">
        <v>30</v>
      </c>
      <c r="I819" s="131">
        <v>250</v>
      </c>
      <c r="J819" s="131"/>
      <c r="K819" s="136">
        <v>250</v>
      </c>
      <c r="L819" s="136">
        <v>250</v>
      </c>
      <c r="M819" s="136"/>
      <c r="N819" s="131">
        <f t="shared" si="54"/>
        <v>0</v>
      </c>
      <c r="O819" s="114" t="s">
        <v>796</v>
      </c>
      <c r="P819" s="138"/>
    </row>
    <row r="820" s="88" customFormat="1" spans="1:16">
      <c r="A820" s="118">
        <v>45962</v>
      </c>
      <c r="B820" s="116" t="s">
        <v>679</v>
      </c>
      <c r="C820" s="119" t="s">
        <v>789</v>
      </c>
      <c r="D820" s="114" t="s">
        <v>790</v>
      </c>
      <c r="E820" s="114" t="s">
        <v>791</v>
      </c>
      <c r="F820" s="151">
        <v>45981</v>
      </c>
      <c r="G820" s="114" t="s">
        <v>294</v>
      </c>
      <c r="H820" s="121" t="s">
        <v>30</v>
      </c>
      <c r="I820" s="131">
        <v>250</v>
      </c>
      <c r="J820" s="131"/>
      <c r="K820" s="136">
        <v>250</v>
      </c>
      <c r="L820" s="136">
        <v>250</v>
      </c>
      <c r="M820" s="136"/>
      <c r="N820" s="131">
        <f t="shared" si="54"/>
        <v>0</v>
      </c>
      <c r="O820" s="114" t="s">
        <v>796</v>
      </c>
      <c r="P820" s="138"/>
    </row>
    <row r="821" s="88" customFormat="1" spans="1:16">
      <c r="A821" s="118">
        <v>45962</v>
      </c>
      <c r="B821" s="116" t="s">
        <v>679</v>
      </c>
      <c r="C821" s="119" t="s">
        <v>789</v>
      </c>
      <c r="D821" s="114" t="s">
        <v>790</v>
      </c>
      <c r="E821" s="114" t="s">
        <v>791</v>
      </c>
      <c r="F821" s="151">
        <v>45981</v>
      </c>
      <c r="G821" s="114" t="s">
        <v>295</v>
      </c>
      <c r="H821" s="121" t="s">
        <v>30</v>
      </c>
      <c r="I821" s="131">
        <v>250</v>
      </c>
      <c r="J821" s="131"/>
      <c r="K821" s="136">
        <v>250</v>
      </c>
      <c r="L821" s="136">
        <v>250</v>
      </c>
      <c r="M821" s="136"/>
      <c r="N821" s="131">
        <f t="shared" si="54"/>
        <v>0</v>
      </c>
      <c r="O821" s="114" t="s">
        <v>796</v>
      </c>
      <c r="P821" s="138"/>
    </row>
    <row r="822" s="88" customFormat="1" spans="1:16">
      <c r="A822" s="118">
        <v>45962</v>
      </c>
      <c r="B822" s="116" t="s">
        <v>679</v>
      </c>
      <c r="C822" s="119" t="s">
        <v>789</v>
      </c>
      <c r="D822" s="114" t="s">
        <v>790</v>
      </c>
      <c r="E822" s="114" t="s">
        <v>791</v>
      </c>
      <c r="F822" s="151">
        <v>45981</v>
      </c>
      <c r="G822" s="114" t="s">
        <v>296</v>
      </c>
      <c r="H822" s="121" t="s">
        <v>30</v>
      </c>
      <c r="I822" s="131">
        <v>250</v>
      </c>
      <c r="J822" s="131"/>
      <c r="K822" s="136">
        <v>250</v>
      </c>
      <c r="L822" s="136">
        <v>250</v>
      </c>
      <c r="M822" s="136"/>
      <c r="N822" s="131">
        <f t="shared" si="54"/>
        <v>0</v>
      </c>
      <c r="O822" s="114" t="s">
        <v>796</v>
      </c>
      <c r="P822" s="138"/>
    </row>
    <row r="823" s="88" customFormat="1" spans="1:16">
      <c r="A823" s="118">
        <v>45962</v>
      </c>
      <c r="B823" s="116" t="s">
        <v>679</v>
      </c>
      <c r="C823" s="119" t="s">
        <v>789</v>
      </c>
      <c r="D823" s="114" t="s">
        <v>790</v>
      </c>
      <c r="E823" s="114" t="s">
        <v>791</v>
      </c>
      <c r="F823" s="151">
        <v>45981</v>
      </c>
      <c r="G823" s="114" t="s">
        <v>297</v>
      </c>
      <c r="H823" s="121" t="s">
        <v>30</v>
      </c>
      <c r="I823" s="131">
        <v>250</v>
      </c>
      <c r="J823" s="131"/>
      <c r="K823" s="136">
        <v>250</v>
      </c>
      <c r="L823" s="136">
        <v>250</v>
      </c>
      <c r="M823" s="136"/>
      <c r="N823" s="131">
        <f t="shared" si="54"/>
        <v>0</v>
      </c>
      <c r="O823" s="114" t="s">
        <v>796</v>
      </c>
      <c r="P823" s="138"/>
    </row>
    <row r="824" s="88" customFormat="1" spans="1:16">
      <c r="A824" s="118">
        <v>45962</v>
      </c>
      <c r="B824" s="116" t="s">
        <v>679</v>
      </c>
      <c r="C824" s="119" t="s">
        <v>789</v>
      </c>
      <c r="D824" s="114" t="s">
        <v>790</v>
      </c>
      <c r="E824" s="114" t="s">
        <v>791</v>
      </c>
      <c r="F824" s="151">
        <v>45981</v>
      </c>
      <c r="G824" s="114" t="s">
        <v>298</v>
      </c>
      <c r="H824" s="121" t="s">
        <v>30</v>
      </c>
      <c r="I824" s="131">
        <v>250</v>
      </c>
      <c r="J824" s="131"/>
      <c r="K824" s="136">
        <v>250</v>
      </c>
      <c r="L824" s="136">
        <v>250</v>
      </c>
      <c r="M824" s="136"/>
      <c r="N824" s="131">
        <f t="shared" si="54"/>
        <v>0</v>
      </c>
      <c r="O824" s="114" t="s">
        <v>796</v>
      </c>
      <c r="P824" s="138"/>
    </row>
    <row r="825" s="88" customFormat="1" spans="1:16">
      <c r="A825" s="118">
        <v>45962</v>
      </c>
      <c r="B825" s="116" t="s">
        <v>679</v>
      </c>
      <c r="C825" s="119" t="s">
        <v>789</v>
      </c>
      <c r="D825" s="114" t="s">
        <v>790</v>
      </c>
      <c r="E825" s="114" t="s">
        <v>791</v>
      </c>
      <c r="F825" s="151">
        <v>45981</v>
      </c>
      <c r="G825" s="114" t="s">
        <v>299</v>
      </c>
      <c r="H825" s="121" t="s">
        <v>30</v>
      </c>
      <c r="I825" s="131">
        <v>250</v>
      </c>
      <c r="J825" s="131"/>
      <c r="K825" s="136">
        <v>250</v>
      </c>
      <c r="L825" s="136">
        <v>250</v>
      </c>
      <c r="M825" s="136"/>
      <c r="N825" s="131">
        <f t="shared" si="54"/>
        <v>0</v>
      </c>
      <c r="O825" s="114" t="s">
        <v>796</v>
      </c>
      <c r="P825" s="138"/>
    </row>
    <row r="826" s="88" customFormat="1" spans="1:16">
      <c r="A826" s="118">
        <v>45962</v>
      </c>
      <c r="B826" s="116" t="s">
        <v>679</v>
      </c>
      <c r="C826" s="119" t="s">
        <v>789</v>
      </c>
      <c r="D826" s="114" t="s">
        <v>790</v>
      </c>
      <c r="E826" s="114" t="s">
        <v>791</v>
      </c>
      <c r="F826" s="151">
        <v>45981</v>
      </c>
      <c r="G826" s="114" t="s">
        <v>300</v>
      </c>
      <c r="H826" s="121" t="s">
        <v>30</v>
      </c>
      <c r="I826" s="131">
        <v>250</v>
      </c>
      <c r="J826" s="131"/>
      <c r="K826" s="136">
        <v>250</v>
      </c>
      <c r="L826" s="136">
        <v>250</v>
      </c>
      <c r="M826" s="136"/>
      <c r="N826" s="131">
        <f t="shared" si="54"/>
        <v>0</v>
      </c>
      <c r="O826" s="114" t="s">
        <v>796</v>
      </c>
      <c r="P826" s="138"/>
    </row>
    <row r="827" s="88" customFormat="1" spans="1:16">
      <c r="A827" s="118">
        <v>45962</v>
      </c>
      <c r="B827" s="116" t="s">
        <v>679</v>
      </c>
      <c r="C827" s="119" t="s">
        <v>789</v>
      </c>
      <c r="D827" s="114" t="s">
        <v>790</v>
      </c>
      <c r="E827" s="114" t="s">
        <v>791</v>
      </c>
      <c r="F827" s="151">
        <v>45981</v>
      </c>
      <c r="G827" s="114" t="s">
        <v>301</v>
      </c>
      <c r="H827" s="121" t="s">
        <v>30</v>
      </c>
      <c r="I827" s="131">
        <v>250</v>
      </c>
      <c r="J827" s="131"/>
      <c r="K827" s="136">
        <v>250</v>
      </c>
      <c r="L827" s="136">
        <v>250</v>
      </c>
      <c r="M827" s="136"/>
      <c r="N827" s="131">
        <f t="shared" si="54"/>
        <v>0</v>
      </c>
      <c r="O827" s="114" t="s">
        <v>796</v>
      </c>
      <c r="P827" s="138"/>
    </row>
    <row r="828" s="88" customFormat="1" spans="1:16">
      <c r="A828" s="111">
        <v>45839</v>
      </c>
      <c r="B828" s="138" t="s">
        <v>679</v>
      </c>
      <c r="C828" s="119" t="s">
        <v>797</v>
      </c>
      <c r="D828" s="166" t="s">
        <v>798</v>
      </c>
      <c r="E828" s="112" t="s">
        <v>799</v>
      </c>
      <c r="F828" s="151">
        <v>45807</v>
      </c>
      <c r="G828" s="112" t="s">
        <v>20</v>
      </c>
      <c r="H828" s="112" t="s">
        <v>21</v>
      </c>
      <c r="I828" s="131">
        <v>24651.4</v>
      </c>
      <c r="J828" s="131">
        <v>0</v>
      </c>
      <c r="K828" s="131">
        <v>24651.4</v>
      </c>
      <c r="L828" s="131">
        <f>12325.7*2</f>
        <v>24651.4</v>
      </c>
      <c r="M828" s="131"/>
      <c r="N828" s="131">
        <f t="shared" si="54"/>
        <v>0</v>
      </c>
      <c r="O828" s="138" t="s">
        <v>800</v>
      </c>
      <c r="P828" s="138"/>
    </row>
    <row r="829" s="88" customFormat="1" spans="1:16">
      <c r="A829" s="111">
        <v>45839</v>
      </c>
      <c r="B829" s="138" t="s">
        <v>679</v>
      </c>
      <c r="C829" s="119" t="s">
        <v>797</v>
      </c>
      <c r="D829" s="166" t="s">
        <v>798</v>
      </c>
      <c r="E829" s="112" t="s">
        <v>799</v>
      </c>
      <c r="F829" s="151">
        <v>45807</v>
      </c>
      <c r="G829" s="112" t="s">
        <v>20</v>
      </c>
      <c r="H829" s="138" t="s">
        <v>23</v>
      </c>
      <c r="I829" s="131">
        <v>26565</v>
      </c>
      <c r="J829" s="131">
        <v>0</v>
      </c>
      <c r="K829" s="131">
        <v>26565</v>
      </c>
      <c r="L829" s="131">
        <f>13282.5*2</f>
        <v>26565</v>
      </c>
      <c r="M829" s="131"/>
      <c r="N829" s="131">
        <f t="shared" si="54"/>
        <v>0</v>
      </c>
      <c r="O829" s="138" t="s">
        <v>801</v>
      </c>
      <c r="P829" s="138"/>
    </row>
    <row r="830" s="88" customFormat="1" spans="1:16">
      <c r="A830" s="111">
        <v>45839</v>
      </c>
      <c r="B830" s="138" t="s">
        <v>679</v>
      </c>
      <c r="C830" s="119" t="s">
        <v>797</v>
      </c>
      <c r="D830" s="166" t="s">
        <v>798</v>
      </c>
      <c r="E830" s="112" t="s">
        <v>799</v>
      </c>
      <c r="F830" s="151">
        <v>45807</v>
      </c>
      <c r="G830" s="166" t="s">
        <v>802</v>
      </c>
      <c r="H830" s="121" t="s">
        <v>30</v>
      </c>
      <c r="I830" s="131">
        <v>1414</v>
      </c>
      <c r="J830" s="131">
        <v>0</v>
      </c>
      <c r="K830" s="131">
        <v>1414</v>
      </c>
      <c r="L830" s="131">
        <v>1414</v>
      </c>
      <c r="M830" s="131"/>
      <c r="N830" s="131">
        <f t="shared" si="54"/>
        <v>0</v>
      </c>
      <c r="O830" s="138" t="s">
        <v>803</v>
      </c>
      <c r="P830" s="138"/>
    </row>
    <row r="831" s="86" customFormat="1" spans="1:16">
      <c r="A831" s="111">
        <v>45870</v>
      </c>
      <c r="B831" s="113" t="s">
        <v>679</v>
      </c>
      <c r="C831" s="119" t="s">
        <v>797</v>
      </c>
      <c r="D831" s="112" t="s">
        <v>798</v>
      </c>
      <c r="E831" s="113" t="s">
        <v>799</v>
      </c>
      <c r="F831" s="151">
        <v>45900</v>
      </c>
      <c r="G831" s="112" t="s">
        <v>110</v>
      </c>
      <c r="H831" s="112" t="s">
        <v>21</v>
      </c>
      <c r="I831" s="159">
        <v>32755.97</v>
      </c>
      <c r="J831" s="133">
        <v>0</v>
      </c>
      <c r="K831" s="133">
        <f>I831-J831</f>
        <v>32755.97</v>
      </c>
      <c r="L831" s="133">
        <f>12325.7*2+8104.57</f>
        <v>32755.97</v>
      </c>
      <c r="M831" s="133"/>
      <c r="N831" s="131">
        <f t="shared" si="54"/>
        <v>0</v>
      </c>
      <c r="O831" s="112" t="s">
        <v>804</v>
      </c>
      <c r="P831" s="112"/>
    </row>
    <row r="832" s="86" customFormat="1" spans="1:16">
      <c r="A832" s="111">
        <v>45870</v>
      </c>
      <c r="B832" s="113" t="s">
        <v>679</v>
      </c>
      <c r="C832" s="119" t="s">
        <v>797</v>
      </c>
      <c r="D832" s="112" t="s">
        <v>798</v>
      </c>
      <c r="E832" s="112" t="s">
        <v>799</v>
      </c>
      <c r="F832" s="151">
        <v>45900</v>
      </c>
      <c r="G832" s="112" t="s">
        <v>110</v>
      </c>
      <c r="H832" s="116" t="s">
        <v>23</v>
      </c>
      <c r="I832" s="159">
        <v>35298.7</v>
      </c>
      <c r="J832" s="133">
        <v>0</v>
      </c>
      <c r="K832" s="133">
        <f>I832-J832</f>
        <v>35298.7</v>
      </c>
      <c r="L832" s="133">
        <f>13282.5*2+8733.7</f>
        <v>35298.7</v>
      </c>
      <c r="M832" s="133"/>
      <c r="N832" s="131">
        <f t="shared" si="54"/>
        <v>0</v>
      </c>
      <c r="O832" s="112" t="s">
        <v>804</v>
      </c>
      <c r="P832" s="112"/>
    </row>
    <row r="833" s="86" customFormat="1" spans="1:16">
      <c r="A833" s="111">
        <v>45962</v>
      </c>
      <c r="B833" s="113" t="s">
        <v>679</v>
      </c>
      <c r="C833" s="119" t="s">
        <v>797</v>
      </c>
      <c r="D833" s="112" t="s">
        <v>798</v>
      </c>
      <c r="E833" s="113" t="s">
        <v>799</v>
      </c>
      <c r="F833" s="151">
        <v>45981</v>
      </c>
      <c r="G833" s="112" t="s">
        <v>123</v>
      </c>
      <c r="H833" s="112" t="s">
        <v>21</v>
      </c>
      <c r="I833" s="133">
        <v>12573.33</v>
      </c>
      <c r="J833" s="133">
        <v>0</v>
      </c>
      <c r="K833" s="133">
        <v>12573.33</v>
      </c>
      <c r="L833" s="181">
        <f>9200+3373.33</f>
        <v>12573.33</v>
      </c>
      <c r="M833" s="133"/>
      <c r="N833" s="131">
        <f t="shared" si="54"/>
        <v>0</v>
      </c>
      <c r="O833" s="112" t="s">
        <v>805</v>
      </c>
      <c r="P833" s="112"/>
    </row>
    <row r="834" s="86" customFormat="1" spans="1:16">
      <c r="A834" s="111">
        <v>45962</v>
      </c>
      <c r="B834" s="113" t="s">
        <v>679</v>
      </c>
      <c r="C834" s="119" t="s">
        <v>797</v>
      </c>
      <c r="D834" s="112" t="s">
        <v>798</v>
      </c>
      <c r="E834" s="112" t="s">
        <v>799</v>
      </c>
      <c r="F834" s="151">
        <v>45981</v>
      </c>
      <c r="G834" s="112" t="s">
        <v>123</v>
      </c>
      <c r="H834" s="116" t="s">
        <v>23</v>
      </c>
      <c r="I834" s="133">
        <v>17288.33</v>
      </c>
      <c r="J834" s="133">
        <v>0</v>
      </c>
      <c r="K834" s="133">
        <v>17288.33</v>
      </c>
      <c r="L834" s="181">
        <f>9645+4638.33+3005</f>
        <v>17288.33</v>
      </c>
      <c r="M834" s="133"/>
      <c r="N834" s="131">
        <f t="shared" si="54"/>
        <v>0</v>
      </c>
      <c r="O834" s="112" t="s">
        <v>806</v>
      </c>
      <c r="P834" s="112"/>
    </row>
    <row r="835" s="86" customFormat="1" spans="1:16">
      <c r="A835" s="111">
        <v>45839</v>
      </c>
      <c r="B835" s="112" t="s">
        <v>679</v>
      </c>
      <c r="C835" s="113" t="s">
        <v>807</v>
      </c>
      <c r="D835" s="112" t="s">
        <v>808</v>
      </c>
      <c r="E835" s="112" t="s">
        <v>809</v>
      </c>
      <c r="F835" s="151">
        <v>45824</v>
      </c>
      <c r="G835" s="112" t="s">
        <v>46</v>
      </c>
      <c r="H835" s="112" t="s">
        <v>21</v>
      </c>
      <c r="I835" s="130">
        <v>40131</v>
      </c>
      <c r="J835" s="130">
        <v>0</v>
      </c>
      <c r="K835" s="130">
        <v>40131</v>
      </c>
      <c r="L835" s="130">
        <v>40131</v>
      </c>
      <c r="M835" s="130"/>
      <c r="N835" s="131">
        <f t="shared" ref="N835:N898" si="58">K835-L835</f>
        <v>0</v>
      </c>
      <c r="O835" s="112" t="s">
        <v>271</v>
      </c>
      <c r="P835" s="112"/>
    </row>
    <row r="836" s="86" customFormat="1" spans="1:16">
      <c r="A836" s="111">
        <v>45839</v>
      </c>
      <c r="B836" s="112" t="s">
        <v>679</v>
      </c>
      <c r="C836" s="113" t="s">
        <v>807</v>
      </c>
      <c r="D836" s="112" t="s">
        <v>808</v>
      </c>
      <c r="E836" s="112" t="s">
        <v>809</v>
      </c>
      <c r="F836" s="151">
        <v>45824</v>
      </c>
      <c r="G836" s="112" t="s">
        <v>46</v>
      </c>
      <c r="H836" s="112" t="s">
        <v>23</v>
      </c>
      <c r="I836" s="130">
        <v>8085</v>
      </c>
      <c r="J836" s="130">
        <v>0</v>
      </c>
      <c r="K836" s="130">
        <v>8085</v>
      </c>
      <c r="L836" s="130">
        <v>8085</v>
      </c>
      <c r="M836" s="130"/>
      <c r="N836" s="131">
        <f t="shared" si="58"/>
        <v>0</v>
      </c>
      <c r="O836" s="112" t="s">
        <v>810</v>
      </c>
      <c r="P836" s="112"/>
    </row>
    <row r="837" s="89" customFormat="1" spans="1:17">
      <c r="A837" s="122">
        <v>45901</v>
      </c>
      <c r="B837" s="116" t="s">
        <v>679</v>
      </c>
      <c r="C837" s="78" t="s">
        <v>807</v>
      </c>
      <c r="D837" s="116" t="s">
        <v>808</v>
      </c>
      <c r="E837" s="116" t="s">
        <v>809</v>
      </c>
      <c r="F837" s="151">
        <v>45916</v>
      </c>
      <c r="G837" s="116" t="s">
        <v>86</v>
      </c>
      <c r="H837" s="116" t="s">
        <v>23</v>
      </c>
      <c r="I837" s="139">
        <v>8085</v>
      </c>
      <c r="J837" s="139">
        <v>0</v>
      </c>
      <c r="K837" s="139">
        <f>I837-J837</f>
        <v>8085</v>
      </c>
      <c r="L837" s="139">
        <v>8085</v>
      </c>
      <c r="M837" s="139"/>
      <c r="N837" s="131">
        <f t="shared" si="58"/>
        <v>0</v>
      </c>
      <c r="O837" s="141" t="s">
        <v>703</v>
      </c>
      <c r="P837" s="141"/>
      <c r="Q837" s="89" t="s">
        <v>51</v>
      </c>
    </row>
    <row r="838" s="89" customFormat="1" spans="1:17">
      <c r="A838" s="122">
        <v>45901</v>
      </c>
      <c r="B838" s="116" t="s">
        <v>679</v>
      </c>
      <c r="C838" s="78" t="s">
        <v>807</v>
      </c>
      <c r="D838" s="116" t="s">
        <v>808</v>
      </c>
      <c r="E838" s="116" t="s">
        <v>809</v>
      </c>
      <c r="F838" s="151">
        <v>45916</v>
      </c>
      <c r="G838" s="116" t="s">
        <v>86</v>
      </c>
      <c r="H838" s="112" t="s">
        <v>21</v>
      </c>
      <c r="I838" s="139">
        <v>40131</v>
      </c>
      <c r="J838" s="139">
        <v>0</v>
      </c>
      <c r="K838" s="139">
        <f>I838-J838</f>
        <v>40131</v>
      </c>
      <c r="L838" s="139">
        <v>40131</v>
      </c>
      <c r="M838" s="139"/>
      <c r="N838" s="131">
        <f t="shared" si="58"/>
        <v>0</v>
      </c>
      <c r="O838" s="141" t="s">
        <v>703</v>
      </c>
      <c r="P838" s="141"/>
      <c r="Q838" s="89" t="s">
        <v>51</v>
      </c>
    </row>
    <row r="839" s="86" customFormat="1" spans="1:16">
      <c r="A839" s="111">
        <v>45839</v>
      </c>
      <c r="B839" s="112" t="s">
        <v>679</v>
      </c>
      <c r="C839" s="113" t="s">
        <v>811</v>
      </c>
      <c r="D839" s="112" t="s">
        <v>812</v>
      </c>
      <c r="E839" s="112" t="s">
        <v>813</v>
      </c>
      <c r="F839" s="151">
        <v>45824</v>
      </c>
      <c r="G839" s="112" t="s">
        <v>55</v>
      </c>
      <c r="H839" s="112" t="s">
        <v>23</v>
      </c>
      <c r="I839" s="130">
        <v>7717.5</v>
      </c>
      <c r="J839" s="130">
        <v>0</v>
      </c>
      <c r="K839" s="130">
        <v>7717.5</v>
      </c>
      <c r="L839" s="130">
        <v>7717.5</v>
      </c>
      <c r="M839" s="130"/>
      <c r="N839" s="131">
        <f t="shared" si="58"/>
        <v>0</v>
      </c>
      <c r="O839" s="112" t="s">
        <v>309</v>
      </c>
      <c r="P839" s="112"/>
    </row>
    <row r="840" s="86" customFormat="1" spans="1:16">
      <c r="A840" s="111">
        <v>45839</v>
      </c>
      <c r="B840" s="112" t="s">
        <v>679</v>
      </c>
      <c r="C840" s="113" t="s">
        <v>811</v>
      </c>
      <c r="D840" s="112" t="s">
        <v>812</v>
      </c>
      <c r="E840" s="112" t="s">
        <v>813</v>
      </c>
      <c r="F840" s="151">
        <v>45824</v>
      </c>
      <c r="G840" s="112" t="s">
        <v>55</v>
      </c>
      <c r="H840" s="112" t="s">
        <v>21</v>
      </c>
      <c r="I840" s="130">
        <v>17892.35</v>
      </c>
      <c r="J840" s="130">
        <v>0</v>
      </c>
      <c r="K840" s="130">
        <v>17892.35</v>
      </c>
      <c r="L840" s="130">
        <v>17892.35</v>
      </c>
      <c r="M840" s="130"/>
      <c r="N840" s="131">
        <f t="shared" si="58"/>
        <v>0</v>
      </c>
      <c r="O840" s="112" t="s">
        <v>309</v>
      </c>
      <c r="P840" s="112"/>
    </row>
    <row r="841" s="86" customFormat="1" spans="1:16">
      <c r="A841" s="111">
        <v>45839</v>
      </c>
      <c r="B841" s="112" t="s">
        <v>679</v>
      </c>
      <c r="C841" s="113" t="s">
        <v>811</v>
      </c>
      <c r="D841" s="112" t="s">
        <v>812</v>
      </c>
      <c r="E841" s="112" t="s">
        <v>813</v>
      </c>
      <c r="F841" s="151">
        <v>45855</v>
      </c>
      <c r="G841" s="112" t="s">
        <v>56</v>
      </c>
      <c r="H841" s="112" t="s">
        <v>21</v>
      </c>
      <c r="I841" s="130">
        <v>7282.5</v>
      </c>
      <c r="J841" s="130">
        <v>0</v>
      </c>
      <c r="K841" s="130">
        <f t="shared" ref="K841:K845" si="59">15000-7717.5</f>
        <v>7282.5</v>
      </c>
      <c r="L841" s="130">
        <f t="shared" ref="L841:L845" si="60">15000-7717.5</f>
        <v>7282.5</v>
      </c>
      <c r="M841" s="130"/>
      <c r="N841" s="131">
        <f t="shared" si="58"/>
        <v>0</v>
      </c>
      <c r="O841" s="114" t="s">
        <v>814</v>
      </c>
      <c r="P841" s="249" t="s">
        <v>815</v>
      </c>
    </row>
    <row r="842" s="86" customFormat="1" spans="1:16">
      <c r="A842" s="111">
        <v>45839</v>
      </c>
      <c r="B842" s="112" t="s">
        <v>679</v>
      </c>
      <c r="C842" s="113" t="s">
        <v>811</v>
      </c>
      <c r="D842" s="112" t="s">
        <v>812</v>
      </c>
      <c r="E842" s="112" t="s">
        <v>813</v>
      </c>
      <c r="F842" s="151">
        <v>45855</v>
      </c>
      <c r="G842" s="112" t="s">
        <v>56</v>
      </c>
      <c r="H842" s="112" t="s">
        <v>23</v>
      </c>
      <c r="I842" s="130">
        <v>7717.5</v>
      </c>
      <c r="J842" s="130">
        <v>0</v>
      </c>
      <c r="K842" s="130">
        <v>7717.5</v>
      </c>
      <c r="L842" s="130">
        <v>7717.5</v>
      </c>
      <c r="M842" s="130"/>
      <c r="N842" s="131">
        <f t="shared" si="58"/>
        <v>0</v>
      </c>
      <c r="O842" s="114" t="s">
        <v>814</v>
      </c>
      <c r="P842" s="250"/>
    </row>
    <row r="843" s="97" customFormat="1" spans="1:16">
      <c r="A843" s="111">
        <v>45870</v>
      </c>
      <c r="B843" s="116" t="s">
        <v>679</v>
      </c>
      <c r="C843" s="78" t="s">
        <v>811</v>
      </c>
      <c r="D843" s="116" t="s">
        <v>812</v>
      </c>
      <c r="E843" s="116" t="s">
        <v>813</v>
      </c>
      <c r="F843" s="151">
        <v>45886</v>
      </c>
      <c r="G843" s="116" t="s">
        <v>58</v>
      </c>
      <c r="H843" s="112" t="s">
        <v>21</v>
      </c>
      <c r="I843" s="133">
        <v>7282.5</v>
      </c>
      <c r="J843" s="133">
        <v>0</v>
      </c>
      <c r="K843" s="130">
        <f t="shared" si="59"/>
        <v>7282.5</v>
      </c>
      <c r="L843" s="130">
        <f t="shared" si="60"/>
        <v>7282.5</v>
      </c>
      <c r="M843" s="133"/>
      <c r="N843" s="131">
        <f t="shared" si="58"/>
        <v>0</v>
      </c>
      <c r="O843" s="114" t="s">
        <v>814</v>
      </c>
      <c r="P843" s="250"/>
    </row>
    <row r="844" s="97" customFormat="1" spans="1:16">
      <c r="A844" s="111">
        <v>45870</v>
      </c>
      <c r="B844" s="116" t="s">
        <v>679</v>
      </c>
      <c r="C844" s="78" t="s">
        <v>811</v>
      </c>
      <c r="D844" s="116" t="s">
        <v>812</v>
      </c>
      <c r="E844" s="116" t="s">
        <v>813</v>
      </c>
      <c r="F844" s="151">
        <v>45886</v>
      </c>
      <c r="G844" s="116" t="s">
        <v>58</v>
      </c>
      <c r="H844" s="116" t="s">
        <v>23</v>
      </c>
      <c r="I844" s="133">
        <v>7717.5</v>
      </c>
      <c r="J844" s="133">
        <v>0</v>
      </c>
      <c r="K844" s="130">
        <v>7717.5</v>
      </c>
      <c r="L844" s="130">
        <v>7717.5</v>
      </c>
      <c r="M844" s="133"/>
      <c r="N844" s="131">
        <f t="shared" si="58"/>
        <v>0</v>
      </c>
      <c r="O844" s="114" t="s">
        <v>814</v>
      </c>
      <c r="P844" s="250"/>
    </row>
    <row r="845" s="89" customFormat="1" spans="1:17">
      <c r="A845" s="122">
        <v>45901</v>
      </c>
      <c r="B845" s="116" t="s">
        <v>679</v>
      </c>
      <c r="C845" s="78" t="s">
        <v>811</v>
      </c>
      <c r="D845" s="116" t="s">
        <v>812</v>
      </c>
      <c r="E845" s="116" t="s">
        <v>813</v>
      </c>
      <c r="F845" s="151">
        <v>45916</v>
      </c>
      <c r="G845" s="116" t="s">
        <v>60</v>
      </c>
      <c r="H845" s="116" t="s">
        <v>23</v>
      </c>
      <c r="I845" s="139">
        <v>7282.5</v>
      </c>
      <c r="J845" s="139">
        <v>0</v>
      </c>
      <c r="K845" s="130">
        <f t="shared" si="59"/>
        <v>7282.5</v>
      </c>
      <c r="L845" s="130">
        <f t="shared" si="60"/>
        <v>7282.5</v>
      </c>
      <c r="M845" s="139"/>
      <c r="N845" s="131">
        <f t="shared" si="58"/>
        <v>0</v>
      </c>
      <c r="O845" s="114" t="s">
        <v>814</v>
      </c>
      <c r="P845" s="250"/>
      <c r="Q845" s="89" t="s">
        <v>51</v>
      </c>
    </row>
    <row r="846" s="89" customFormat="1" spans="1:17">
      <c r="A846" s="122">
        <v>45901</v>
      </c>
      <c r="B846" s="116" t="s">
        <v>679</v>
      </c>
      <c r="C846" s="78" t="s">
        <v>811</v>
      </c>
      <c r="D846" s="116" t="s">
        <v>812</v>
      </c>
      <c r="E846" s="116" t="s">
        <v>813</v>
      </c>
      <c r="F846" s="151">
        <v>45916</v>
      </c>
      <c r="G846" s="116" t="s">
        <v>60</v>
      </c>
      <c r="H846" s="112" t="s">
        <v>21</v>
      </c>
      <c r="I846" s="139">
        <v>7717.5</v>
      </c>
      <c r="J846" s="139">
        <v>0</v>
      </c>
      <c r="K846" s="130">
        <v>7717.5</v>
      </c>
      <c r="L846" s="130">
        <v>7717.5</v>
      </c>
      <c r="M846" s="139"/>
      <c r="N846" s="131">
        <f t="shared" si="58"/>
        <v>0</v>
      </c>
      <c r="O846" s="114" t="s">
        <v>814</v>
      </c>
      <c r="P846" s="250"/>
      <c r="Q846" s="89" t="s">
        <v>51</v>
      </c>
    </row>
    <row r="847" s="88" customFormat="1" spans="1:16">
      <c r="A847" s="118">
        <v>45931</v>
      </c>
      <c r="B847" s="116" t="s">
        <v>679</v>
      </c>
      <c r="C847" s="119" t="s">
        <v>811</v>
      </c>
      <c r="D847" s="114" t="s">
        <v>812</v>
      </c>
      <c r="E847" s="114" t="s">
        <v>813</v>
      </c>
      <c r="F847" s="151">
        <v>45946</v>
      </c>
      <c r="G847" s="114" t="s">
        <v>28</v>
      </c>
      <c r="H847" s="114" t="s">
        <v>23</v>
      </c>
      <c r="I847" s="136">
        <v>7282.5</v>
      </c>
      <c r="J847" s="139">
        <v>0</v>
      </c>
      <c r="K847" s="130">
        <f>15000-7717.5</f>
        <v>7282.5</v>
      </c>
      <c r="L847" s="130">
        <f>15000-7717.5</f>
        <v>7282.5</v>
      </c>
      <c r="M847" s="136"/>
      <c r="N847" s="131">
        <f t="shared" si="58"/>
        <v>0</v>
      </c>
      <c r="O847" s="114" t="s">
        <v>814</v>
      </c>
      <c r="P847" s="250"/>
    </row>
    <row r="848" s="88" customFormat="1" spans="1:16">
      <c r="A848" s="118">
        <v>45931</v>
      </c>
      <c r="B848" s="116" t="s">
        <v>679</v>
      </c>
      <c r="C848" s="119" t="s">
        <v>811</v>
      </c>
      <c r="D848" s="114" t="s">
        <v>812</v>
      </c>
      <c r="E848" s="114" t="s">
        <v>813</v>
      </c>
      <c r="F848" s="151">
        <v>45946</v>
      </c>
      <c r="G848" s="114" t="s">
        <v>28</v>
      </c>
      <c r="H848" s="112" t="s">
        <v>21</v>
      </c>
      <c r="I848" s="136">
        <v>7717.5</v>
      </c>
      <c r="J848" s="139">
        <v>0</v>
      </c>
      <c r="K848" s="130">
        <v>7717.5</v>
      </c>
      <c r="L848" s="130">
        <v>7717.5</v>
      </c>
      <c r="M848" s="136"/>
      <c r="N848" s="131">
        <f t="shared" si="58"/>
        <v>0</v>
      </c>
      <c r="O848" s="114" t="s">
        <v>814</v>
      </c>
      <c r="P848" s="250"/>
    </row>
    <row r="849" s="88" customFormat="1" spans="1:16">
      <c r="A849" s="118">
        <v>45962</v>
      </c>
      <c r="B849" s="116" t="s">
        <v>679</v>
      </c>
      <c r="C849" s="119" t="s">
        <v>811</v>
      </c>
      <c r="D849" s="114" t="s">
        <v>812</v>
      </c>
      <c r="E849" s="114" t="s">
        <v>813</v>
      </c>
      <c r="F849" s="151">
        <v>45976</v>
      </c>
      <c r="G849" s="114" t="s">
        <v>26</v>
      </c>
      <c r="H849" s="114" t="s">
        <v>23</v>
      </c>
      <c r="I849" s="136">
        <v>7282.5</v>
      </c>
      <c r="J849" s="139">
        <v>0</v>
      </c>
      <c r="K849" s="130">
        <f>15000-7717.5</f>
        <v>7282.5</v>
      </c>
      <c r="L849" s="130">
        <f>15000-7717.5</f>
        <v>7282.5</v>
      </c>
      <c r="M849" s="136"/>
      <c r="N849" s="131">
        <f t="shared" si="58"/>
        <v>0</v>
      </c>
      <c r="O849" s="114" t="s">
        <v>814</v>
      </c>
      <c r="P849" s="250"/>
    </row>
    <row r="850" s="88" customFormat="1" spans="1:16">
      <c r="A850" s="118">
        <v>45962</v>
      </c>
      <c r="B850" s="116" t="s">
        <v>679</v>
      </c>
      <c r="C850" s="119" t="s">
        <v>811</v>
      </c>
      <c r="D850" s="114" t="s">
        <v>812</v>
      </c>
      <c r="E850" s="114" t="s">
        <v>813</v>
      </c>
      <c r="F850" s="151">
        <v>45976</v>
      </c>
      <c r="G850" s="114" t="s">
        <v>26</v>
      </c>
      <c r="H850" s="112" t="s">
        <v>21</v>
      </c>
      <c r="I850" s="136">
        <v>7717.5</v>
      </c>
      <c r="J850" s="139">
        <v>0</v>
      </c>
      <c r="K850" s="130">
        <v>7717.5</v>
      </c>
      <c r="L850" s="130">
        <v>7717.5</v>
      </c>
      <c r="M850" s="136"/>
      <c r="N850" s="131">
        <f t="shared" si="58"/>
        <v>0</v>
      </c>
      <c r="O850" s="114" t="s">
        <v>814</v>
      </c>
      <c r="P850" s="251"/>
    </row>
    <row r="851" s="88" customFormat="1" spans="1:16">
      <c r="A851" s="111">
        <v>45839</v>
      </c>
      <c r="B851" s="138" t="s">
        <v>816</v>
      </c>
      <c r="C851" s="119" t="s">
        <v>817</v>
      </c>
      <c r="D851" s="112" t="s">
        <v>818</v>
      </c>
      <c r="E851" s="112" t="s">
        <v>819</v>
      </c>
      <c r="F851" s="151">
        <v>45807</v>
      </c>
      <c r="G851" s="166" t="s">
        <v>820</v>
      </c>
      <c r="H851" s="121" t="s">
        <v>30</v>
      </c>
      <c r="I851" s="131">
        <v>2499</v>
      </c>
      <c r="J851" s="131">
        <v>0</v>
      </c>
      <c r="K851" s="131">
        <v>2499</v>
      </c>
      <c r="L851" s="131">
        <v>2499</v>
      </c>
      <c r="M851" s="131"/>
      <c r="N851" s="131">
        <f t="shared" si="58"/>
        <v>0</v>
      </c>
      <c r="O851" s="138" t="s">
        <v>821</v>
      </c>
      <c r="P851" s="138"/>
    </row>
    <row r="852" s="86" customFormat="1" spans="1:16">
      <c r="A852" s="111">
        <v>45839</v>
      </c>
      <c r="B852" s="112" t="s">
        <v>816</v>
      </c>
      <c r="C852" s="113" t="s">
        <v>817</v>
      </c>
      <c r="D852" s="112" t="s">
        <v>818</v>
      </c>
      <c r="E852" s="112" t="s">
        <v>819</v>
      </c>
      <c r="F852" s="151">
        <v>45824</v>
      </c>
      <c r="G852" s="112" t="s">
        <v>55</v>
      </c>
      <c r="H852" s="112" t="s">
        <v>21</v>
      </c>
      <c r="I852" s="130">
        <v>15000</v>
      </c>
      <c r="J852" s="130">
        <v>0</v>
      </c>
      <c r="K852" s="130">
        <v>15000</v>
      </c>
      <c r="L852" s="130">
        <v>15000</v>
      </c>
      <c r="M852" s="130"/>
      <c r="N852" s="131">
        <f t="shared" si="58"/>
        <v>0</v>
      </c>
      <c r="O852" s="112" t="s">
        <v>822</v>
      </c>
      <c r="P852" s="112"/>
    </row>
    <row r="853" s="86" customFormat="1" spans="1:16">
      <c r="A853" s="111">
        <v>45839</v>
      </c>
      <c r="B853" s="112" t="s">
        <v>816</v>
      </c>
      <c r="C853" s="113" t="s">
        <v>817</v>
      </c>
      <c r="D853" s="112" t="s">
        <v>818</v>
      </c>
      <c r="E853" s="112" t="s">
        <v>819</v>
      </c>
      <c r="F853" s="151">
        <v>45824</v>
      </c>
      <c r="G853" s="112" t="s">
        <v>55</v>
      </c>
      <c r="H853" s="112" t="s">
        <v>23</v>
      </c>
      <c r="I853" s="130">
        <v>12500</v>
      </c>
      <c r="J853" s="130">
        <v>0</v>
      </c>
      <c r="K853" s="130">
        <v>12500</v>
      </c>
      <c r="L853" s="130">
        <v>12500</v>
      </c>
      <c r="M853" s="130"/>
      <c r="N853" s="131">
        <f t="shared" si="58"/>
        <v>0</v>
      </c>
      <c r="O853" s="112" t="s">
        <v>822</v>
      </c>
      <c r="P853" s="112"/>
    </row>
    <row r="854" s="86" customFormat="1" spans="1:16">
      <c r="A854" s="111">
        <v>45839</v>
      </c>
      <c r="B854" s="112" t="s">
        <v>816</v>
      </c>
      <c r="C854" s="113" t="s">
        <v>817</v>
      </c>
      <c r="D854" s="112" t="s">
        <v>818</v>
      </c>
      <c r="E854" s="112" t="s">
        <v>819</v>
      </c>
      <c r="F854" s="151">
        <v>45855</v>
      </c>
      <c r="G854" s="112" t="s">
        <v>56</v>
      </c>
      <c r="H854" s="112" t="s">
        <v>23</v>
      </c>
      <c r="I854" s="130">
        <v>12500</v>
      </c>
      <c r="J854" s="130">
        <v>0</v>
      </c>
      <c r="K854" s="130">
        <f t="shared" ref="K854:K864" si="61">I854-J854</f>
        <v>12500</v>
      </c>
      <c r="L854" s="130">
        <f>2500+10000</f>
        <v>12500</v>
      </c>
      <c r="M854" s="130"/>
      <c r="N854" s="131">
        <f t="shared" si="58"/>
        <v>0</v>
      </c>
      <c r="O854" s="112" t="s">
        <v>823</v>
      </c>
      <c r="P854" s="112"/>
    </row>
    <row r="855" s="86" customFormat="1" spans="1:16">
      <c r="A855" s="111">
        <v>45839</v>
      </c>
      <c r="B855" s="112" t="s">
        <v>816</v>
      </c>
      <c r="C855" s="113" t="s">
        <v>817</v>
      </c>
      <c r="D855" s="112" t="s">
        <v>818</v>
      </c>
      <c r="E855" s="112" t="s">
        <v>819</v>
      </c>
      <c r="F855" s="151">
        <v>45855</v>
      </c>
      <c r="G855" s="112" t="s">
        <v>56</v>
      </c>
      <c r="H855" s="112" t="s">
        <v>21</v>
      </c>
      <c r="I855" s="130">
        <v>15000</v>
      </c>
      <c r="J855" s="130">
        <v>0</v>
      </c>
      <c r="K855" s="130">
        <f t="shared" si="61"/>
        <v>15000</v>
      </c>
      <c r="L855" s="130">
        <v>15000</v>
      </c>
      <c r="M855" s="130"/>
      <c r="N855" s="131">
        <f t="shared" si="58"/>
        <v>0</v>
      </c>
      <c r="O855" s="112" t="s">
        <v>824</v>
      </c>
      <c r="P855" s="112"/>
    </row>
    <row r="856" s="97" customFormat="1" spans="1:16">
      <c r="A856" s="111">
        <v>45870</v>
      </c>
      <c r="B856" s="116" t="s">
        <v>816</v>
      </c>
      <c r="C856" s="78" t="s">
        <v>817</v>
      </c>
      <c r="D856" s="116" t="s">
        <v>818</v>
      </c>
      <c r="E856" s="116" t="s">
        <v>819</v>
      </c>
      <c r="F856" s="151">
        <v>45886</v>
      </c>
      <c r="G856" s="116" t="s">
        <v>58</v>
      </c>
      <c r="H856" s="112" t="s">
        <v>21</v>
      </c>
      <c r="I856" s="133">
        <v>15000</v>
      </c>
      <c r="J856" s="133"/>
      <c r="K856" s="133">
        <f t="shared" si="61"/>
        <v>15000</v>
      </c>
      <c r="L856" s="133">
        <f>5000+10000</f>
        <v>15000</v>
      </c>
      <c r="M856" s="133"/>
      <c r="N856" s="131">
        <f t="shared" si="58"/>
        <v>0</v>
      </c>
      <c r="O856" s="238" t="s">
        <v>825</v>
      </c>
      <c r="P856" s="238"/>
    </row>
    <row r="857" s="97" customFormat="1" spans="1:16">
      <c r="A857" s="111">
        <v>45870</v>
      </c>
      <c r="B857" s="116" t="s">
        <v>816</v>
      </c>
      <c r="C857" s="78" t="s">
        <v>817</v>
      </c>
      <c r="D857" s="116" t="s">
        <v>818</v>
      </c>
      <c r="E857" s="116" t="s">
        <v>819</v>
      </c>
      <c r="F857" s="151">
        <v>45886</v>
      </c>
      <c r="G857" s="116" t="s">
        <v>58</v>
      </c>
      <c r="H857" s="116" t="s">
        <v>23</v>
      </c>
      <c r="I857" s="133">
        <v>12500</v>
      </c>
      <c r="J857" s="133"/>
      <c r="K857" s="133">
        <f t="shared" si="61"/>
        <v>12500</v>
      </c>
      <c r="L857" s="133">
        <v>12500</v>
      </c>
      <c r="M857" s="133"/>
      <c r="N857" s="131">
        <f t="shared" si="58"/>
        <v>0</v>
      </c>
      <c r="O857" s="238" t="s">
        <v>826</v>
      </c>
      <c r="P857" s="238"/>
    </row>
    <row r="858" s="89" customFormat="1" spans="1:17">
      <c r="A858" s="122">
        <v>45901</v>
      </c>
      <c r="B858" s="116" t="s">
        <v>816</v>
      </c>
      <c r="C858" s="78" t="s">
        <v>817</v>
      </c>
      <c r="D858" s="116" t="s">
        <v>818</v>
      </c>
      <c r="E858" s="116" t="s">
        <v>819</v>
      </c>
      <c r="F858" s="151">
        <v>45916</v>
      </c>
      <c r="G858" s="116" t="s">
        <v>60</v>
      </c>
      <c r="H858" s="116" t="s">
        <v>23</v>
      </c>
      <c r="I858" s="139">
        <v>12500</v>
      </c>
      <c r="J858" s="139">
        <v>0</v>
      </c>
      <c r="K858" s="139">
        <f t="shared" si="61"/>
        <v>12500</v>
      </c>
      <c r="L858" s="139">
        <v>12500</v>
      </c>
      <c r="M858" s="139"/>
      <c r="N858" s="131">
        <f t="shared" si="58"/>
        <v>0</v>
      </c>
      <c r="O858" s="238" t="s">
        <v>826</v>
      </c>
      <c r="P858" s="141"/>
      <c r="Q858" s="89" t="s">
        <v>51</v>
      </c>
    </row>
    <row r="859" s="89" customFormat="1" spans="1:17">
      <c r="A859" s="122">
        <v>45901</v>
      </c>
      <c r="B859" s="116" t="s">
        <v>816</v>
      </c>
      <c r="C859" s="78" t="s">
        <v>817</v>
      </c>
      <c r="D859" s="116" t="s">
        <v>818</v>
      </c>
      <c r="E859" s="116" t="s">
        <v>819</v>
      </c>
      <c r="F859" s="151">
        <v>45916</v>
      </c>
      <c r="G859" s="116" t="s">
        <v>60</v>
      </c>
      <c r="H859" s="112" t="s">
        <v>21</v>
      </c>
      <c r="I859" s="139">
        <v>15000</v>
      </c>
      <c r="J859" s="139"/>
      <c r="K859" s="252">
        <f t="shared" si="61"/>
        <v>15000</v>
      </c>
      <c r="L859" s="139">
        <f>12500+2500</f>
        <v>15000</v>
      </c>
      <c r="M859" s="139"/>
      <c r="N859" s="131">
        <f t="shared" si="58"/>
        <v>0</v>
      </c>
      <c r="O859" s="238" t="s">
        <v>826</v>
      </c>
      <c r="P859" s="141"/>
      <c r="Q859" s="89" t="s">
        <v>51</v>
      </c>
    </row>
    <row r="860" s="88" customFormat="1" spans="1:16">
      <c r="A860" s="118">
        <v>45931</v>
      </c>
      <c r="B860" s="116" t="s">
        <v>816</v>
      </c>
      <c r="C860" s="119" t="s">
        <v>817</v>
      </c>
      <c r="D860" s="114" t="s">
        <v>818</v>
      </c>
      <c r="E860" s="114" t="s">
        <v>819</v>
      </c>
      <c r="F860" s="151">
        <v>45946</v>
      </c>
      <c r="G860" s="114" t="s">
        <v>28</v>
      </c>
      <c r="H860" s="114" t="s">
        <v>23</v>
      </c>
      <c r="I860" s="131">
        <v>12500</v>
      </c>
      <c r="J860" s="131">
        <v>5000</v>
      </c>
      <c r="K860" s="252">
        <f t="shared" si="61"/>
        <v>7500</v>
      </c>
      <c r="L860" s="136">
        <v>7500</v>
      </c>
      <c r="M860" s="136"/>
      <c r="N860" s="131">
        <f t="shared" si="58"/>
        <v>0</v>
      </c>
      <c r="O860" s="238" t="s">
        <v>827</v>
      </c>
      <c r="P860" s="138" t="s">
        <v>828</v>
      </c>
    </row>
    <row r="861" s="88" customFormat="1" spans="1:16">
      <c r="A861" s="118">
        <v>45931</v>
      </c>
      <c r="B861" s="116" t="s">
        <v>816</v>
      </c>
      <c r="C861" s="119" t="s">
        <v>817</v>
      </c>
      <c r="D861" s="114" t="s">
        <v>818</v>
      </c>
      <c r="E861" s="114" t="s">
        <v>819</v>
      </c>
      <c r="F861" s="151">
        <v>45946</v>
      </c>
      <c r="G861" s="114" t="s">
        <v>28</v>
      </c>
      <c r="H861" s="112" t="s">
        <v>21</v>
      </c>
      <c r="I861" s="131">
        <v>15000</v>
      </c>
      <c r="J861" s="131">
        <v>7500</v>
      </c>
      <c r="K861" s="252">
        <f t="shared" si="61"/>
        <v>7500</v>
      </c>
      <c r="L861" s="136">
        <v>7500</v>
      </c>
      <c r="M861" s="136"/>
      <c r="N861" s="131">
        <f t="shared" si="58"/>
        <v>0</v>
      </c>
      <c r="O861" s="114" t="s">
        <v>827</v>
      </c>
      <c r="P861" s="138"/>
    </row>
    <row r="862" s="88" customFormat="1" spans="1:16">
      <c r="A862" s="118">
        <v>45962</v>
      </c>
      <c r="B862" s="116" t="s">
        <v>816</v>
      </c>
      <c r="C862" s="119" t="s">
        <v>817</v>
      </c>
      <c r="D862" s="114" t="s">
        <v>818</v>
      </c>
      <c r="E862" s="114" t="s">
        <v>819</v>
      </c>
      <c r="F862" s="151">
        <v>45976</v>
      </c>
      <c r="G862" s="114" t="s">
        <v>26</v>
      </c>
      <c r="H862" s="114" t="s">
        <v>23</v>
      </c>
      <c r="I862" s="131">
        <v>12500</v>
      </c>
      <c r="J862" s="131">
        <v>5000</v>
      </c>
      <c r="K862" s="252">
        <f t="shared" si="61"/>
        <v>7500</v>
      </c>
      <c r="L862" s="136">
        <v>7500</v>
      </c>
      <c r="M862" s="136"/>
      <c r="N862" s="131">
        <f t="shared" si="58"/>
        <v>0</v>
      </c>
      <c r="O862" s="114" t="s">
        <v>827</v>
      </c>
      <c r="P862" s="138"/>
    </row>
    <row r="863" s="88" customFormat="1" spans="1:16">
      <c r="A863" s="118">
        <v>45962</v>
      </c>
      <c r="B863" s="116" t="s">
        <v>816</v>
      </c>
      <c r="C863" s="119" t="s">
        <v>817</v>
      </c>
      <c r="D863" s="114" t="s">
        <v>818</v>
      </c>
      <c r="E863" s="114" t="s">
        <v>819</v>
      </c>
      <c r="F863" s="151">
        <v>45976</v>
      </c>
      <c r="G863" s="114" t="s">
        <v>26</v>
      </c>
      <c r="H863" s="112" t="s">
        <v>21</v>
      </c>
      <c r="I863" s="131">
        <v>15000</v>
      </c>
      <c r="J863" s="131">
        <v>7500</v>
      </c>
      <c r="K863" s="252">
        <f t="shared" si="61"/>
        <v>7500</v>
      </c>
      <c r="L863" s="136">
        <v>7500</v>
      </c>
      <c r="M863" s="136"/>
      <c r="N863" s="131">
        <f t="shared" si="58"/>
        <v>0</v>
      </c>
      <c r="O863" s="114" t="s">
        <v>827</v>
      </c>
      <c r="P863" s="138"/>
    </row>
    <row r="864" s="86" customFormat="1" spans="1:16">
      <c r="A864" s="122">
        <v>45901</v>
      </c>
      <c r="B864" s="113" t="s">
        <v>491</v>
      </c>
      <c r="C864" s="119" t="s">
        <v>829</v>
      </c>
      <c r="D864" s="112" t="s">
        <v>830</v>
      </c>
      <c r="E864" s="112" t="s">
        <v>831</v>
      </c>
      <c r="F864" s="151">
        <v>45930</v>
      </c>
      <c r="G864" s="112" t="s">
        <v>832</v>
      </c>
      <c r="H864" s="116" t="s">
        <v>833</v>
      </c>
      <c r="I864" s="159">
        <v>5380.2</v>
      </c>
      <c r="J864" s="133">
        <v>0</v>
      </c>
      <c r="K864" s="133">
        <f t="shared" si="61"/>
        <v>5380.2</v>
      </c>
      <c r="L864" s="133">
        <v>5380.2</v>
      </c>
      <c r="M864" s="133"/>
      <c r="N864" s="131">
        <f t="shared" si="58"/>
        <v>0</v>
      </c>
      <c r="O864" s="112" t="s">
        <v>443</v>
      </c>
      <c r="P864" s="112"/>
    </row>
    <row r="865" s="86" customFormat="1" spans="1:16">
      <c r="A865" s="111">
        <v>45839</v>
      </c>
      <c r="B865" s="241" t="s">
        <v>834</v>
      </c>
      <c r="C865" s="242" t="s">
        <v>835</v>
      </c>
      <c r="D865" s="241" t="s">
        <v>705</v>
      </c>
      <c r="E865" s="241" t="s">
        <v>836</v>
      </c>
      <c r="F865" s="236">
        <v>45823</v>
      </c>
      <c r="G865" s="241" t="s">
        <v>832</v>
      </c>
      <c r="H865" s="235" t="s">
        <v>833</v>
      </c>
      <c r="I865" s="253">
        <v>3349.31</v>
      </c>
      <c r="J865" s="253">
        <v>0</v>
      </c>
      <c r="K865" s="253">
        <v>3349.31</v>
      </c>
      <c r="L865" s="253">
        <v>3349.31</v>
      </c>
      <c r="M865" s="130"/>
      <c r="N865" s="131">
        <f t="shared" si="58"/>
        <v>0</v>
      </c>
      <c r="O865" s="254" t="s">
        <v>837</v>
      </c>
      <c r="P865" s="112"/>
    </row>
    <row r="866" s="86" customFormat="1" spans="1:16">
      <c r="A866" s="111">
        <v>45870</v>
      </c>
      <c r="B866" s="113" t="s">
        <v>834</v>
      </c>
      <c r="C866" s="113" t="s">
        <v>838</v>
      </c>
      <c r="D866" s="112" t="s">
        <v>839</v>
      </c>
      <c r="E866" s="113" t="s">
        <v>840</v>
      </c>
      <c r="F866" s="151">
        <v>45900</v>
      </c>
      <c r="G866" s="112" t="s">
        <v>841</v>
      </c>
      <c r="H866" s="116" t="s">
        <v>833</v>
      </c>
      <c r="I866" s="159">
        <v>2172.06</v>
      </c>
      <c r="J866" s="133">
        <v>0</v>
      </c>
      <c r="K866" s="133">
        <f>I866-J866</f>
        <v>2172.06</v>
      </c>
      <c r="L866" s="133">
        <v>2172.06</v>
      </c>
      <c r="M866" s="133"/>
      <c r="N866" s="131">
        <f t="shared" si="58"/>
        <v>0</v>
      </c>
      <c r="O866" s="112" t="s">
        <v>156</v>
      </c>
      <c r="P866" s="112"/>
    </row>
    <row r="867" s="86" customFormat="1" spans="1:16">
      <c r="A867" s="111">
        <v>45839</v>
      </c>
      <c r="B867" s="241" t="s">
        <v>834</v>
      </c>
      <c r="C867" s="113" t="s">
        <v>842</v>
      </c>
      <c r="D867" s="112" t="s">
        <v>843</v>
      </c>
      <c r="E867" s="112" t="s">
        <v>844</v>
      </c>
      <c r="F867" s="151">
        <v>45824</v>
      </c>
      <c r="G867" s="112" t="s">
        <v>832</v>
      </c>
      <c r="H867" s="116" t="s">
        <v>833</v>
      </c>
      <c r="I867" s="139">
        <v>6000</v>
      </c>
      <c r="J867" s="139">
        <v>0</v>
      </c>
      <c r="K867" s="139">
        <v>6000</v>
      </c>
      <c r="L867" s="139">
        <v>6000</v>
      </c>
      <c r="M867" s="139"/>
      <c r="N867" s="131">
        <f t="shared" si="58"/>
        <v>0</v>
      </c>
      <c r="O867" s="112" t="s">
        <v>845</v>
      </c>
      <c r="P867" s="112"/>
    </row>
    <row r="868" s="89" customFormat="1" spans="1:16">
      <c r="A868" s="122">
        <v>45901</v>
      </c>
      <c r="B868" s="165" t="s">
        <v>16</v>
      </c>
      <c r="C868" s="165" t="s">
        <v>846</v>
      </c>
      <c r="D868" s="141" t="s">
        <v>847</v>
      </c>
      <c r="E868" s="141" t="s">
        <v>848</v>
      </c>
      <c r="F868" s="151">
        <v>45916</v>
      </c>
      <c r="G868" s="141" t="s">
        <v>241</v>
      </c>
      <c r="H868" s="116" t="s">
        <v>833</v>
      </c>
      <c r="I868" s="139">
        <v>18000</v>
      </c>
      <c r="J868" s="139">
        <v>0</v>
      </c>
      <c r="K868" s="139">
        <v>18000</v>
      </c>
      <c r="L868" s="139">
        <v>18000</v>
      </c>
      <c r="M868" s="139"/>
      <c r="N868" s="131">
        <f t="shared" si="58"/>
        <v>0</v>
      </c>
      <c r="O868" s="141" t="s">
        <v>229</v>
      </c>
      <c r="P868" s="167" t="s">
        <v>167</v>
      </c>
    </row>
    <row r="869" s="88" customFormat="1" spans="1:16">
      <c r="A869" s="118">
        <v>45931</v>
      </c>
      <c r="B869" s="165" t="s">
        <v>16</v>
      </c>
      <c r="C869" s="119" t="s">
        <v>846</v>
      </c>
      <c r="D869" s="114" t="s">
        <v>847</v>
      </c>
      <c r="E869" s="114" t="s">
        <v>848</v>
      </c>
      <c r="F869" s="151">
        <v>45946</v>
      </c>
      <c r="G869" s="114" t="s">
        <v>98</v>
      </c>
      <c r="H869" s="116" t="s">
        <v>833</v>
      </c>
      <c r="I869" s="131">
        <v>6000</v>
      </c>
      <c r="J869" s="131"/>
      <c r="K869" s="136">
        <v>6000</v>
      </c>
      <c r="L869" s="136">
        <v>6000</v>
      </c>
      <c r="M869" s="136"/>
      <c r="N869" s="131">
        <f t="shared" si="58"/>
        <v>0</v>
      </c>
      <c r="O869" s="114" t="s">
        <v>849</v>
      </c>
      <c r="P869" s="138"/>
    </row>
    <row r="870" s="88" customFormat="1" spans="1:16">
      <c r="A870" s="118">
        <v>45931</v>
      </c>
      <c r="B870" s="165" t="s">
        <v>16</v>
      </c>
      <c r="C870" s="119" t="s">
        <v>846</v>
      </c>
      <c r="D870" s="114" t="s">
        <v>847</v>
      </c>
      <c r="E870" s="114" t="s">
        <v>848</v>
      </c>
      <c r="F870" s="151">
        <v>45946</v>
      </c>
      <c r="G870" s="114" t="s">
        <v>26</v>
      </c>
      <c r="H870" s="116" t="s">
        <v>833</v>
      </c>
      <c r="I870" s="131">
        <v>6000</v>
      </c>
      <c r="J870" s="131"/>
      <c r="K870" s="136">
        <v>6000</v>
      </c>
      <c r="L870" s="136">
        <v>6000</v>
      </c>
      <c r="M870" s="136"/>
      <c r="N870" s="131">
        <f t="shared" si="58"/>
        <v>0</v>
      </c>
      <c r="O870" s="114" t="s">
        <v>850</v>
      </c>
      <c r="P870" s="138"/>
    </row>
    <row r="871" s="88" customFormat="1" spans="1:16">
      <c r="A871" s="118">
        <v>45931</v>
      </c>
      <c r="B871" s="165" t="s">
        <v>16</v>
      </c>
      <c r="C871" s="119" t="s">
        <v>846</v>
      </c>
      <c r="D871" s="114" t="s">
        <v>847</v>
      </c>
      <c r="E871" s="114" t="s">
        <v>848</v>
      </c>
      <c r="F871" s="151">
        <v>45946</v>
      </c>
      <c r="G871" s="114" t="s">
        <v>28</v>
      </c>
      <c r="H871" s="116" t="s">
        <v>833</v>
      </c>
      <c r="I871" s="131">
        <v>6000</v>
      </c>
      <c r="J871" s="131"/>
      <c r="K871" s="136">
        <v>6000</v>
      </c>
      <c r="L871" s="136">
        <v>6000</v>
      </c>
      <c r="M871" s="136"/>
      <c r="N871" s="131">
        <f t="shared" si="58"/>
        <v>0</v>
      </c>
      <c r="O871" s="114" t="s">
        <v>850</v>
      </c>
      <c r="P871" s="138"/>
    </row>
    <row r="872" s="86" customFormat="1" spans="1:16">
      <c r="A872" s="111">
        <v>45839</v>
      </c>
      <c r="B872" s="112" t="s">
        <v>285</v>
      </c>
      <c r="C872" s="78" t="s">
        <v>851</v>
      </c>
      <c r="D872" s="112" t="s">
        <v>287</v>
      </c>
      <c r="E872" s="113" t="s">
        <v>852</v>
      </c>
      <c r="F872" s="151">
        <v>45855</v>
      </c>
      <c r="G872" s="112" t="s">
        <v>56</v>
      </c>
      <c r="H872" s="116" t="s">
        <v>833</v>
      </c>
      <c r="I872" s="130">
        <v>800</v>
      </c>
      <c r="J872" s="130">
        <v>0</v>
      </c>
      <c r="K872" s="130">
        <f t="shared" ref="K872:K875" si="62">I872-J872</f>
        <v>800</v>
      </c>
      <c r="L872" s="130">
        <v>800</v>
      </c>
      <c r="M872" s="130"/>
      <c r="N872" s="131">
        <f t="shared" si="58"/>
        <v>0</v>
      </c>
      <c r="O872" s="112" t="s">
        <v>853</v>
      </c>
      <c r="P872" s="112"/>
    </row>
    <row r="873" s="86" customFormat="1" spans="1:16">
      <c r="A873" s="111">
        <v>45839</v>
      </c>
      <c r="B873" s="112" t="s">
        <v>854</v>
      </c>
      <c r="C873" s="113" t="s">
        <v>851</v>
      </c>
      <c r="D873" s="112" t="s">
        <v>287</v>
      </c>
      <c r="E873" s="113" t="s">
        <v>852</v>
      </c>
      <c r="F873" s="151">
        <v>45824</v>
      </c>
      <c r="G873" s="112" t="s">
        <v>55</v>
      </c>
      <c r="H873" s="116" t="s">
        <v>833</v>
      </c>
      <c r="I873" s="130">
        <v>800</v>
      </c>
      <c r="J873" s="130">
        <v>0</v>
      </c>
      <c r="K873" s="130">
        <v>800</v>
      </c>
      <c r="L873" s="130">
        <v>800</v>
      </c>
      <c r="M873" s="130"/>
      <c r="N873" s="131">
        <f t="shared" si="58"/>
        <v>0</v>
      </c>
      <c r="O873" s="112" t="s">
        <v>855</v>
      </c>
      <c r="P873" s="112"/>
    </row>
    <row r="874" s="86" customFormat="1" spans="1:16">
      <c r="A874" s="111">
        <v>45870</v>
      </c>
      <c r="B874" s="112" t="s">
        <v>854</v>
      </c>
      <c r="C874" s="113" t="s">
        <v>851</v>
      </c>
      <c r="D874" s="112" t="s">
        <v>287</v>
      </c>
      <c r="E874" s="113" t="s">
        <v>852</v>
      </c>
      <c r="F874" s="151">
        <v>45900</v>
      </c>
      <c r="G874" s="112" t="s">
        <v>58</v>
      </c>
      <c r="H874" s="116" t="s">
        <v>833</v>
      </c>
      <c r="I874" s="159">
        <v>800</v>
      </c>
      <c r="J874" s="133">
        <v>0</v>
      </c>
      <c r="K874" s="133">
        <f t="shared" si="62"/>
        <v>800</v>
      </c>
      <c r="L874" s="133">
        <f>400+400</f>
        <v>800</v>
      </c>
      <c r="M874" s="133"/>
      <c r="N874" s="131">
        <f t="shared" si="58"/>
        <v>0</v>
      </c>
      <c r="O874" s="135" t="s">
        <v>856</v>
      </c>
      <c r="P874" s="112"/>
    </row>
    <row r="875" s="89" customFormat="1" spans="1:17">
      <c r="A875" s="122">
        <v>45901</v>
      </c>
      <c r="B875" s="116" t="s">
        <v>854</v>
      </c>
      <c r="C875" s="78" t="s">
        <v>851</v>
      </c>
      <c r="D875" s="116" t="s">
        <v>287</v>
      </c>
      <c r="E875" s="152" t="s">
        <v>852</v>
      </c>
      <c r="F875" s="151">
        <v>45916</v>
      </c>
      <c r="G875" s="116" t="s">
        <v>60</v>
      </c>
      <c r="H875" s="116" t="s">
        <v>833</v>
      </c>
      <c r="I875" s="139">
        <v>800</v>
      </c>
      <c r="J875" s="139">
        <v>0</v>
      </c>
      <c r="K875" s="139">
        <f t="shared" si="62"/>
        <v>800</v>
      </c>
      <c r="L875" s="139">
        <v>800</v>
      </c>
      <c r="M875" s="139"/>
      <c r="N875" s="131">
        <f t="shared" si="58"/>
        <v>0</v>
      </c>
      <c r="O875" s="141" t="s">
        <v>857</v>
      </c>
      <c r="P875" s="141"/>
      <c r="Q875" s="89" t="s">
        <v>51</v>
      </c>
    </row>
    <row r="876" s="88" customFormat="1" spans="1:16">
      <c r="A876" s="118">
        <v>45931</v>
      </c>
      <c r="B876" s="116" t="s">
        <v>854</v>
      </c>
      <c r="C876" s="119" t="s">
        <v>851</v>
      </c>
      <c r="D876" s="116" t="s">
        <v>287</v>
      </c>
      <c r="E876" s="152" t="s">
        <v>852</v>
      </c>
      <c r="F876" s="151">
        <v>45946</v>
      </c>
      <c r="G876" s="114" t="s">
        <v>28</v>
      </c>
      <c r="H876" s="116" t="s">
        <v>833</v>
      </c>
      <c r="I876" s="136">
        <v>800</v>
      </c>
      <c r="J876" s="131"/>
      <c r="K876" s="136">
        <v>800</v>
      </c>
      <c r="L876" s="136">
        <v>800</v>
      </c>
      <c r="M876" s="136"/>
      <c r="N876" s="131">
        <f t="shared" si="58"/>
        <v>0</v>
      </c>
      <c r="O876" s="141" t="s">
        <v>857</v>
      </c>
      <c r="P876" s="138"/>
    </row>
    <row r="877" s="88" customFormat="1" spans="1:16">
      <c r="A877" s="118">
        <v>45962</v>
      </c>
      <c r="B877" s="116" t="s">
        <v>854</v>
      </c>
      <c r="C877" s="119" t="s">
        <v>851</v>
      </c>
      <c r="D877" s="116" t="s">
        <v>287</v>
      </c>
      <c r="E877" s="152" t="s">
        <v>852</v>
      </c>
      <c r="F877" s="151">
        <v>45976</v>
      </c>
      <c r="G877" s="114" t="s">
        <v>26</v>
      </c>
      <c r="H877" s="116" t="s">
        <v>833</v>
      </c>
      <c r="I877" s="136">
        <v>800</v>
      </c>
      <c r="J877" s="131"/>
      <c r="K877" s="136">
        <v>800</v>
      </c>
      <c r="L877" s="136">
        <v>800</v>
      </c>
      <c r="M877" s="136"/>
      <c r="N877" s="131">
        <f t="shared" si="58"/>
        <v>0</v>
      </c>
      <c r="O877" s="137" t="s">
        <v>152</v>
      </c>
      <c r="P877" s="138"/>
    </row>
    <row r="878" s="86" customFormat="1" spans="1:16">
      <c r="A878" s="111">
        <v>45839</v>
      </c>
      <c r="B878" s="112" t="s">
        <v>16</v>
      </c>
      <c r="C878" s="113" t="s">
        <v>858</v>
      </c>
      <c r="D878" s="112" t="s">
        <v>859</v>
      </c>
      <c r="E878" s="112" t="s">
        <v>860</v>
      </c>
      <c r="F878" s="151">
        <v>45862</v>
      </c>
      <c r="G878" s="112" t="s">
        <v>861</v>
      </c>
      <c r="H878" s="116" t="s">
        <v>833</v>
      </c>
      <c r="I878" s="130">
        <v>17100</v>
      </c>
      <c r="J878" s="130">
        <v>0</v>
      </c>
      <c r="K878" s="130">
        <f t="shared" ref="K878:K881" si="63">I878-J878</f>
        <v>17100</v>
      </c>
      <c r="L878" s="130">
        <v>17100</v>
      </c>
      <c r="M878" s="130"/>
      <c r="N878" s="131">
        <f t="shared" si="58"/>
        <v>0</v>
      </c>
      <c r="O878" s="112" t="s">
        <v>325</v>
      </c>
      <c r="P878" s="112"/>
    </row>
    <row r="879" s="86" customFormat="1" spans="1:16">
      <c r="A879" s="111">
        <v>45962</v>
      </c>
      <c r="B879" s="112" t="s">
        <v>16</v>
      </c>
      <c r="C879" s="113" t="s">
        <v>858</v>
      </c>
      <c r="D879" s="112" t="s">
        <v>859</v>
      </c>
      <c r="E879" s="112" t="s">
        <v>860</v>
      </c>
      <c r="F879" s="151">
        <v>45962</v>
      </c>
      <c r="G879" s="112" t="s">
        <v>862</v>
      </c>
      <c r="H879" s="116" t="s">
        <v>833</v>
      </c>
      <c r="I879" s="130">
        <v>17100</v>
      </c>
      <c r="J879" s="130">
        <v>0</v>
      </c>
      <c r="K879" s="130">
        <f t="shared" si="63"/>
        <v>17100</v>
      </c>
      <c r="L879" s="130">
        <v>17100</v>
      </c>
      <c r="M879" s="130"/>
      <c r="N879" s="131">
        <f t="shared" si="58"/>
        <v>0</v>
      </c>
      <c r="O879" s="112" t="s">
        <v>863</v>
      </c>
      <c r="P879" s="112"/>
    </row>
    <row r="880" s="86" customFormat="1" spans="1:16">
      <c r="A880" s="111">
        <v>45839</v>
      </c>
      <c r="B880" s="112" t="s">
        <v>16</v>
      </c>
      <c r="C880" s="113" t="s">
        <v>864</v>
      </c>
      <c r="D880" s="112" t="s">
        <v>865</v>
      </c>
      <c r="E880" s="112" t="s">
        <v>866</v>
      </c>
      <c r="F880" s="151">
        <v>45815</v>
      </c>
      <c r="G880" s="112" t="s">
        <v>867</v>
      </c>
      <c r="H880" s="116" t="s">
        <v>833</v>
      </c>
      <c r="I880" s="130">
        <v>33000</v>
      </c>
      <c r="J880" s="130">
        <v>0</v>
      </c>
      <c r="K880" s="130">
        <v>33000</v>
      </c>
      <c r="L880" s="130">
        <v>33000</v>
      </c>
      <c r="M880" s="130"/>
      <c r="N880" s="131">
        <f t="shared" si="58"/>
        <v>0</v>
      </c>
      <c r="O880" s="112" t="s">
        <v>868</v>
      </c>
      <c r="P880" s="112"/>
    </row>
    <row r="881" s="89" customFormat="1" spans="1:16">
      <c r="A881" s="122">
        <v>45901</v>
      </c>
      <c r="B881" s="116" t="s">
        <v>16</v>
      </c>
      <c r="C881" s="78" t="s">
        <v>864</v>
      </c>
      <c r="D881" s="116" t="s">
        <v>865</v>
      </c>
      <c r="E881" s="116" t="s">
        <v>866</v>
      </c>
      <c r="F881" s="151">
        <v>45907</v>
      </c>
      <c r="G881" s="116" t="s">
        <v>869</v>
      </c>
      <c r="H881" s="116" t="s">
        <v>833</v>
      </c>
      <c r="I881" s="139">
        <v>33000</v>
      </c>
      <c r="J881" s="139">
        <v>0</v>
      </c>
      <c r="K881" s="139">
        <f t="shared" si="63"/>
        <v>33000</v>
      </c>
      <c r="L881" s="139">
        <v>33000</v>
      </c>
      <c r="M881" s="139"/>
      <c r="N881" s="131">
        <f t="shared" si="58"/>
        <v>0</v>
      </c>
      <c r="O881" s="141" t="s">
        <v>220</v>
      </c>
      <c r="P881" s="141"/>
    </row>
    <row r="882" s="86" customFormat="1" spans="1:16">
      <c r="A882" s="111">
        <v>45839</v>
      </c>
      <c r="B882" s="112" t="s">
        <v>16</v>
      </c>
      <c r="C882" s="113" t="s">
        <v>870</v>
      </c>
      <c r="D882" s="112" t="s">
        <v>871</v>
      </c>
      <c r="E882" s="112" t="s">
        <v>872</v>
      </c>
      <c r="F882" s="151">
        <v>45824</v>
      </c>
      <c r="G882" s="112" t="s">
        <v>46</v>
      </c>
      <c r="H882" s="116" t="s">
        <v>833</v>
      </c>
      <c r="I882" s="130">
        <v>27000</v>
      </c>
      <c r="J882" s="130">
        <v>0</v>
      </c>
      <c r="K882" s="130">
        <v>27000</v>
      </c>
      <c r="L882" s="130">
        <v>27000</v>
      </c>
      <c r="M882" s="130"/>
      <c r="N882" s="131">
        <f t="shared" si="58"/>
        <v>0</v>
      </c>
      <c r="O882" s="112" t="s">
        <v>256</v>
      </c>
      <c r="P882" s="112"/>
    </row>
    <row r="883" s="89" customFormat="1" spans="1:17">
      <c r="A883" s="122">
        <v>45901</v>
      </c>
      <c r="B883" s="116" t="s">
        <v>16</v>
      </c>
      <c r="C883" s="78" t="s">
        <v>870</v>
      </c>
      <c r="D883" s="116" t="s">
        <v>871</v>
      </c>
      <c r="E883" s="116" t="s">
        <v>872</v>
      </c>
      <c r="F883" s="151">
        <v>45916</v>
      </c>
      <c r="G883" s="116" t="s">
        <v>86</v>
      </c>
      <c r="H883" s="116" t="s">
        <v>833</v>
      </c>
      <c r="I883" s="139">
        <v>27000</v>
      </c>
      <c r="J883" s="139">
        <v>0</v>
      </c>
      <c r="K883" s="139">
        <f>I883-J883</f>
        <v>27000</v>
      </c>
      <c r="L883" s="139">
        <v>27000</v>
      </c>
      <c r="M883" s="139"/>
      <c r="N883" s="131">
        <f t="shared" si="58"/>
        <v>0</v>
      </c>
      <c r="O883" s="141" t="s">
        <v>61</v>
      </c>
      <c r="P883" s="141"/>
      <c r="Q883" s="89" t="s">
        <v>51</v>
      </c>
    </row>
    <row r="884" s="86" customFormat="1" spans="1:16">
      <c r="A884" s="111">
        <v>45839</v>
      </c>
      <c r="B884" s="112" t="s">
        <v>16</v>
      </c>
      <c r="C884" s="113" t="s">
        <v>873</v>
      </c>
      <c r="D884" s="112" t="s">
        <v>874</v>
      </c>
      <c r="E884" s="112" t="s">
        <v>875</v>
      </c>
      <c r="F884" s="151">
        <v>45824</v>
      </c>
      <c r="G884" s="112" t="s">
        <v>46</v>
      </c>
      <c r="H884" s="116" t="s">
        <v>833</v>
      </c>
      <c r="I884" s="130">
        <v>27000</v>
      </c>
      <c r="J884" s="130">
        <v>0</v>
      </c>
      <c r="K884" s="130">
        <v>27000</v>
      </c>
      <c r="L884" s="130">
        <v>27000</v>
      </c>
      <c r="M884" s="130"/>
      <c r="N884" s="131">
        <f t="shared" si="58"/>
        <v>0</v>
      </c>
      <c r="O884" s="112" t="s">
        <v>314</v>
      </c>
      <c r="P884" s="112"/>
    </row>
    <row r="885" s="86" customFormat="1" spans="1:16">
      <c r="A885" s="111">
        <v>45962</v>
      </c>
      <c r="B885" s="112" t="s">
        <v>16</v>
      </c>
      <c r="C885" s="113" t="s">
        <v>873</v>
      </c>
      <c r="D885" s="112" t="s">
        <v>874</v>
      </c>
      <c r="E885" s="112" t="s">
        <v>875</v>
      </c>
      <c r="F885" s="151">
        <v>45977</v>
      </c>
      <c r="G885" s="112" t="s">
        <v>86</v>
      </c>
      <c r="H885" s="116" t="s">
        <v>833</v>
      </c>
      <c r="I885" s="130">
        <v>24000</v>
      </c>
      <c r="J885" s="130">
        <v>0</v>
      </c>
      <c r="K885" s="130">
        <v>24000</v>
      </c>
      <c r="L885" s="130">
        <v>24000</v>
      </c>
      <c r="M885" s="130"/>
      <c r="N885" s="131">
        <f t="shared" si="58"/>
        <v>0</v>
      </c>
      <c r="O885" s="112" t="s">
        <v>863</v>
      </c>
      <c r="P885" s="112"/>
    </row>
    <row r="886" s="88" customFormat="1" spans="1:16">
      <c r="A886" s="118">
        <v>45962</v>
      </c>
      <c r="B886" s="112" t="s">
        <v>16</v>
      </c>
      <c r="C886" s="119" t="s">
        <v>876</v>
      </c>
      <c r="D886" s="114" t="s">
        <v>877</v>
      </c>
      <c r="E886" s="114" t="s">
        <v>878</v>
      </c>
      <c r="F886" s="151">
        <v>45991</v>
      </c>
      <c r="G886" s="114" t="s">
        <v>98</v>
      </c>
      <c r="H886" s="116" t="s">
        <v>833</v>
      </c>
      <c r="I886" s="131">
        <v>5000</v>
      </c>
      <c r="J886" s="131"/>
      <c r="K886" s="136">
        <v>5000</v>
      </c>
      <c r="L886" s="136">
        <v>5000</v>
      </c>
      <c r="M886" s="136"/>
      <c r="N886" s="131">
        <f t="shared" si="58"/>
        <v>0</v>
      </c>
      <c r="O886" s="114" t="s">
        <v>879</v>
      </c>
      <c r="P886" s="138"/>
    </row>
    <row r="887" s="88" customFormat="1" spans="1:16">
      <c r="A887" s="118">
        <v>45962</v>
      </c>
      <c r="B887" s="112" t="s">
        <v>16</v>
      </c>
      <c r="C887" s="119" t="s">
        <v>876</v>
      </c>
      <c r="D887" s="114" t="s">
        <v>877</v>
      </c>
      <c r="E887" s="114" t="s">
        <v>878</v>
      </c>
      <c r="F887" s="151">
        <v>45991</v>
      </c>
      <c r="G887" s="114" t="s">
        <v>880</v>
      </c>
      <c r="H887" s="116" t="s">
        <v>833</v>
      </c>
      <c r="I887" s="131">
        <v>5000</v>
      </c>
      <c r="J887" s="131"/>
      <c r="K887" s="136">
        <v>5000</v>
      </c>
      <c r="L887" s="136">
        <v>5000</v>
      </c>
      <c r="M887" s="136"/>
      <c r="N887" s="131">
        <f t="shared" si="58"/>
        <v>0</v>
      </c>
      <c r="O887" s="114" t="s">
        <v>879</v>
      </c>
      <c r="P887" s="138"/>
    </row>
    <row r="888" s="88" customFormat="1" spans="1:16">
      <c r="A888" s="118">
        <v>45962</v>
      </c>
      <c r="B888" s="112" t="s">
        <v>16</v>
      </c>
      <c r="C888" s="119" t="s">
        <v>876</v>
      </c>
      <c r="D888" s="114" t="s">
        <v>877</v>
      </c>
      <c r="E888" s="114" t="s">
        <v>878</v>
      </c>
      <c r="F888" s="151">
        <v>45991</v>
      </c>
      <c r="G888" s="114" t="s">
        <v>28</v>
      </c>
      <c r="H888" s="116" t="s">
        <v>833</v>
      </c>
      <c r="I888" s="131">
        <v>5000</v>
      </c>
      <c r="J888" s="131"/>
      <c r="K888" s="136">
        <v>5000</v>
      </c>
      <c r="L888" s="136">
        <v>5000</v>
      </c>
      <c r="M888" s="136"/>
      <c r="N888" s="131">
        <f t="shared" si="58"/>
        <v>0</v>
      </c>
      <c r="O888" s="114" t="s">
        <v>879</v>
      </c>
      <c r="P888" s="138"/>
    </row>
    <row r="889" s="89" customFormat="1" spans="1:16">
      <c r="A889" s="122">
        <v>45901</v>
      </c>
      <c r="B889" s="165" t="s">
        <v>16</v>
      </c>
      <c r="C889" s="165" t="s">
        <v>881</v>
      </c>
      <c r="D889" s="141" t="s">
        <v>882</v>
      </c>
      <c r="E889" s="141" t="s">
        <v>883</v>
      </c>
      <c r="F889" s="151">
        <v>45916</v>
      </c>
      <c r="G889" s="141" t="s">
        <v>197</v>
      </c>
      <c r="H889" s="116" t="s">
        <v>833</v>
      </c>
      <c r="I889" s="139">
        <v>21000</v>
      </c>
      <c r="J889" s="139">
        <v>0</v>
      </c>
      <c r="K889" s="139">
        <v>21000</v>
      </c>
      <c r="L889" s="139">
        <v>21000</v>
      </c>
      <c r="M889" s="139"/>
      <c r="N889" s="131">
        <f t="shared" si="58"/>
        <v>0</v>
      </c>
      <c r="O889" s="141" t="s">
        <v>884</v>
      </c>
      <c r="P889" s="168" t="s">
        <v>183</v>
      </c>
    </row>
    <row r="890" s="98" customFormat="1" spans="1:16">
      <c r="A890" s="243">
        <v>45839</v>
      </c>
      <c r="B890" s="244" t="s">
        <v>16</v>
      </c>
      <c r="C890" s="245" t="s">
        <v>885</v>
      </c>
      <c r="D890" s="244" t="s">
        <v>227</v>
      </c>
      <c r="E890" s="246" t="s">
        <v>886</v>
      </c>
      <c r="F890" s="247">
        <v>45807</v>
      </c>
      <c r="G890" s="246" t="s">
        <v>887</v>
      </c>
      <c r="H890" s="248" t="s">
        <v>833</v>
      </c>
      <c r="I890" s="255">
        <v>24000</v>
      </c>
      <c r="J890" s="255">
        <v>0</v>
      </c>
      <c r="K890" s="255">
        <v>24000</v>
      </c>
      <c r="L890" s="255"/>
      <c r="M890" s="255"/>
      <c r="N890" s="255">
        <f t="shared" si="58"/>
        <v>24000</v>
      </c>
      <c r="O890" s="244"/>
      <c r="P890" s="244" t="s">
        <v>888</v>
      </c>
    </row>
    <row r="891" s="86" customFormat="1" spans="1:16">
      <c r="A891" s="111">
        <v>45870</v>
      </c>
      <c r="B891" s="113" t="s">
        <v>16</v>
      </c>
      <c r="C891" s="113" t="s">
        <v>885</v>
      </c>
      <c r="D891" s="112" t="s">
        <v>227</v>
      </c>
      <c r="E891" s="113" t="s">
        <v>886</v>
      </c>
      <c r="F891" s="151">
        <v>45900</v>
      </c>
      <c r="G891" s="112" t="s">
        <v>169</v>
      </c>
      <c r="H891" s="116" t="s">
        <v>833</v>
      </c>
      <c r="I891" s="159">
        <v>24000</v>
      </c>
      <c r="J891" s="133">
        <v>0</v>
      </c>
      <c r="K891" s="133">
        <f>I891-J891</f>
        <v>24000</v>
      </c>
      <c r="L891" s="133">
        <v>24000</v>
      </c>
      <c r="M891" s="133"/>
      <c r="N891" s="131">
        <f t="shared" si="58"/>
        <v>0</v>
      </c>
      <c r="O891" s="112" t="s">
        <v>230</v>
      </c>
      <c r="P891" s="112"/>
    </row>
    <row r="892" s="88" customFormat="1" spans="1:16">
      <c r="A892" s="118">
        <v>45962</v>
      </c>
      <c r="B892" s="113" t="s">
        <v>16</v>
      </c>
      <c r="C892" s="119" t="s">
        <v>885</v>
      </c>
      <c r="D892" s="114" t="s">
        <v>227</v>
      </c>
      <c r="E892" s="114" t="s">
        <v>886</v>
      </c>
      <c r="F892" s="151">
        <v>45991</v>
      </c>
      <c r="G892" s="114" t="s">
        <v>170</v>
      </c>
      <c r="H892" s="116" t="s">
        <v>833</v>
      </c>
      <c r="I892" s="131">
        <v>8000</v>
      </c>
      <c r="J892" s="131"/>
      <c r="K892" s="136">
        <v>8000</v>
      </c>
      <c r="L892" s="136">
        <v>8000</v>
      </c>
      <c r="M892" s="136"/>
      <c r="N892" s="131">
        <f t="shared" si="58"/>
        <v>0</v>
      </c>
      <c r="O892" s="114" t="s">
        <v>889</v>
      </c>
      <c r="P892" s="138"/>
    </row>
    <row r="893" s="88" customFormat="1" spans="1:16">
      <c r="A893" s="118">
        <v>45962</v>
      </c>
      <c r="B893" s="113" t="s">
        <v>16</v>
      </c>
      <c r="C893" s="119" t="s">
        <v>885</v>
      </c>
      <c r="D893" s="114" t="s">
        <v>227</v>
      </c>
      <c r="E893" s="114" t="s">
        <v>886</v>
      </c>
      <c r="F893" s="151">
        <v>45991</v>
      </c>
      <c r="G893" s="114" t="s">
        <v>172</v>
      </c>
      <c r="H893" s="116" t="s">
        <v>833</v>
      </c>
      <c r="I893" s="131">
        <v>8000</v>
      </c>
      <c r="J893" s="131"/>
      <c r="K893" s="136">
        <v>8000</v>
      </c>
      <c r="L893" s="136">
        <v>8000</v>
      </c>
      <c r="M893" s="136"/>
      <c r="N893" s="131">
        <f t="shared" si="58"/>
        <v>0</v>
      </c>
      <c r="O893" s="114" t="s">
        <v>889</v>
      </c>
      <c r="P893" s="138"/>
    </row>
    <row r="894" s="88" customFormat="1" spans="1:16">
      <c r="A894" s="118">
        <v>45962</v>
      </c>
      <c r="B894" s="113" t="s">
        <v>16</v>
      </c>
      <c r="C894" s="119" t="s">
        <v>885</v>
      </c>
      <c r="D894" s="114" t="s">
        <v>227</v>
      </c>
      <c r="E894" s="114" t="s">
        <v>886</v>
      </c>
      <c r="F894" s="151">
        <v>45991</v>
      </c>
      <c r="G894" s="114" t="s">
        <v>173</v>
      </c>
      <c r="H894" s="116" t="s">
        <v>833</v>
      </c>
      <c r="I894" s="131">
        <v>8000</v>
      </c>
      <c r="J894" s="131"/>
      <c r="K894" s="136">
        <v>8000</v>
      </c>
      <c r="L894" s="136">
        <v>8000</v>
      </c>
      <c r="M894" s="136"/>
      <c r="N894" s="131">
        <f t="shared" si="58"/>
        <v>0</v>
      </c>
      <c r="O894" s="114" t="s">
        <v>889</v>
      </c>
      <c r="P894" s="138"/>
    </row>
    <row r="895" s="86" customFormat="1" spans="1:16">
      <c r="A895" s="111">
        <v>45839</v>
      </c>
      <c r="B895" s="112" t="s">
        <v>16</v>
      </c>
      <c r="C895" s="113" t="s">
        <v>890</v>
      </c>
      <c r="D895" s="112" t="s">
        <v>891</v>
      </c>
      <c r="E895" s="112" t="s">
        <v>892</v>
      </c>
      <c r="F895" s="151">
        <v>45824</v>
      </c>
      <c r="G895" s="112" t="s">
        <v>46</v>
      </c>
      <c r="H895" s="116" t="s">
        <v>833</v>
      </c>
      <c r="I895" s="130">
        <v>18900</v>
      </c>
      <c r="J895" s="130">
        <v>0</v>
      </c>
      <c r="K895" s="130">
        <v>18900</v>
      </c>
      <c r="L895" s="130">
        <v>18900</v>
      </c>
      <c r="M895" s="130"/>
      <c r="N895" s="131">
        <f t="shared" si="58"/>
        <v>0</v>
      </c>
      <c r="O895" s="112" t="s">
        <v>487</v>
      </c>
      <c r="P895" s="112"/>
    </row>
    <row r="896" s="89" customFormat="1" spans="1:17">
      <c r="A896" s="122">
        <v>45901</v>
      </c>
      <c r="B896" s="116" t="s">
        <v>16</v>
      </c>
      <c r="C896" s="78" t="s">
        <v>890</v>
      </c>
      <c r="D896" s="116" t="s">
        <v>891</v>
      </c>
      <c r="E896" s="116" t="s">
        <v>892</v>
      </c>
      <c r="F896" s="151">
        <v>45916</v>
      </c>
      <c r="G896" s="116" t="s">
        <v>86</v>
      </c>
      <c r="H896" s="116" t="s">
        <v>833</v>
      </c>
      <c r="I896" s="139">
        <v>18900</v>
      </c>
      <c r="J896" s="139">
        <v>0</v>
      </c>
      <c r="K896" s="139">
        <f>I896-J896</f>
        <v>18900</v>
      </c>
      <c r="L896" s="139">
        <v>18900</v>
      </c>
      <c r="M896" s="139"/>
      <c r="N896" s="131">
        <f t="shared" si="58"/>
        <v>0</v>
      </c>
      <c r="O896" s="141" t="s">
        <v>316</v>
      </c>
      <c r="P896" s="141"/>
      <c r="Q896" s="89" t="s">
        <v>51</v>
      </c>
    </row>
    <row r="897" s="86" customFormat="1" spans="1:16">
      <c r="A897" s="111">
        <v>45870</v>
      </c>
      <c r="B897" s="112" t="s">
        <v>491</v>
      </c>
      <c r="C897" s="113" t="s">
        <v>893</v>
      </c>
      <c r="D897" s="166" t="s">
        <v>894</v>
      </c>
      <c r="E897" s="113" t="s">
        <v>895</v>
      </c>
      <c r="F897" s="151">
        <v>45900</v>
      </c>
      <c r="G897" s="112" t="s">
        <v>169</v>
      </c>
      <c r="H897" s="116" t="s">
        <v>833</v>
      </c>
      <c r="I897" s="159">
        <v>15720</v>
      </c>
      <c r="J897" s="133">
        <v>0</v>
      </c>
      <c r="K897" s="133">
        <f>I897-J897</f>
        <v>15720</v>
      </c>
      <c r="L897" s="133">
        <v>15720</v>
      </c>
      <c r="M897" s="133"/>
      <c r="N897" s="131">
        <f t="shared" si="58"/>
        <v>0</v>
      </c>
      <c r="O897" s="112" t="s">
        <v>896</v>
      </c>
      <c r="P897" s="112"/>
    </row>
    <row r="898" s="89" customFormat="1" spans="1:16">
      <c r="A898" s="122">
        <v>45901</v>
      </c>
      <c r="B898" s="165" t="s">
        <v>285</v>
      </c>
      <c r="C898" s="165" t="s">
        <v>897</v>
      </c>
      <c r="D898" s="141" t="s">
        <v>898</v>
      </c>
      <c r="E898" s="141" t="s">
        <v>899</v>
      </c>
      <c r="F898" s="151">
        <v>45916</v>
      </c>
      <c r="G898" s="141" t="s">
        <v>900</v>
      </c>
      <c r="H898" s="116" t="s">
        <v>833</v>
      </c>
      <c r="I898" s="139">
        <v>17300</v>
      </c>
      <c r="J898" s="139">
        <v>0</v>
      </c>
      <c r="K898" s="139">
        <v>17300</v>
      </c>
      <c r="L898" s="139">
        <v>17300</v>
      </c>
      <c r="M898" s="139"/>
      <c r="N898" s="131">
        <f t="shared" si="58"/>
        <v>0</v>
      </c>
      <c r="O898" s="141" t="s">
        <v>901</v>
      </c>
      <c r="P898" s="167" t="s">
        <v>167</v>
      </c>
    </row>
    <row r="899" s="88" customFormat="1" spans="1:16">
      <c r="A899" s="118">
        <v>45931</v>
      </c>
      <c r="B899" s="165" t="s">
        <v>285</v>
      </c>
      <c r="C899" s="119" t="s">
        <v>897</v>
      </c>
      <c r="D899" s="114" t="s">
        <v>898</v>
      </c>
      <c r="E899" s="114" t="s">
        <v>899</v>
      </c>
      <c r="F899" s="151">
        <v>45946</v>
      </c>
      <c r="G899" s="114" t="s">
        <v>98</v>
      </c>
      <c r="H899" s="116" t="s">
        <v>833</v>
      </c>
      <c r="I899" s="131">
        <v>4325</v>
      </c>
      <c r="J899" s="131"/>
      <c r="K899" s="136">
        <v>4325</v>
      </c>
      <c r="L899" s="136">
        <v>4325</v>
      </c>
      <c r="M899" s="136"/>
      <c r="N899" s="131">
        <f t="shared" ref="N899:N962" si="64">K899-L899</f>
        <v>0</v>
      </c>
      <c r="O899" s="114" t="s">
        <v>345</v>
      </c>
      <c r="P899" s="138"/>
    </row>
    <row r="900" s="88" customFormat="1" spans="1:16">
      <c r="A900" s="118">
        <v>45931</v>
      </c>
      <c r="B900" s="165" t="s">
        <v>285</v>
      </c>
      <c r="C900" s="119" t="s">
        <v>897</v>
      </c>
      <c r="D900" s="114" t="s">
        <v>898</v>
      </c>
      <c r="E900" s="114" t="s">
        <v>899</v>
      </c>
      <c r="F900" s="151">
        <v>45946</v>
      </c>
      <c r="G900" s="114" t="s">
        <v>26</v>
      </c>
      <c r="H900" s="116" t="s">
        <v>833</v>
      </c>
      <c r="I900" s="131">
        <v>4325</v>
      </c>
      <c r="J900" s="131"/>
      <c r="K900" s="136">
        <v>4325</v>
      </c>
      <c r="L900" s="136">
        <v>4325</v>
      </c>
      <c r="M900" s="136"/>
      <c r="N900" s="131">
        <f t="shared" si="64"/>
        <v>0</v>
      </c>
      <c r="O900" s="114" t="s">
        <v>345</v>
      </c>
      <c r="P900" s="138"/>
    </row>
    <row r="901" s="88" customFormat="1" spans="1:16">
      <c r="A901" s="118">
        <v>45931</v>
      </c>
      <c r="B901" s="165" t="s">
        <v>285</v>
      </c>
      <c r="C901" s="119" t="s">
        <v>897</v>
      </c>
      <c r="D901" s="114" t="s">
        <v>898</v>
      </c>
      <c r="E901" s="114" t="s">
        <v>899</v>
      </c>
      <c r="F901" s="151">
        <v>45946</v>
      </c>
      <c r="G901" s="114" t="s">
        <v>28</v>
      </c>
      <c r="H901" s="116" t="s">
        <v>833</v>
      </c>
      <c r="I901" s="131">
        <v>4325</v>
      </c>
      <c r="J901" s="131"/>
      <c r="K901" s="136">
        <v>4325</v>
      </c>
      <c r="L901" s="136">
        <v>4325</v>
      </c>
      <c r="M901" s="136"/>
      <c r="N901" s="131">
        <f t="shared" si="64"/>
        <v>0</v>
      </c>
      <c r="O901" s="114" t="s">
        <v>345</v>
      </c>
      <c r="P901" s="138"/>
    </row>
    <row r="902" s="89" customFormat="1" spans="1:16">
      <c r="A902" s="122">
        <v>45901</v>
      </c>
      <c r="B902" s="165" t="s">
        <v>285</v>
      </c>
      <c r="C902" s="165" t="s">
        <v>902</v>
      </c>
      <c r="D902" s="141" t="s">
        <v>903</v>
      </c>
      <c r="E902" s="141" t="s">
        <v>904</v>
      </c>
      <c r="F902" s="151">
        <v>45916</v>
      </c>
      <c r="G902" s="141" t="s">
        <v>905</v>
      </c>
      <c r="H902" s="116" t="s">
        <v>833</v>
      </c>
      <c r="I902" s="139">
        <v>6000</v>
      </c>
      <c r="J902" s="139">
        <v>0</v>
      </c>
      <c r="K902" s="139">
        <v>6000</v>
      </c>
      <c r="L902" s="139">
        <v>6000</v>
      </c>
      <c r="M902" s="139"/>
      <c r="N902" s="131">
        <f t="shared" si="64"/>
        <v>0</v>
      </c>
      <c r="O902" s="141" t="s">
        <v>166</v>
      </c>
      <c r="P902" s="167" t="s">
        <v>167</v>
      </c>
    </row>
    <row r="903" s="88" customFormat="1" spans="1:16">
      <c r="A903" s="118">
        <v>45931</v>
      </c>
      <c r="B903" s="138"/>
      <c r="C903" s="119" t="s">
        <v>902</v>
      </c>
      <c r="D903" s="114" t="s">
        <v>903</v>
      </c>
      <c r="E903" s="114" t="s">
        <v>904</v>
      </c>
      <c r="F903" s="151">
        <v>45931</v>
      </c>
      <c r="G903" s="114" t="s">
        <v>906</v>
      </c>
      <c r="H903" s="116" t="s">
        <v>833</v>
      </c>
      <c r="I903" s="131">
        <v>2000</v>
      </c>
      <c r="J903" s="131"/>
      <c r="K903" s="136">
        <v>2000</v>
      </c>
      <c r="L903" s="136">
        <v>2000</v>
      </c>
      <c r="M903" s="136"/>
      <c r="N903" s="131">
        <f t="shared" si="64"/>
        <v>0</v>
      </c>
      <c r="O903" s="114" t="s">
        <v>106</v>
      </c>
      <c r="P903" s="138"/>
    </row>
    <row r="904" s="88" customFormat="1" spans="1:16">
      <c r="A904" s="118">
        <v>45931</v>
      </c>
      <c r="B904" s="138"/>
      <c r="C904" s="119" t="s">
        <v>902</v>
      </c>
      <c r="D904" s="114" t="s">
        <v>903</v>
      </c>
      <c r="E904" s="114" t="s">
        <v>904</v>
      </c>
      <c r="F904" s="151">
        <v>45931</v>
      </c>
      <c r="G904" s="114" t="s">
        <v>907</v>
      </c>
      <c r="H904" s="116" t="s">
        <v>833</v>
      </c>
      <c r="I904" s="131">
        <v>2000</v>
      </c>
      <c r="J904" s="131"/>
      <c r="K904" s="136">
        <v>2000</v>
      </c>
      <c r="L904" s="136">
        <v>2000</v>
      </c>
      <c r="M904" s="136"/>
      <c r="N904" s="131">
        <f t="shared" si="64"/>
        <v>0</v>
      </c>
      <c r="O904" s="114" t="s">
        <v>106</v>
      </c>
      <c r="P904" s="138"/>
    </row>
    <row r="905" s="88" customFormat="1" spans="1:16">
      <c r="A905" s="118">
        <v>45931</v>
      </c>
      <c r="B905" s="138"/>
      <c r="C905" s="119" t="s">
        <v>902</v>
      </c>
      <c r="D905" s="114" t="s">
        <v>903</v>
      </c>
      <c r="E905" s="114" t="s">
        <v>904</v>
      </c>
      <c r="F905" s="151">
        <v>45931</v>
      </c>
      <c r="G905" s="114" t="s">
        <v>908</v>
      </c>
      <c r="H905" s="116" t="s">
        <v>833</v>
      </c>
      <c r="I905" s="131">
        <v>2000</v>
      </c>
      <c r="J905" s="131"/>
      <c r="K905" s="136">
        <v>2000</v>
      </c>
      <c r="L905" s="136">
        <v>2000</v>
      </c>
      <c r="M905" s="136"/>
      <c r="N905" s="131">
        <f t="shared" si="64"/>
        <v>0</v>
      </c>
      <c r="O905" s="114" t="s">
        <v>106</v>
      </c>
      <c r="P905" s="138"/>
    </row>
    <row r="906" s="86" customFormat="1" spans="1:16">
      <c r="A906" s="111">
        <v>45839</v>
      </c>
      <c r="B906" s="135" t="s">
        <v>909</v>
      </c>
      <c r="C906" s="113" t="s">
        <v>910</v>
      </c>
      <c r="D906" s="112" t="s">
        <v>911</v>
      </c>
      <c r="E906" s="112" t="s">
        <v>554</v>
      </c>
      <c r="F906" s="151">
        <v>45824</v>
      </c>
      <c r="G906" s="112" t="s">
        <v>55</v>
      </c>
      <c r="H906" s="116" t="s">
        <v>833</v>
      </c>
      <c r="I906" s="130">
        <v>500</v>
      </c>
      <c r="J906" s="130">
        <v>0</v>
      </c>
      <c r="K906" s="130">
        <v>500</v>
      </c>
      <c r="L906" s="130">
        <v>500</v>
      </c>
      <c r="M906" s="130"/>
      <c r="N906" s="131">
        <f t="shared" si="64"/>
        <v>0</v>
      </c>
      <c r="O906" s="112" t="s">
        <v>309</v>
      </c>
      <c r="P906" s="112"/>
    </row>
    <row r="907" s="86" customFormat="1" spans="1:16">
      <c r="A907" s="111">
        <v>45839</v>
      </c>
      <c r="B907" s="135" t="s">
        <v>909</v>
      </c>
      <c r="C907" s="113" t="s">
        <v>910</v>
      </c>
      <c r="D907" s="112" t="s">
        <v>911</v>
      </c>
      <c r="E907" s="112" t="s">
        <v>554</v>
      </c>
      <c r="F907" s="151">
        <v>45855</v>
      </c>
      <c r="G907" s="112" t="s">
        <v>56</v>
      </c>
      <c r="H907" s="116" t="s">
        <v>833</v>
      </c>
      <c r="I907" s="130">
        <v>500</v>
      </c>
      <c r="J907" s="130">
        <v>0</v>
      </c>
      <c r="K907" s="130">
        <f t="shared" ref="K907:K909" si="65">I907-J907</f>
        <v>500</v>
      </c>
      <c r="L907" s="130">
        <v>500</v>
      </c>
      <c r="M907" s="130"/>
      <c r="N907" s="131">
        <f t="shared" si="64"/>
        <v>0</v>
      </c>
      <c r="O907" s="112" t="s">
        <v>555</v>
      </c>
      <c r="P907" s="112"/>
    </row>
    <row r="908" s="86" customFormat="1" spans="1:16">
      <c r="A908" s="111">
        <v>45870</v>
      </c>
      <c r="B908" s="135" t="s">
        <v>909</v>
      </c>
      <c r="C908" s="113" t="s">
        <v>910</v>
      </c>
      <c r="D908" s="112" t="s">
        <v>911</v>
      </c>
      <c r="E908" s="116" t="s">
        <v>554</v>
      </c>
      <c r="F908" s="151">
        <v>45900</v>
      </c>
      <c r="G908" s="112" t="s">
        <v>58</v>
      </c>
      <c r="H908" s="116" t="s">
        <v>833</v>
      </c>
      <c r="I908" s="159">
        <v>500</v>
      </c>
      <c r="J908" s="133">
        <v>0</v>
      </c>
      <c r="K908" s="133">
        <f t="shared" si="65"/>
        <v>500</v>
      </c>
      <c r="L908" s="133">
        <v>500</v>
      </c>
      <c r="M908" s="133"/>
      <c r="N908" s="131">
        <f t="shared" si="64"/>
        <v>0</v>
      </c>
      <c r="O908" s="135" t="s">
        <v>556</v>
      </c>
      <c r="P908" s="112"/>
    </row>
    <row r="909" s="89" customFormat="1" spans="1:17">
      <c r="A909" s="122">
        <v>45901</v>
      </c>
      <c r="B909" s="135" t="s">
        <v>909</v>
      </c>
      <c r="C909" s="78" t="s">
        <v>910</v>
      </c>
      <c r="D909" s="116" t="s">
        <v>911</v>
      </c>
      <c r="E909" s="116" t="s">
        <v>554</v>
      </c>
      <c r="F909" s="151">
        <v>45916</v>
      </c>
      <c r="G909" s="116" t="s">
        <v>60</v>
      </c>
      <c r="H909" s="116" t="s">
        <v>833</v>
      </c>
      <c r="I909" s="139">
        <v>500</v>
      </c>
      <c r="J909" s="139">
        <v>0</v>
      </c>
      <c r="K909" s="139">
        <f t="shared" si="65"/>
        <v>500</v>
      </c>
      <c r="L909" s="139">
        <f>262+238</f>
        <v>500</v>
      </c>
      <c r="M909" s="139"/>
      <c r="N909" s="131">
        <f t="shared" si="64"/>
        <v>0</v>
      </c>
      <c r="O909" s="141" t="s">
        <v>912</v>
      </c>
      <c r="P909" s="141"/>
      <c r="Q909" s="89" t="s">
        <v>51</v>
      </c>
    </row>
    <row r="910" s="88" customFormat="1" spans="1:16">
      <c r="A910" s="118">
        <v>45931</v>
      </c>
      <c r="B910" s="135" t="s">
        <v>909</v>
      </c>
      <c r="C910" s="119" t="s">
        <v>910</v>
      </c>
      <c r="D910" s="116" t="s">
        <v>911</v>
      </c>
      <c r="E910" s="114" t="s">
        <v>554</v>
      </c>
      <c r="F910" s="151">
        <v>45946</v>
      </c>
      <c r="G910" s="114" t="s">
        <v>28</v>
      </c>
      <c r="H910" s="116" t="s">
        <v>833</v>
      </c>
      <c r="I910" s="131">
        <v>500</v>
      </c>
      <c r="J910" s="131"/>
      <c r="K910" s="136">
        <v>500</v>
      </c>
      <c r="L910" s="136">
        <f>436+64</f>
        <v>500</v>
      </c>
      <c r="M910" s="136"/>
      <c r="N910" s="131">
        <f t="shared" si="64"/>
        <v>0</v>
      </c>
      <c r="O910" s="141" t="s">
        <v>913</v>
      </c>
      <c r="P910" s="138"/>
    </row>
    <row r="911" s="88" customFormat="1" spans="1:16">
      <c r="A911" s="118">
        <v>45962</v>
      </c>
      <c r="B911" s="135" t="s">
        <v>909</v>
      </c>
      <c r="C911" s="119" t="s">
        <v>910</v>
      </c>
      <c r="D911" s="116" t="s">
        <v>911</v>
      </c>
      <c r="E911" s="114" t="s">
        <v>554</v>
      </c>
      <c r="F911" s="151">
        <v>45976</v>
      </c>
      <c r="G911" s="114" t="s">
        <v>26</v>
      </c>
      <c r="H911" s="116" t="s">
        <v>833</v>
      </c>
      <c r="I911" s="131">
        <v>500</v>
      </c>
      <c r="J911" s="131"/>
      <c r="K911" s="136">
        <v>500</v>
      </c>
      <c r="L911" s="136">
        <v>500</v>
      </c>
      <c r="M911" s="136"/>
      <c r="N911" s="131">
        <f t="shared" si="64"/>
        <v>0</v>
      </c>
      <c r="O911" s="141" t="s">
        <v>914</v>
      </c>
      <c r="P911" s="138"/>
    </row>
    <row r="912" s="89" customFormat="1" spans="1:16">
      <c r="A912" s="122">
        <v>45901</v>
      </c>
      <c r="B912" s="165" t="s">
        <v>491</v>
      </c>
      <c r="C912" s="165" t="s">
        <v>915</v>
      </c>
      <c r="D912" s="141" t="s">
        <v>916</v>
      </c>
      <c r="E912" s="141" t="s">
        <v>917</v>
      </c>
      <c r="F912" s="151">
        <v>45916</v>
      </c>
      <c r="G912" s="141" t="s">
        <v>241</v>
      </c>
      <c r="H912" s="116" t="s">
        <v>833</v>
      </c>
      <c r="I912" s="139">
        <v>15000</v>
      </c>
      <c r="J912" s="139">
        <v>0</v>
      </c>
      <c r="K912" s="139">
        <v>15000</v>
      </c>
      <c r="L912" s="139">
        <v>15000</v>
      </c>
      <c r="M912" s="139"/>
      <c r="N912" s="131">
        <f t="shared" si="64"/>
        <v>0</v>
      </c>
      <c r="O912" s="141" t="s">
        <v>652</v>
      </c>
      <c r="P912" s="167" t="s">
        <v>167</v>
      </c>
    </row>
    <row r="913" s="88" customFormat="1" spans="1:16">
      <c r="A913" s="118">
        <v>45931</v>
      </c>
      <c r="B913" s="138"/>
      <c r="C913" s="119" t="s">
        <v>915</v>
      </c>
      <c r="D913" s="114" t="s">
        <v>916</v>
      </c>
      <c r="E913" s="114" t="s">
        <v>917</v>
      </c>
      <c r="F913" s="151">
        <v>45946</v>
      </c>
      <c r="G913" s="114" t="s">
        <v>98</v>
      </c>
      <c r="H913" s="116" t="s">
        <v>833</v>
      </c>
      <c r="I913" s="131">
        <v>5000</v>
      </c>
      <c r="J913" s="131"/>
      <c r="K913" s="136">
        <v>5000</v>
      </c>
      <c r="L913" s="136">
        <v>5000</v>
      </c>
      <c r="M913" s="136"/>
      <c r="N913" s="131">
        <f t="shared" si="64"/>
        <v>0</v>
      </c>
      <c r="O913" s="114" t="s">
        <v>918</v>
      </c>
      <c r="P913" s="138"/>
    </row>
    <row r="914" s="88" customFormat="1" spans="1:16">
      <c r="A914" s="118">
        <v>45931</v>
      </c>
      <c r="B914" s="138"/>
      <c r="C914" s="119" t="s">
        <v>915</v>
      </c>
      <c r="D914" s="114" t="s">
        <v>916</v>
      </c>
      <c r="E914" s="114" t="s">
        <v>917</v>
      </c>
      <c r="F914" s="151">
        <v>45946</v>
      </c>
      <c r="G914" s="114" t="s">
        <v>26</v>
      </c>
      <c r="H914" s="116" t="s">
        <v>833</v>
      </c>
      <c r="I914" s="131">
        <v>5000</v>
      </c>
      <c r="J914" s="131"/>
      <c r="K914" s="136">
        <v>5000</v>
      </c>
      <c r="L914" s="136">
        <v>5000</v>
      </c>
      <c r="M914" s="136"/>
      <c r="N914" s="131">
        <f t="shared" si="64"/>
        <v>0</v>
      </c>
      <c r="O914" s="114" t="s">
        <v>171</v>
      </c>
      <c r="P914" s="138"/>
    </row>
    <row r="915" s="88" customFormat="1" spans="1:16">
      <c r="A915" s="118">
        <v>45931</v>
      </c>
      <c r="B915" s="138"/>
      <c r="C915" s="119" t="s">
        <v>915</v>
      </c>
      <c r="D915" s="114" t="s">
        <v>916</v>
      </c>
      <c r="E915" s="114" t="s">
        <v>917</v>
      </c>
      <c r="F915" s="151">
        <v>45946</v>
      </c>
      <c r="G915" s="114" t="s">
        <v>28</v>
      </c>
      <c r="H915" s="116" t="s">
        <v>833</v>
      </c>
      <c r="I915" s="131">
        <v>5000</v>
      </c>
      <c r="J915" s="131"/>
      <c r="K915" s="136">
        <v>5000</v>
      </c>
      <c r="L915" s="136">
        <v>5000</v>
      </c>
      <c r="M915" s="136"/>
      <c r="N915" s="131">
        <f t="shared" si="64"/>
        <v>0</v>
      </c>
      <c r="O915" s="114" t="s">
        <v>919</v>
      </c>
      <c r="P915" s="138"/>
    </row>
    <row r="916" s="88" customFormat="1" spans="1:16">
      <c r="A916" s="118">
        <v>45931</v>
      </c>
      <c r="B916" s="138"/>
      <c r="C916" s="119" t="s">
        <v>920</v>
      </c>
      <c r="D916" s="114" t="s">
        <v>921</v>
      </c>
      <c r="E916" s="114" t="s">
        <v>922</v>
      </c>
      <c r="F916" s="151">
        <v>45946</v>
      </c>
      <c r="G916" s="114" t="s">
        <v>98</v>
      </c>
      <c r="H916" s="116" t="s">
        <v>833</v>
      </c>
      <c r="I916" s="131">
        <v>6273</v>
      </c>
      <c r="J916" s="131"/>
      <c r="K916" s="136">
        <v>6273</v>
      </c>
      <c r="L916" s="136">
        <v>6273</v>
      </c>
      <c r="M916" s="136"/>
      <c r="N916" s="131">
        <f t="shared" si="64"/>
        <v>0</v>
      </c>
      <c r="O916" s="114" t="s">
        <v>923</v>
      </c>
      <c r="P916" s="138"/>
    </row>
    <row r="917" s="88" customFormat="1" spans="1:16">
      <c r="A917" s="118">
        <v>45931</v>
      </c>
      <c r="B917" s="138"/>
      <c r="C917" s="119" t="s">
        <v>920</v>
      </c>
      <c r="D917" s="114" t="s">
        <v>921</v>
      </c>
      <c r="E917" s="114" t="s">
        <v>922</v>
      </c>
      <c r="F917" s="151">
        <v>45946</v>
      </c>
      <c r="G917" s="114" t="s">
        <v>26</v>
      </c>
      <c r="H917" s="116" t="s">
        <v>833</v>
      </c>
      <c r="I917" s="131">
        <v>6273</v>
      </c>
      <c r="J917" s="131"/>
      <c r="K917" s="136">
        <v>6273</v>
      </c>
      <c r="L917" s="136">
        <v>6273</v>
      </c>
      <c r="M917" s="136"/>
      <c r="N917" s="131">
        <f t="shared" si="64"/>
        <v>0</v>
      </c>
      <c r="O917" s="114" t="s">
        <v>923</v>
      </c>
      <c r="P917" s="138"/>
    </row>
    <row r="918" s="88" customFormat="1" spans="1:16">
      <c r="A918" s="118">
        <v>45931</v>
      </c>
      <c r="B918" s="138"/>
      <c r="C918" s="119" t="s">
        <v>920</v>
      </c>
      <c r="D918" s="114" t="s">
        <v>921</v>
      </c>
      <c r="E918" s="114" t="s">
        <v>922</v>
      </c>
      <c r="F918" s="151">
        <v>45946</v>
      </c>
      <c r="G918" s="114" t="s">
        <v>28</v>
      </c>
      <c r="H918" s="116" t="s">
        <v>833</v>
      </c>
      <c r="I918" s="131">
        <v>6273</v>
      </c>
      <c r="J918" s="131"/>
      <c r="K918" s="136">
        <v>6273</v>
      </c>
      <c r="L918" s="136">
        <v>6273</v>
      </c>
      <c r="M918" s="136"/>
      <c r="N918" s="131">
        <f t="shared" si="64"/>
        <v>0</v>
      </c>
      <c r="O918" s="114" t="s">
        <v>923</v>
      </c>
      <c r="P918" s="138"/>
    </row>
    <row r="919" s="86" customFormat="1" spans="1:16">
      <c r="A919" s="111">
        <v>45870</v>
      </c>
      <c r="B919" s="113" t="s">
        <v>924</v>
      </c>
      <c r="C919" s="113" t="s">
        <v>925</v>
      </c>
      <c r="D919" s="112" t="s">
        <v>926</v>
      </c>
      <c r="E919" s="113" t="s">
        <v>927</v>
      </c>
      <c r="F919" s="151">
        <v>45900</v>
      </c>
      <c r="G919" s="112" t="s">
        <v>928</v>
      </c>
      <c r="H919" s="116" t="s">
        <v>833</v>
      </c>
      <c r="I919" s="159">
        <v>2319.78</v>
      </c>
      <c r="J919" s="133">
        <v>0</v>
      </c>
      <c r="K919" s="133">
        <f>I919-J919</f>
        <v>2319.78</v>
      </c>
      <c r="L919" s="133">
        <v>2319.78</v>
      </c>
      <c r="M919" s="133"/>
      <c r="N919" s="131">
        <f t="shared" si="64"/>
        <v>0</v>
      </c>
      <c r="O919" s="112" t="s">
        <v>929</v>
      </c>
      <c r="P919" s="112"/>
    </row>
    <row r="920" s="88" customFormat="1" spans="1:16">
      <c r="A920" s="118">
        <v>45931</v>
      </c>
      <c r="B920" s="121" t="s">
        <v>930</v>
      </c>
      <c r="C920" s="119" t="s">
        <v>931</v>
      </c>
      <c r="D920" s="114" t="s">
        <v>932</v>
      </c>
      <c r="E920" s="114" t="s">
        <v>933</v>
      </c>
      <c r="F920" s="151">
        <v>45946</v>
      </c>
      <c r="G920" s="114" t="s">
        <v>98</v>
      </c>
      <c r="H920" s="116" t="s">
        <v>833</v>
      </c>
      <c r="I920" s="131">
        <v>1300</v>
      </c>
      <c r="J920" s="131"/>
      <c r="K920" s="136">
        <v>1300</v>
      </c>
      <c r="L920" s="136">
        <v>1300</v>
      </c>
      <c r="M920" s="136"/>
      <c r="N920" s="131">
        <f t="shared" si="64"/>
        <v>0</v>
      </c>
      <c r="O920" s="114" t="s">
        <v>934</v>
      </c>
      <c r="P920" s="138"/>
    </row>
    <row r="921" s="88" customFormat="1" spans="1:16">
      <c r="A921" s="118">
        <v>45931</v>
      </c>
      <c r="B921" s="121" t="s">
        <v>930</v>
      </c>
      <c r="C921" s="119" t="s">
        <v>931</v>
      </c>
      <c r="D921" s="114" t="s">
        <v>932</v>
      </c>
      <c r="E921" s="114" t="s">
        <v>933</v>
      </c>
      <c r="F921" s="151">
        <v>45946</v>
      </c>
      <c r="G921" s="114" t="s">
        <v>26</v>
      </c>
      <c r="H921" s="116" t="s">
        <v>833</v>
      </c>
      <c r="I921" s="131">
        <v>1300</v>
      </c>
      <c r="J921" s="131"/>
      <c r="K921" s="136">
        <v>1300</v>
      </c>
      <c r="L921" s="136">
        <v>1300</v>
      </c>
      <c r="M921" s="136"/>
      <c r="N921" s="131">
        <f t="shared" si="64"/>
        <v>0</v>
      </c>
      <c r="O921" s="114" t="s">
        <v>599</v>
      </c>
      <c r="P921" s="138"/>
    </row>
    <row r="922" s="88" customFormat="1" spans="1:16">
      <c r="A922" s="118">
        <v>45931</v>
      </c>
      <c r="B922" s="121" t="s">
        <v>930</v>
      </c>
      <c r="C922" s="119" t="s">
        <v>931</v>
      </c>
      <c r="D922" s="114" t="s">
        <v>932</v>
      </c>
      <c r="E922" s="114" t="s">
        <v>933</v>
      </c>
      <c r="F922" s="151">
        <v>45946</v>
      </c>
      <c r="G922" s="114" t="s">
        <v>28</v>
      </c>
      <c r="H922" s="116" t="s">
        <v>833</v>
      </c>
      <c r="I922" s="131">
        <v>1300</v>
      </c>
      <c r="J922" s="131"/>
      <c r="K922" s="136">
        <v>1300</v>
      </c>
      <c r="L922" s="136">
        <v>1300</v>
      </c>
      <c r="M922" s="136"/>
      <c r="N922" s="131">
        <f t="shared" si="64"/>
        <v>0</v>
      </c>
      <c r="O922" s="114" t="s">
        <v>599</v>
      </c>
      <c r="P922" s="138"/>
    </row>
    <row r="923" s="86" customFormat="1" spans="1:16">
      <c r="A923" s="111">
        <v>45870</v>
      </c>
      <c r="B923" s="113" t="s">
        <v>679</v>
      </c>
      <c r="C923" s="113" t="s">
        <v>935</v>
      </c>
      <c r="D923" s="112" t="s">
        <v>839</v>
      </c>
      <c r="E923" s="113" t="s">
        <v>936</v>
      </c>
      <c r="F923" s="151">
        <v>45900</v>
      </c>
      <c r="G923" s="112" t="s">
        <v>937</v>
      </c>
      <c r="H923" s="116" t="s">
        <v>833</v>
      </c>
      <c r="I923" s="159">
        <v>18000</v>
      </c>
      <c r="J923" s="133">
        <v>0</v>
      </c>
      <c r="K923" s="133">
        <f t="shared" ref="K923:K928" si="66">I923-J923</f>
        <v>18000</v>
      </c>
      <c r="L923" s="133">
        <v>18000</v>
      </c>
      <c r="M923" s="133"/>
      <c r="N923" s="131">
        <f t="shared" si="64"/>
        <v>0</v>
      </c>
      <c r="O923" s="112" t="s">
        <v>156</v>
      </c>
      <c r="P923" s="112"/>
    </row>
    <row r="924" s="88" customFormat="1" spans="1:16">
      <c r="A924" s="118">
        <v>45962</v>
      </c>
      <c r="B924" s="113" t="s">
        <v>679</v>
      </c>
      <c r="C924" s="119" t="s">
        <v>935</v>
      </c>
      <c r="D924" s="114" t="s">
        <v>839</v>
      </c>
      <c r="E924" s="114" t="s">
        <v>936</v>
      </c>
      <c r="F924" s="151">
        <v>45991</v>
      </c>
      <c r="G924" s="114" t="s">
        <v>938</v>
      </c>
      <c r="H924" s="116" t="s">
        <v>833</v>
      </c>
      <c r="I924" s="131">
        <v>6000</v>
      </c>
      <c r="J924" s="131"/>
      <c r="K924" s="136">
        <v>6000</v>
      </c>
      <c r="L924" s="136">
        <f>4920+1080</f>
        <v>6000</v>
      </c>
      <c r="M924" s="136"/>
      <c r="N924" s="131">
        <f t="shared" si="64"/>
        <v>0</v>
      </c>
      <c r="O924" s="114" t="s">
        <v>939</v>
      </c>
      <c r="P924" s="138"/>
    </row>
    <row r="925" s="88" customFormat="1" spans="1:16">
      <c r="A925" s="118">
        <v>45962</v>
      </c>
      <c r="B925" s="113" t="s">
        <v>679</v>
      </c>
      <c r="C925" s="119" t="s">
        <v>935</v>
      </c>
      <c r="D925" s="114" t="s">
        <v>839</v>
      </c>
      <c r="E925" s="114" t="s">
        <v>936</v>
      </c>
      <c r="F925" s="151">
        <v>45991</v>
      </c>
      <c r="G925" s="114" t="s">
        <v>940</v>
      </c>
      <c r="H925" s="116" t="s">
        <v>833</v>
      </c>
      <c r="I925" s="131">
        <v>6000</v>
      </c>
      <c r="J925" s="131"/>
      <c r="K925" s="136">
        <v>6000</v>
      </c>
      <c r="L925" s="136">
        <v>6000</v>
      </c>
      <c r="M925" s="136"/>
      <c r="N925" s="131">
        <f t="shared" si="64"/>
        <v>0</v>
      </c>
      <c r="O925" s="114" t="s">
        <v>941</v>
      </c>
      <c r="P925" s="138"/>
    </row>
    <row r="926" s="88" customFormat="1" spans="1:16">
      <c r="A926" s="118">
        <v>45962</v>
      </c>
      <c r="B926" s="113" t="s">
        <v>679</v>
      </c>
      <c r="C926" s="119" t="s">
        <v>935</v>
      </c>
      <c r="D926" s="114" t="s">
        <v>839</v>
      </c>
      <c r="E926" s="114" t="s">
        <v>936</v>
      </c>
      <c r="F926" s="151">
        <v>45991</v>
      </c>
      <c r="G926" s="114" t="s">
        <v>942</v>
      </c>
      <c r="H926" s="116" t="s">
        <v>833</v>
      </c>
      <c r="I926" s="131">
        <v>6000</v>
      </c>
      <c r="J926" s="131"/>
      <c r="K926" s="136">
        <v>6000</v>
      </c>
      <c r="L926" s="136">
        <v>6000</v>
      </c>
      <c r="M926" s="136"/>
      <c r="N926" s="131">
        <f t="shared" si="64"/>
        <v>0</v>
      </c>
      <c r="O926" s="114" t="s">
        <v>941</v>
      </c>
      <c r="P926" s="138"/>
    </row>
    <row r="927" s="86" customFormat="1" spans="1:16">
      <c r="A927" s="111">
        <v>45839</v>
      </c>
      <c r="B927" s="112" t="s">
        <v>854</v>
      </c>
      <c r="C927" s="113" t="s">
        <v>943</v>
      </c>
      <c r="D927" s="112" t="s">
        <v>944</v>
      </c>
      <c r="E927" s="112" t="s">
        <v>945</v>
      </c>
      <c r="F927" s="151">
        <v>45869</v>
      </c>
      <c r="G927" s="112" t="s">
        <v>241</v>
      </c>
      <c r="H927" s="116" t="s">
        <v>833</v>
      </c>
      <c r="I927" s="130">
        <v>17200</v>
      </c>
      <c r="J927" s="130">
        <v>0</v>
      </c>
      <c r="K927" s="130">
        <f t="shared" si="66"/>
        <v>17200</v>
      </c>
      <c r="L927" s="130">
        <v>17200</v>
      </c>
      <c r="M927" s="130"/>
      <c r="N927" s="131">
        <f t="shared" si="64"/>
        <v>0</v>
      </c>
      <c r="O927" s="166" t="s">
        <v>361</v>
      </c>
      <c r="P927" s="112"/>
    </row>
    <row r="928" s="86" customFormat="1" spans="1:16">
      <c r="A928" s="111">
        <v>45839</v>
      </c>
      <c r="B928" s="113" t="s">
        <v>854</v>
      </c>
      <c r="C928" s="113" t="s">
        <v>946</v>
      </c>
      <c r="D928" s="112" t="s">
        <v>947</v>
      </c>
      <c r="E928" s="112" t="s">
        <v>948</v>
      </c>
      <c r="F928" s="151">
        <v>45864</v>
      </c>
      <c r="G928" s="112" t="s">
        <v>949</v>
      </c>
      <c r="H928" s="116" t="s">
        <v>833</v>
      </c>
      <c r="I928" s="130">
        <v>60000</v>
      </c>
      <c r="J928" s="130">
        <v>0</v>
      </c>
      <c r="K928" s="130">
        <f t="shared" si="66"/>
        <v>60000</v>
      </c>
      <c r="L928" s="130">
        <v>60000</v>
      </c>
      <c r="M928" s="130"/>
      <c r="N928" s="131">
        <f t="shared" si="64"/>
        <v>0</v>
      </c>
      <c r="O928" s="112" t="s">
        <v>950</v>
      </c>
      <c r="P928" s="112"/>
    </row>
    <row r="929" s="88" customFormat="1" spans="1:16">
      <c r="A929" s="118">
        <v>45931</v>
      </c>
      <c r="B929" s="138"/>
      <c r="C929" s="119" t="s">
        <v>946</v>
      </c>
      <c r="D929" s="114" t="s">
        <v>947</v>
      </c>
      <c r="E929" s="114" t="s">
        <v>948</v>
      </c>
      <c r="F929" s="151">
        <v>45955</v>
      </c>
      <c r="G929" s="114" t="s">
        <v>744</v>
      </c>
      <c r="H929" s="116" t="s">
        <v>833</v>
      </c>
      <c r="I929" s="131">
        <v>20000</v>
      </c>
      <c r="J929" s="131"/>
      <c r="K929" s="136">
        <v>20000</v>
      </c>
      <c r="L929" s="136">
        <v>20000</v>
      </c>
      <c r="M929" s="136"/>
      <c r="N929" s="131">
        <f t="shared" si="64"/>
        <v>0</v>
      </c>
      <c r="O929" s="114" t="s">
        <v>951</v>
      </c>
      <c r="P929" s="138"/>
    </row>
    <row r="930" s="88" customFormat="1" spans="1:16">
      <c r="A930" s="118">
        <v>45931</v>
      </c>
      <c r="B930" s="138"/>
      <c r="C930" s="119" t="s">
        <v>946</v>
      </c>
      <c r="D930" s="114" t="s">
        <v>947</v>
      </c>
      <c r="E930" s="114" t="s">
        <v>948</v>
      </c>
      <c r="F930" s="151">
        <v>45955</v>
      </c>
      <c r="G930" s="114" t="s">
        <v>745</v>
      </c>
      <c r="H930" s="116" t="s">
        <v>833</v>
      </c>
      <c r="I930" s="131">
        <v>20000</v>
      </c>
      <c r="J930" s="131"/>
      <c r="K930" s="136">
        <v>20000</v>
      </c>
      <c r="L930" s="136">
        <v>20000</v>
      </c>
      <c r="M930" s="136"/>
      <c r="N930" s="131">
        <f t="shared" si="64"/>
        <v>0</v>
      </c>
      <c r="O930" s="114" t="s">
        <v>951</v>
      </c>
      <c r="P930" s="138"/>
    </row>
    <row r="931" s="88" customFormat="1" spans="1:16">
      <c r="A931" s="118">
        <v>45931</v>
      </c>
      <c r="B931" s="138"/>
      <c r="C931" s="119" t="s">
        <v>946</v>
      </c>
      <c r="D931" s="114" t="s">
        <v>947</v>
      </c>
      <c r="E931" s="114" t="s">
        <v>948</v>
      </c>
      <c r="F931" s="151">
        <v>45955</v>
      </c>
      <c r="G931" s="114" t="s">
        <v>952</v>
      </c>
      <c r="H931" s="116" t="s">
        <v>833</v>
      </c>
      <c r="I931" s="131">
        <v>20000</v>
      </c>
      <c r="J931" s="131"/>
      <c r="K931" s="136">
        <v>20000</v>
      </c>
      <c r="L931" s="136">
        <v>20000</v>
      </c>
      <c r="M931" s="136"/>
      <c r="N931" s="131">
        <f t="shared" si="64"/>
        <v>0</v>
      </c>
      <c r="O931" s="114" t="s">
        <v>951</v>
      </c>
      <c r="P931" s="138"/>
    </row>
    <row r="932" s="86" customFormat="1" spans="1:16">
      <c r="A932" s="111">
        <v>45839</v>
      </c>
      <c r="B932" s="112" t="s">
        <v>953</v>
      </c>
      <c r="C932" s="113" t="s">
        <v>954</v>
      </c>
      <c r="D932" s="112" t="s">
        <v>955</v>
      </c>
      <c r="E932" s="112" t="s">
        <v>956</v>
      </c>
      <c r="F932" s="151">
        <v>45860</v>
      </c>
      <c r="G932" s="112" t="s">
        <v>957</v>
      </c>
      <c r="H932" s="116" t="s">
        <v>833</v>
      </c>
      <c r="I932" s="130">
        <v>12000</v>
      </c>
      <c r="J932" s="130">
        <v>0</v>
      </c>
      <c r="K932" s="130">
        <f>I932-J932</f>
        <v>12000</v>
      </c>
      <c r="L932" s="130">
        <f>2000+10000</f>
        <v>12000</v>
      </c>
      <c r="M932" s="130"/>
      <c r="N932" s="131">
        <f t="shared" si="64"/>
        <v>0</v>
      </c>
      <c r="O932" s="112" t="s">
        <v>958</v>
      </c>
      <c r="P932" s="112"/>
    </row>
    <row r="933" s="88" customFormat="1" spans="1:16">
      <c r="A933" s="118">
        <v>45931</v>
      </c>
      <c r="B933" s="112" t="s">
        <v>953</v>
      </c>
      <c r="C933" s="119" t="s">
        <v>954</v>
      </c>
      <c r="D933" s="114" t="s">
        <v>955</v>
      </c>
      <c r="E933" s="114" t="s">
        <v>956</v>
      </c>
      <c r="F933" s="151">
        <v>45946</v>
      </c>
      <c r="G933" s="114" t="s">
        <v>959</v>
      </c>
      <c r="H933" s="116" t="s">
        <v>833</v>
      </c>
      <c r="I933" s="131">
        <v>4000</v>
      </c>
      <c r="J933" s="131"/>
      <c r="K933" s="136">
        <v>4000</v>
      </c>
      <c r="L933" s="136">
        <v>4000</v>
      </c>
      <c r="M933" s="136"/>
      <c r="N933" s="131">
        <f t="shared" si="64"/>
        <v>0</v>
      </c>
      <c r="O933" s="114" t="s">
        <v>960</v>
      </c>
      <c r="P933" s="138"/>
    </row>
    <row r="934" s="88" customFormat="1" spans="1:16">
      <c r="A934" s="118">
        <v>45931</v>
      </c>
      <c r="B934" s="112" t="s">
        <v>953</v>
      </c>
      <c r="C934" s="119" t="s">
        <v>954</v>
      </c>
      <c r="D934" s="114" t="s">
        <v>955</v>
      </c>
      <c r="E934" s="114" t="s">
        <v>956</v>
      </c>
      <c r="F934" s="151">
        <v>45946</v>
      </c>
      <c r="G934" s="114" t="s">
        <v>961</v>
      </c>
      <c r="H934" s="116" t="s">
        <v>833</v>
      </c>
      <c r="I934" s="131">
        <v>4000</v>
      </c>
      <c r="J934" s="131"/>
      <c r="K934" s="136">
        <v>4000</v>
      </c>
      <c r="L934" s="136">
        <v>4000</v>
      </c>
      <c r="M934" s="136"/>
      <c r="N934" s="131">
        <f t="shared" si="64"/>
        <v>0</v>
      </c>
      <c r="O934" s="114" t="s">
        <v>960</v>
      </c>
      <c r="P934" s="138"/>
    </row>
    <row r="935" s="88" customFormat="1" spans="1:16">
      <c r="A935" s="118">
        <v>45931</v>
      </c>
      <c r="B935" s="112" t="s">
        <v>953</v>
      </c>
      <c r="C935" s="119" t="s">
        <v>954</v>
      </c>
      <c r="D935" s="114" t="s">
        <v>955</v>
      </c>
      <c r="E935" s="114" t="s">
        <v>956</v>
      </c>
      <c r="F935" s="151">
        <v>45946</v>
      </c>
      <c r="G935" s="114" t="s">
        <v>962</v>
      </c>
      <c r="H935" s="116" t="s">
        <v>833</v>
      </c>
      <c r="I935" s="131">
        <v>4000</v>
      </c>
      <c r="J935" s="131"/>
      <c r="K935" s="136">
        <v>4000</v>
      </c>
      <c r="L935" s="136">
        <v>4000</v>
      </c>
      <c r="M935" s="136"/>
      <c r="N935" s="131">
        <f t="shared" si="64"/>
        <v>0</v>
      </c>
      <c r="O935" s="114" t="s">
        <v>960</v>
      </c>
      <c r="P935" s="138"/>
    </row>
    <row r="936" s="86" customFormat="1" spans="1:16">
      <c r="A936" s="111">
        <v>45839</v>
      </c>
      <c r="B936" s="113">
        <v>0</v>
      </c>
      <c r="C936" s="113" t="s">
        <v>963</v>
      </c>
      <c r="D936" s="112" t="s">
        <v>964</v>
      </c>
      <c r="E936" s="112" t="s">
        <v>965</v>
      </c>
      <c r="F936" s="151">
        <v>45869</v>
      </c>
      <c r="G936" s="112" t="s">
        <v>146</v>
      </c>
      <c r="H936" s="116" t="s">
        <v>833</v>
      </c>
      <c r="I936" s="130">
        <v>18750</v>
      </c>
      <c r="J936" s="130">
        <v>0</v>
      </c>
      <c r="K936" s="130">
        <f>I936-J936</f>
        <v>18750</v>
      </c>
      <c r="L936" s="130">
        <v>18750</v>
      </c>
      <c r="M936" s="130"/>
      <c r="N936" s="131">
        <f t="shared" si="64"/>
        <v>0</v>
      </c>
      <c r="O936" s="166" t="s">
        <v>361</v>
      </c>
      <c r="P936" s="112"/>
    </row>
    <row r="937" s="89" customFormat="1" spans="1:16">
      <c r="A937" s="122">
        <v>45901</v>
      </c>
      <c r="B937" s="165" t="s">
        <v>16</v>
      </c>
      <c r="C937" s="165" t="s">
        <v>963</v>
      </c>
      <c r="D937" s="141" t="s">
        <v>964</v>
      </c>
      <c r="E937" s="141" t="s">
        <v>965</v>
      </c>
      <c r="F937" s="151">
        <v>45916</v>
      </c>
      <c r="G937" s="141" t="s">
        <v>241</v>
      </c>
      <c r="H937" s="116" t="s">
        <v>833</v>
      </c>
      <c r="I937" s="139">
        <v>18750</v>
      </c>
      <c r="J937" s="139">
        <v>0</v>
      </c>
      <c r="K937" s="139">
        <v>18750</v>
      </c>
      <c r="L937" s="139">
        <v>18750</v>
      </c>
      <c r="M937" s="139"/>
      <c r="N937" s="131">
        <f t="shared" si="64"/>
        <v>0</v>
      </c>
      <c r="O937" s="141" t="s">
        <v>361</v>
      </c>
      <c r="P937" s="167" t="s">
        <v>167</v>
      </c>
    </row>
    <row r="938" s="88" customFormat="1" spans="1:16">
      <c r="A938" s="118">
        <v>45931</v>
      </c>
      <c r="B938" s="138"/>
      <c r="C938" s="119" t="s">
        <v>963</v>
      </c>
      <c r="D938" s="114" t="s">
        <v>964</v>
      </c>
      <c r="E938" s="114" t="s">
        <v>965</v>
      </c>
      <c r="F938" s="151">
        <v>45946</v>
      </c>
      <c r="G938" s="114" t="s">
        <v>98</v>
      </c>
      <c r="H938" s="116" t="s">
        <v>833</v>
      </c>
      <c r="I938" s="131">
        <v>6250</v>
      </c>
      <c r="J938" s="131"/>
      <c r="K938" s="136">
        <v>6250</v>
      </c>
      <c r="L938" s="136">
        <v>6250</v>
      </c>
      <c r="M938" s="136"/>
      <c r="N938" s="131">
        <f t="shared" si="64"/>
        <v>0</v>
      </c>
      <c r="O938" s="114" t="s">
        <v>960</v>
      </c>
      <c r="P938" s="138"/>
    </row>
    <row r="939" s="88" customFormat="1" spans="1:16">
      <c r="A939" s="118">
        <v>45931</v>
      </c>
      <c r="B939" s="138"/>
      <c r="C939" s="119" t="s">
        <v>963</v>
      </c>
      <c r="D939" s="114" t="s">
        <v>964</v>
      </c>
      <c r="E939" s="114" t="s">
        <v>965</v>
      </c>
      <c r="F939" s="151">
        <v>45946</v>
      </c>
      <c r="G939" s="114" t="s">
        <v>26</v>
      </c>
      <c r="H939" s="116" t="s">
        <v>833</v>
      </c>
      <c r="I939" s="131">
        <v>6250</v>
      </c>
      <c r="J939" s="131"/>
      <c r="K939" s="136">
        <v>6250</v>
      </c>
      <c r="L939" s="136">
        <v>6250</v>
      </c>
      <c r="M939" s="136"/>
      <c r="N939" s="131">
        <f t="shared" si="64"/>
        <v>0</v>
      </c>
      <c r="O939" s="114" t="s">
        <v>960</v>
      </c>
      <c r="P939" s="138"/>
    </row>
    <row r="940" s="88" customFormat="1" spans="1:16">
      <c r="A940" s="118">
        <v>45931</v>
      </c>
      <c r="B940" s="138"/>
      <c r="C940" s="119" t="s">
        <v>963</v>
      </c>
      <c r="D940" s="114" t="s">
        <v>964</v>
      </c>
      <c r="E940" s="114" t="s">
        <v>965</v>
      </c>
      <c r="F940" s="151">
        <v>45946</v>
      </c>
      <c r="G940" s="114" t="s">
        <v>28</v>
      </c>
      <c r="H940" s="116" t="s">
        <v>833</v>
      </c>
      <c r="I940" s="131">
        <v>6250</v>
      </c>
      <c r="J940" s="131"/>
      <c r="K940" s="136">
        <v>6250</v>
      </c>
      <c r="L940" s="136">
        <v>6250</v>
      </c>
      <c r="M940" s="136"/>
      <c r="N940" s="131">
        <f t="shared" si="64"/>
        <v>0</v>
      </c>
      <c r="O940" s="114" t="s">
        <v>960</v>
      </c>
      <c r="P940" s="138"/>
    </row>
    <row r="941" s="89" customFormat="1" spans="1:17">
      <c r="A941" s="122">
        <v>45901</v>
      </c>
      <c r="B941" s="165" t="s">
        <v>16</v>
      </c>
      <c r="C941" s="165" t="s">
        <v>966</v>
      </c>
      <c r="D941" s="141" t="s">
        <v>967</v>
      </c>
      <c r="E941" s="141" t="s">
        <v>968</v>
      </c>
      <c r="F941" s="151">
        <v>45916</v>
      </c>
      <c r="G941" s="141" t="s">
        <v>969</v>
      </c>
      <c r="H941" s="116" t="s">
        <v>833</v>
      </c>
      <c r="I941" s="139">
        <v>12600</v>
      </c>
      <c r="J941" s="139">
        <v>0</v>
      </c>
      <c r="K941" s="139">
        <f>I941-J941</f>
        <v>12600</v>
      </c>
      <c r="L941" s="139">
        <v>12600</v>
      </c>
      <c r="M941" s="139"/>
      <c r="N941" s="131">
        <f t="shared" si="64"/>
        <v>0</v>
      </c>
      <c r="O941" s="141" t="s">
        <v>342</v>
      </c>
      <c r="P941" s="167"/>
      <c r="Q941" s="89" t="s">
        <v>51</v>
      </c>
    </row>
    <row r="942" s="89" customFormat="1" spans="1:16">
      <c r="A942" s="122">
        <v>45901</v>
      </c>
      <c r="B942" s="165" t="s">
        <v>16</v>
      </c>
      <c r="C942" s="165" t="s">
        <v>966</v>
      </c>
      <c r="D942" s="141" t="s">
        <v>967</v>
      </c>
      <c r="E942" s="141" t="s">
        <v>968</v>
      </c>
      <c r="F942" s="151">
        <v>45916</v>
      </c>
      <c r="G942" s="141" t="s">
        <v>970</v>
      </c>
      <c r="H942" s="116" t="s">
        <v>833</v>
      </c>
      <c r="I942" s="139">
        <v>12600</v>
      </c>
      <c r="J942" s="139">
        <v>0</v>
      </c>
      <c r="K942" s="139">
        <v>12600</v>
      </c>
      <c r="L942" s="139">
        <f>7800+4800</f>
        <v>12600</v>
      </c>
      <c r="M942" s="139"/>
      <c r="N942" s="131">
        <f t="shared" si="64"/>
        <v>0</v>
      </c>
      <c r="O942" s="141" t="s">
        <v>971</v>
      </c>
      <c r="P942" s="167" t="s">
        <v>167</v>
      </c>
    </row>
    <row r="943" s="89" customFormat="1" spans="1:16">
      <c r="A943" s="122">
        <v>45901</v>
      </c>
      <c r="B943" s="165" t="s">
        <v>16</v>
      </c>
      <c r="C943" s="165" t="s">
        <v>972</v>
      </c>
      <c r="D943" s="141" t="s">
        <v>973</v>
      </c>
      <c r="E943" s="141" t="s">
        <v>974</v>
      </c>
      <c r="F943" s="151">
        <v>45916</v>
      </c>
      <c r="G943" s="141" t="s">
        <v>241</v>
      </c>
      <c r="H943" s="116" t="s">
        <v>833</v>
      </c>
      <c r="I943" s="139">
        <v>3000</v>
      </c>
      <c r="J943" s="139">
        <v>0</v>
      </c>
      <c r="K943" s="139">
        <v>3000</v>
      </c>
      <c r="L943" s="139">
        <v>3000</v>
      </c>
      <c r="M943" s="139"/>
      <c r="N943" s="131">
        <f t="shared" si="64"/>
        <v>0</v>
      </c>
      <c r="O943" s="141" t="s">
        <v>975</v>
      </c>
      <c r="P943" s="168" t="s">
        <v>183</v>
      </c>
    </row>
    <row r="944" s="88" customFormat="1" spans="1:16">
      <c r="A944" s="118">
        <v>45931</v>
      </c>
      <c r="B944" s="138"/>
      <c r="C944" s="119" t="s">
        <v>972</v>
      </c>
      <c r="D944" s="114" t="s">
        <v>973</v>
      </c>
      <c r="E944" s="114" t="s">
        <v>974</v>
      </c>
      <c r="F944" s="151">
        <v>45946</v>
      </c>
      <c r="G944" s="114" t="s">
        <v>98</v>
      </c>
      <c r="H944" s="116" t="s">
        <v>833</v>
      </c>
      <c r="I944" s="131">
        <v>1000</v>
      </c>
      <c r="J944" s="131"/>
      <c r="K944" s="136">
        <v>1000</v>
      </c>
      <c r="L944" s="136">
        <v>1000</v>
      </c>
      <c r="M944" s="136"/>
      <c r="N944" s="131">
        <f t="shared" si="64"/>
        <v>0</v>
      </c>
      <c r="O944" s="114" t="s">
        <v>229</v>
      </c>
      <c r="P944" s="138"/>
    </row>
    <row r="945" s="88" customFormat="1" spans="1:16">
      <c r="A945" s="118">
        <v>45931</v>
      </c>
      <c r="B945" s="138"/>
      <c r="C945" s="119" t="s">
        <v>972</v>
      </c>
      <c r="D945" s="114" t="s">
        <v>973</v>
      </c>
      <c r="E945" s="114" t="s">
        <v>974</v>
      </c>
      <c r="F945" s="151">
        <v>45946</v>
      </c>
      <c r="G945" s="114" t="s">
        <v>26</v>
      </c>
      <c r="H945" s="116" t="s">
        <v>833</v>
      </c>
      <c r="I945" s="131">
        <v>1000</v>
      </c>
      <c r="J945" s="131"/>
      <c r="K945" s="136">
        <v>1000</v>
      </c>
      <c r="L945" s="136">
        <v>1000</v>
      </c>
      <c r="M945" s="136"/>
      <c r="N945" s="131">
        <f t="shared" si="64"/>
        <v>0</v>
      </c>
      <c r="O945" s="114" t="s">
        <v>229</v>
      </c>
      <c r="P945" s="138"/>
    </row>
    <row r="946" s="88" customFormat="1" spans="1:16">
      <c r="A946" s="118">
        <v>45931</v>
      </c>
      <c r="B946" s="138"/>
      <c r="C946" s="119" t="s">
        <v>972</v>
      </c>
      <c r="D946" s="114" t="s">
        <v>973</v>
      </c>
      <c r="E946" s="114" t="s">
        <v>974</v>
      </c>
      <c r="F946" s="151">
        <v>45946</v>
      </c>
      <c r="G946" s="114" t="s">
        <v>28</v>
      </c>
      <c r="H946" s="116" t="s">
        <v>833</v>
      </c>
      <c r="I946" s="131">
        <v>1000</v>
      </c>
      <c r="J946" s="131"/>
      <c r="K946" s="136">
        <v>1000</v>
      </c>
      <c r="L946" s="136">
        <v>1000</v>
      </c>
      <c r="M946" s="136"/>
      <c r="N946" s="131">
        <f t="shared" si="64"/>
        <v>0</v>
      </c>
      <c r="O946" s="114" t="s">
        <v>229</v>
      </c>
      <c r="P946" s="138"/>
    </row>
    <row r="947" s="89" customFormat="1" spans="1:17">
      <c r="A947" s="122">
        <v>45901</v>
      </c>
      <c r="B947" s="116" t="s">
        <v>16</v>
      </c>
      <c r="C947" s="78" t="s">
        <v>976</v>
      </c>
      <c r="D947" s="116" t="s">
        <v>977</v>
      </c>
      <c r="E947" s="116" t="s">
        <v>978</v>
      </c>
      <c r="F947" s="151">
        <v>45916</v>
      </c>
      <c r="G947" s="116" t="s">
        <v>979</v>
      </c>
      <c r="H947" s="116" t="s">
        <v>833</v>
      </c>
      <c r="I947" s="139">
        <v>1800</v>
      </c>
      <c r="J947" s="139">
        <v>0</v>
      </c>
      <c r="K947" s="139">
        <f t="shared" ref="K947:K950" si="67">I947-J947</f>
        <v>1800</v>
      </c>
      <c r="L947" s="139">
        <v>1800</v>
      </c>
      <c r="M947" s="139"/>
      <c r="N947" s="131">
        <f t="shared" si="64"/>
        <v>0</v>
      </c>
      <c r="O947" s="141" t="s">
        <v>156</v>
      </c>
      <c r="P947" s="141"/>
      <c r="Q947" s="89" t="s">
        <v>51</v>
      </c>
    </row>
    <row r="948" s="89" customFormat="1" spans="1:17">
      <c r="A948" s="122">
        <v>45901</v>
      </c>
      <c r="B948" s="116" t="s">
        <v>16</v>
      </c>
      <c r="C948" s="113" t="s">
        <v>980</v>
      </c>
      <c r="D948" s="116" t="s">
        <v>981</v>
      </c>
      <c r="E948" s="116" t="s">
        <v>982</v>
      </c>
      <c r="F948" s="151">
        <v>45916</v>
      </c>
      <c r="G948" s="116" t="s">
        <v>979</v>
      </c>
      <c r="H948" s="116" t="s">
        <v>833</v>
      </c>
      <c r="I948" s="139">
        <v>4800</v>
      </c>
      <c r="J948" s="139">
        <v>0</v>
      </c>
      <c r="K948" s="139">
        <f t="shared" si="67"/>
        <v>4800</v>
      </c>
      <c r="L948" s="139">
        <v>4800</v>
      </c>
      <c r="M948" s="139"/>
      <c r="N948" s="131">
        <f t="shared" si="64"/>
        <v>0</v>
      </c>
      <c r="O948" s="141" t="s">
        <v>342</v>
      </c>
      <c r="P948" s="141"/>
      <c r="Q948" s="89" t="s">
        <v>51</v>
      </c>
    </row>
    <row r="949" s="89" customFormat="1" spans="1:17">
      <c r="A949" s="122">
        <v>45901</v>
      </c>
      <c r="B949" s="116" t="s">
        <v>16</v>
      </c>
      <c r="C949" s="113" t="s">
        <v>983</v>
      </c>
      <c r="D949" s="116" t="s">
        <v>984</v>
      </c>
      <c r="E949" s="116" t="s">
        <v>985</v>
      </c>
      <c r="F949" s="151">
        <v>45916</v>
      </c>
      <c r="G949" s="116" t="s">
        <v>979</v>
      </c>
      <c r="H949" s="116" t="s">
        <v>833</v>
      </c>
      <c r="I949" s="139">
        <v>6000</v>
      </c>
      <c r="J949" s="139">
        <v>0</v>
      </c>
      <c r="K949" s="139">
        <f t="shared" si="67"/>
        <v>6000</v>
      </c>
      <c r="L949" s="139">
        <v>6000</v>
      </c>
      <c r="M949" s="139"/>
      <c r="N949" s="131">
        <f t="shared" si="64"/>
        <v>0</v>
      </c>
      <c r="O949" s="141" t="s">
        <v>342</v>
      </c>
      <c r="P949" s="141"/>
      <c r="Q949" s="89" t="s">
        <v>51</v>
      </c>
    </row>
    <row r="950" s="89" customFormat="1" spans="1:17">
      <c r="A950" s="122">
        <v>45901</v>
      </c>
      <c r="B950" s="116" t="s">
        <v>16</v>
      </c>
      <c r="C950" s="113" t="s">
        <v>986</v>
      </c>
      <c r="D950" s="116" t="s">
        <v>977</v>
      </c>
      <c r="E950" s="116" t="s">
        <v>978</v>
      </c>
      <c r="F950" s="151">
        <v>45916</v>
      </c>
      <c r="G950" s="116" t="s">
        <v>979</v>
      </c>
      <c r="H950" s="116" t="s">
        <v>833</v>
      </c>
      <c r="I950" s="139">
        <v>6000</v>
      </c>
      <c r="J950" s="139">
        <v>0</v>
      </c>
      <c r="K950" s="139">
        <f t="shared" si="67"/>
        <v>6000</v>
      </c>
      <c r="L950" s="139">
        <v>6000</v>
      </c>
      <c r="M950" s="139"/>
      <c r="N950" s="131">
        <f t="shared" si="64"/>
        <v>0</v>
      </c>
      <c r="O950" s="141" t="s">
        <v>156</v>
      </c>
      <c r="P950" s="141"/>
      <c r="Q950" s="89" t="s">
        <v>51</v>
      </c>
    </row>
    <row r="951" s="89" customFormat="1" spans="1:16">
      <c r="A951" s="122">
        <v>45901</v>
      </c>
      <c r="B951" s="116" t="s">
        <v>987</v>
      </c>
      <c r="C951" s="78" t="s">
        <v>988</v>
      </c>
      <c r="D951" s="116" t="s">
        <v>932</v>
      </c>
      <c r="E951" s="116" t="s">
        <v>989</v>
      </c>
      <c r="F951" s="151">
        <v>45906</v>
      </c>
      <c r="G951" s="116" t="s">
        <v>990</v>
      </c>
      <c r="H951" s="116" t="s">
        <v>833</v>
      </c>
      <c r="I951" s="139">
        <v>25920</v>
      </c>
      <c r="J951" s="139">
        <v>0</v>
      </c>
      <c r="K951" s="139">
        <v>25920</v>
      </c>
      <c r="L951" s="139">
        <v>25920</v>
      </c>
      <c r="M951" s="139"/>
      <c r="N951" s="131">
        <f t="shared" si="64"/>
        <v>0</v>
      </c>
      <c r="O951" s="141" t="s">
        <v>156</v>
      </c>
      <c r="P951" s="141"/>
    </row>
    <row r="952" s="86" customFormat="1" spans="1:16">
      <c r="A952" s="111">
        <v>45839</v>
      </c>
      <c r="B952" s="112" t="s">
        <v>285</v>
      </c>
      <c r="C952" s="113" t="s">
        <v>991</v>
      </c>
      <c r="D952" s="112" t="s">
        <v>307</v>
      </c>
      <c r="E952" s="112" t="s">
        <v>308</v>
      </c>
      <c r="F952" s="151">
        <v>45819</v>
      </c>
      <c r="G952" s="112" t="s">
        <v>46</v>
      </c>
      <c r="H952" s="116" t="s">
        <v>833</v>
      </c>
      <c r="I952" s="130">
        <v>1200</v>
      </c>
      <c r="J952" s="130">
        <v>0</v>
      </c>
      <c r="K952" s="130">
        <v>1200</v>
      </c>
      <c r="L952" s="130">
        <v>1200</v>
      </c>
      <c r="M952" s="130"/>
      <c r="N952" s="131">
        <f t="shared" si="64"/>
        <v>0</v>
      </c>
      <c r="O952" s="112" t="s">
        <v>309</v>
      </c>
      <c r="P952" s="112"/>
    </row>
    <row r="953" s="89" customFormat="1" spans="1:17">
      <c r="A953" s="122">
        <v>45901</v>
      </c>
      <c r="B953" s="116" t="s">
        <v>285</v>
      </c>
      <c r="C953" s="78" t="s">
        <v>991</v>
      </c>
      <c r="D953" s="116" t="s">
        <v>307</v>
      </c>
      <c r="E953" s="116" t="s">
        <v>308</v>
      </c>
      <c r="F953" s="151">
        <v>45911</v>
      </c>
      <c r="G953" s="116" t="s">
        <v>86</v>
      </c>
      <c r="H953" s="116" t="s">
        <v>833</v>
      </c>
      <c r="I953" s="139">
        <v>1200</v>
      </c>
      <c r="J953" s="139">
        <v>0</v>
      </c>
      <c r="K953" s="139">
        <v>1200</v>
      </c>
      <c r="L953" s="156">
        <f>300+900</f>
        <v>1200</v>
      </c>
      <c r="M953" s="139"/>
      <c r="N953" s="131">
        <f t="shared" si="64"/>
        <v>0</v>
      </c>
      <c r="O953" s="141" t="s">
        <v>992</v>
      </c>
      <c r="P953" s="141"/>
      <c r="Q953" s="89" t="s">
        <v>51</v>
      </c>
    </row>
    <row r="954" s="86" customFormat="1" spans="1:16">
      <c r="A954" s="111">
        <v>45839</v>
      </c>
      <c r="B954" s="112" t="s">
        <v>491</v>
      </c>
      <c r="C954" s="113" t="s">
        <v>993</v>
      </c>
      <c r="D954" s="112" t="s">
        <v>607</v>
      </c>
      <c r="E954" s="112" t="s">
        <v>994</v>
      </c>
      <c r="F954" s="151">
        <v>45822</v>
      </c>
      <c r="G954" s="112" t="s">
        <v>995</v>
      </c>
      <c r="H954" s="116" t="s">
        <v>833</v>
      </c>
      <c r="I954" s="130">
        <v>10017</v>
      </c>
      <c r="J954" s="130">
        <v>0</v>
      </c>
      <c r="K954" s="130">
        <v>10017</v>
      </c>
      <c r="L954" s="130">
        <v>10017</v>
      </c>
      <c r="M954" s="130"/>
      <c r="N954" s="131">
        <f t="shared" si="64"/>
        <v>0</v>
      </c>
      <c r="O954" s="112" t="s">
        <v>314</v>
      </c>
      <c r="P954" s="112"/>
    </row>
    <row r="955" s="89" customFormat="1" spans="1:16">
      <c r="A955" s="122">
        <v>45901</v>
      </c>
      <c r="B955" s="116" t="s">
        <v>491</v>
      </c>
      <c r="C955" s="78" t="s">
        <v>993</v>
      </c>
      <c r="D955" s="116" t="s">
        <v>607</v>
      </c>
      <c r="E955" s="116" t="s">
        <v>994</v>
      </c>
      <c r="F955" s="151">
        <v>45914</v>
      </c>
      <c r="G955" s="116" t="s">
        <v>996</v>
      </c>
      <c r="H955" s="116" t="s">
        <v>833</v>
      </c>
      <c r="I955" s="139">
        <v>10017</v>
      </c>
      <c r="J955" s="139">
        <v>0</v>
      </c>
      <c r="K955" s="139">
        <f t="shared" ref="K955:K960" si="68">I955-J955</f>
        <v>10017</v>
      </c>
      <c r="L955" s="139">
        <v>10017</v>
      </c>
      <c r="M955" s="139"/>
      <c r="N955" s="131">
        <f t="shared" si="64"/>
        <v>0</v>
      </c>
      <c r="O955" s="141" t="s">
        <v>201</v>
      </c>
      <c r="P955" s="141"/>
    </row>
    <row r="956" s="88" customFormat="1" spans="1:16">
      <c r="A956" s="118">
        <v>45931</v>
      </c>
      <c r="B956" s="112" t="s">
        <v>491</v>
      </c>
      <c r="C956" s="119" t="s">
        <v>997</v>
      </c>
      <c r="D956" s="114" t="s">
        <v>998</v>
      </c>
      <c r="E956" s="114" t="s">
        <v>895</v>
      </c>
      <c r="F956" s="151">
        <v>45940</v>
      </c>
      <c r="G956" s="114" t="s">
        <v>41</v>
      </c>
      <c r="H956" s="116" t="s">
        <v>833</v>
      </c>
      <c r="I956" s="131">
        <v>1200</v>
      </c>
      <c r="J956" s="131"/>
      <c r="K956" s="136">
        <v>1200</v>
      </c>
      <c r="L956" s="136">
        <v>1200</v>
      </c>
      <c r="M956" s="136"/>
      <c r="N956" s="131">
        <f t="shared" si="64"/>
        <v>0</v>
      </c>
      <c r="O956" s="114" t="s">
        <v>999</v>
      </c>
      <c r="P956" s="138"/>
    </row>
    <row r="957" s="88" customFormat="1" spans="1:16">
      <c r="A957" s="118">
        <v>45931</v>
      </c>
      <c r="B957" s="112" t="s">
        <v>491</v>
      </c>
      <c r="C957" s="119" t="s">
        <v>997</v>
      </c>
      <c r="D957" s="114" t="s">
        <v>998</v>
      </c>
      <c r="E957" s="114" t="s">
        <v>895</v>
      </c>
      <c r="F957" s="151">
        <v>45940</v>
      </c>
      <c r="G957" s="114" t="s">
        <v>42</v>
      </c>
      <c r="H957" s="116" t="s">
        <v>833</v>
      </c>
      <c r="I957" s="131">
        <v>1200</v>
      </c>
      <c r="J957" s="131"/>
      <c r="K957" s="136">
        <v>1200</v>
      </c>
      <c r="L957" s="136">
        <v>1200</v>
      </c>
      <c r="M957" s="136"/>
      <c r="N957" s="131">
        <f t="shared" si="64"/>
        <v>0</v>
      </c>
      <c r="O957" s="114" t="s">
        <v>999</v>
      </c>
      <c r="P957" s="138"/>
    </row>
    <row r="958" s="88" customFormat="1" spans="1:16">
      <c r="A958" s="118">
        <v>45931</v>
      </c>
      <c r="B958" s="112" t="s">
        <v>491</v>
      </c>
      <c r="C958" s="119" t="s">
        <v>997</v>
      </c>
      <c r="D958" s="114" t="s">
        <v>998</v>
      </c>
      <c r="E958" s="114" t="s">
        <v>895</v>
      </c>
      <c r="F958" s="151">
        <v>45940</v>
      </c>
      <c r="G958" s="114" t="s">
        <v>1000</v>
      </c>
      <c r="H958" s="116" t="s">
        <v>833</v>
      </c>
      <c r="I958" s="131">
        <v>1200</v>
      </c>
      <c r="J958" s="131"/>
      <c r="K958" s="136">
        <v>1200</v>
      </c>
      <c r="L958" s="136">
        <v>1200</v>
      </c>
      <c r="M958" s="136"/>
      <c r="N958" s="131">
        <f t="shared" si="64"/>
        <v>0</v>
      </c>
      <c r="O958" s="114" t="s">
        <v>999</v>
      </c>
      <c r="P958" s="138"/>
    </row>
    <row r="959" s="86" customFormat="1" spans="1:16">
      <c r="A959" s="111">
        <v>45839</v>
      </c>
      <c r="B959" s="112" t="s">
        <v>491</v>
      </c>
      <c r="C959" s="256" t="s">
        <v>997</v>
      </c>
      <c r="D959" s="112" t="s">
        <v>998</v>
      </c>
      <c r="E959" s="112" t="s">
        <v>895</v>
      </c>
      <c r="F959" s="151">
        <v>45848</v>
      </c>
      <c r="G959" s="112" t="s">
        <v>1001</v>
      </c>
      <c r="H959" s="116" t="s">
        <v>833</v>
      </c>
      <c r="I959" s="130">
        <v>3600</v>
      </c>
      <c r="J959" s="130">
        <v>0</v>
      </c>
      <c r="K959" s="130">
        <f t="shared" si="68"/>
        <v>3600</v>
      </c>
      <c r="L959" s="130">
        <v>3600</v>
      </c>
      <c r="M959" s="130"/>
      <c r="N959" s="131">
        <f t="shared" si="64"/>
        <v>0</v>
      </c>
      <c r="O959" s="112" t="s">
        <v>1002</v>
      </c>
      <c r="P959" s="112"/>
    </row>
    <row r="960" s="86" customFormat="1" spans="1:16">
      <c r="A960" s="111">
        <v>45901</v>
      </c>
      <c r="B960" s="113" t="s">
        <v>491</v>
      </c>
      <c r="C960" s="113" t="s">
        <v>1003</v>
      </c>
      <c r="D960" s="112" t="s">
        <v>1004</v>
      </c>
      <c r="E960" s="112" t="s">
        <v>1005</v>
      </c>
      <c r="F960" s="151">
        <v>45915</v>
      </c>
      <c r="G960" s="112" t="s">
        <v>241</v>
      </c>
      <c r="H960" s="116" t="s">
        <v>833</v>
      </c>
      <c r="I960" s="159">
        <v>7500</v>
      </c>
      <c r="J960" s="133">
        <v>0</v>
      </c>
      <c r="K960" s="133">
        <f t="shared" si="68"/>
        <v>7500</v>
      </c>
      <c r="L960" s="133">
        <f>3000+4500</f>
        <v>7500</v>
      </c>
      <c r="M960" s="133"/>
      <c r="N960" s="131">
        <f t="shared" si="64"/>
        <v>0</v>
      </c>
      <c r="O960" s="112" t="s">
        <v>1006</v>
      </c>
      <c r="P960" s="112" t="s">
        <v>249</v>
      </c>
    </row>
    <row r="961" s="88" customFormat="1" spans="1:16">
      <c r="A961" s="118">
        <v>45931</v>
      </c>
      <c r="B961" s="138"/>
      <c r="C961" s="119" t="s">
        <v>1003</v>
      </c>
      <c r="D961" s="114" t="s">
        <v>1004</v>
      </c>
      <c r="E961" s="114" t="s">
        <v>1005</v>
      </c>
      <c r="F961" s="151">
        <v>45946</v>
      </c>
      <c r="G961" s="114" t="s">
        <v>98</v>
      </c>
      <c r="H961" s="116" t="s">
        <v>833</v>
      </c>
      <c r="I961" s="131">
        <v>2500</v>
      </c>
      <c r="J961" s="131"/>
      <c r="K961" s="136">
        <v>2500</v>
      </c>
      <c r="L961" s="136">
        <v>2500</v>
      </c>
      <c r="M961" s="136"/>
      <c r="N961" s="131">
        <f t="shared" si="64"/>
        <v>0</v>
      </c>
      <c r="O961" s="114" t="s">
        <v>863</v>
      </c>
      <c r="P961" s="138"/>
    </row>
    <row r="962" s="88" customFormat="1" spans="1:16">
      <c r="A962" s="118">
        <v>45931</v>
      </c>
      <c r="B962" s="138"/>
      <c r="C962" s="119" t="s">
        <v>1003</v>
      </c>
      <c r="D962" s="114" t="s">
        <v>1004</v>
      </c>
      <c r="E962" s="114" t="s">
        <v>1005</v>
      </c>
      <c r="F962" s="151">
        <v>45946</v>
      </c>
      <c r="G962" s="114" t="s">
        <v>26</v>
      </c>
      <c r="H962" s="116" t="s">
        <v>833</v>
      </c>
      <c r="I962" s="131">
        <v>2500</v>
      </c>
      <c r="J962" s="131"/>
      <c r="K962" s="136">
        <v>2500</v>
      </c>
      <c r="L962" s="136">
        <v>2500</v>
      </c>
      <c r="M962" s="136"/>
      <c r="N962" s="131">
        <f t="shared" si="64"/>
        <v>0</v>
      </c>
      <c r="O962" s="114" t="s">
        <v>863</v>
      </c>
      <c r="P962" s="138"/>
    </row>
    <row r="963" s="88" customFormat="1" spans="1:16">
      <c r="A963" s="118">
        <v>45931</v>
      </c>
      <c r="B963" s="138"/>
      <c r="C963" s="119" t="s">
        <v>1003</v>
      </c>
      <c r="D963" s="114" t="s">
        <v>1004</v>
      </c>
      <c r="E963" s="114" t="s">
        <v>1005</v>
      </c>
      <c r="F963" s="151">
        <v>45946</v>
      </c>
      <c r="G963" s="114" t="s">
        <v>28</v>
      </c>
      <c r="H963" s="116" t="s">
        <v>833</v>
      </c>
      <c r="I963" s="131">
        <v>2500</v>
      </c>
      <c r="J963" s="131"/>
      <c r="K963" s="136">
        <v>2500</v>
      </c>
      <c r="L963" s="136">
        <v>2500</v>
      </c>
      <c r="M963" s="136"/>
      <c r="N963" s="131">
        <f t="shared" ref="N963:N1026" si="69">K963-L963</f>
        <v>0</v>
      </c>
      <c r="O963" s="114" t="s">
        <v>863</v>
      </c>
      <c r="P963" s="138"/>
    </row>
    <row r="964" s="86" customFormat="1" spans="1:16">
      <c r="A964" s="111">
        <v>45839</v>
      </c>
      <c r="B964" s="112" t="s">
        <v>491</v>
      </c>
      <c r="C964" s="113" t="s">
        <v>1007</v>
      </c>
      <c r="D964" s="112" t="s">
        <v>550</v>
      </c>
      <c r="E964" s="112" t="s">
        <v>551</v>
      </c>
      <c r="F964" s="151">
        <v>45832</v>
      </c>
      <c r="G964" s="112" t="s">
        <v>1008</v>
      </c>
      <c r="H964" s="116" t="s">
        <v>833</v>
      </c>
      <c r="I964" s="130">
        <v>6000</v>
      </c>
      <c r="J964" s="130">
        <v>0</v>
      </c>
      <c r="K964" s="130">
        <v>6000</v>
      </c>
      <c r="L964" s="130">
        <v>6000</v>
      </c>
      <c r="M964" s="130"/>
      <c r="N964" s="131">
        <f t="shared" si="69"/>
        <v>0</v>
      </c>
      <c r="O964" s="112" t="s">
        <v>271</v>
      </c>
      <c r="P964" s="112"/>
    </row>
    <row r="965" s="92" customFormat="1" spans="1:17">
      <c r="A965" s="122">
        <v>45901</v>
      </c>
      <c r="B965" s="116" t="s">
        <v>491</v>
      </c>
      <c r="C965" s="78" t="s">
        <v>1007</v>
      </c>
      <c r="D965" s="116" t="s">
        <v>550</v>
      </c>
      <c r="E965" s="116" t="s">
        <v>551</v>
      </c>
      <c r="F965" s="151">
        <v>45924</v>
      </c>
      <c r="G965" s="116" t="s">
        <v>1009</v>
      </c>
      <c r="H965" s="116" t="s">
        <v>833</v>
      </c>
      <c r="I965" s="139">
        <v>6000</v>
      </c>
      <c r="J965" s="139">
        <v>0</v>
      </c>
      <c r="K965" s="139">
        <f t="shared" ref="K965:K975" si="70">I965-J965</f>
        <v>6000</v>
      </c>
      <c r="L965" s="139">
        <v>6000</v>
      </c>
      <c r="M965" s="139"/>
      <c r="N965" s="131">
        <f t="shared" si="69"/>
        <v>0</v>
      </c>
      <c r="O965" s="141" t="s">
        <v>201</v>
      </c>
      <c r="P965" s="141"/>
      <c r="Q965" s="92" t="s">
        <v>51</v>
      </c>
    </row>
    <row r="966" s="92" customFormat="1" spans="1:16">
      <c r="A966" s="122">
        <v>45901</v>
      </c>
      <c r="B966" s="141" t="s">
        <v>630</v>
      </c>
      <c r="C966" s="165" t="s">
        <v>920</v>
      </c>
      <c r="D966" s="141" t="s">
        <v>921</v>
      </c>
      <c r="E966" s="141" t="s">
        <v>922</v>
      </c>
      <c r="F966" s="151">
        <v>45930</v>
      </c>
      <c r="G966" s="141" t="s">
        <v>241</v>
      </c>
      <c r="H966" s="116" t="s">
        <v>833</v>
      </c>
      <c r="I966" s="189">
        <v>18819</v>
      </c>
      <c r="J966" s="154">
        <v>0</v>
      </c>
      <c r="K966" s="189">
        <v>18819</v>
      </c>
      <c r="L966" s="154">
        <f>18000+819</f>
        <v>18819</v>
      </c>
      <c r="M966" s="154"/>
      <c r="N966" s="131">
        <f t="shared" si="69"/>
        <v>0</v>
      </c>
      <c r="O966" s="141" t="s">
        <v>1010</v>
      </c>
      <c r="P966" s="167" t="s">
        <v>167</v>
      </c>
    </row>
    <row r="967" s="86" customFormat="1" spans="1:16">
      <c r="A967" s="111">
        <v>45839</v>
      </c>
      <c r="B967" s="112" t="s">
        <v>854</v>
      </c>
      <c r="C967" s="113" t="s">
        <v>1011</v>
      </c>
      <c r="D967" s="112" t="s">
        <v>1012</v>
      </c>
      <c r="E967" s="112" t="s">
        <v>1013</v>
      </c>
      <c r="F967" s="151">
        <v>45869</v>
      </c>
      <c r="G967" s="112" t="s">
        <v>1014</v>
      </c>
      <c r="H967" s="116" t="s">
        <v>833</v>
      </c>
      <c r="I967" s="130">
        <v>52000</v>
      </c>
      <c r="J967" s="130">
        <v>0</v>
      </c>
      <c r="K967" s="130">
        <f t="shared" si="70"/>
        <v>52000</v>
      </c>
      <c r="L967" s="130">
        <v>52000</v>
      </c>
      <c r="M967" s="130"/>
      <c r="N967" s="131">
        <f t="shared" si="69"/>
        <v>0</v>
      </c>
      <c r="O967" s="166" t="s">
        <v>975</v>
      </c>
      <c r="P967" s="112"/>
    </row>
    <row r="968" s="99" customFormat="1" spans="1:16">
      <c r="A968" s="122">
        <v>45901</v>
      </c>
      <c r="B968" s="135" t="s">
        <v>854</v>
      </c>
      <c r="C968" s="256" t="s">
        <v>1011</v>
      </c>
      <c r="D968" s="135" t="s">
        <v>1012</v>
      </c>
      <c r="E968" s="135" t="s">
        <v>1013</v>
      </c>
      <c r="F968" s="151">
        <v>45930</v>
      </c>
      <c r="G968" s="135" t="s">
        <v>1015</v>
      </c>
      <c r="H968" s="116" t="s">
        <v>833</v>
      </c>
      <c r="I968" s="252">
        <v>26000</v>
      </c>
      <c r="J968" s="139">
        <v>0</v>
      </c>
      <c r="K968" s="252">
        <f t="shared" si="70"/>
        <v>26000</v>
      </c>
      <c r="L968" s="139">
        <v>26000</v>
      </c>
      <c r="M968" s="139"/>
      <c r="N968" s="131">
        <f t="shared" si="69"/>
        <v>0</v>
      </c>
      <c r="O968" s="143" t="s">
        <v>220</v>
      </c>
      <c r="P968" s="135"/>
    </row>
    <row r="969" s="99" customFormat="1" spans="1:16">
      <c r="A969" s="122">
        <v>45992</v>
      </c>
      <c r="B969" s="135" t="s">
        <v>16</v>
      </c>
      <c r="C969" s="256" t="s">
        <v>1016</v>
      </c>
      <c r="D969" s="135" t="s">
        <v>18</v>
      </c>
      <c r="E969" s="135" t="s">
        <v>19</v>
      </c>
      <c r="F969" s="151">
        <v>46007</v>
      </c>
      <c r="G969" s="135" t="s">
        <v>1017</v>
      </c>
      <c r="H969" s="116" t="s">
        <v>23</v>
      </c>
      <c r="I969" s="252">
        <v>9780</v>
      </c>
      <c r="J969" s="139">
        <v>0</v>
      </c>
      <c r="K969" s="252">
        <f t="shared" si="70"/>
        <v>9780</v>
      </c>
      <c r="L969" s="139">
        <v>9780</v>
      </c>
      <c r="M969" s="139"/>
      <c r="N969" s="131">
        <f t="shared" si="69"/>
        <v>0</v>
      </c>
      <c r="O969" s="143" t="s">
        <v>1018</v>
      </c>
      <c r="P969" s="135"/>
    </row>
    <row r="970" s="99" customFormat="1" spans="1:16">
      <c r="A970" s="122">
        <v>45992</v>
      </c>
      <c r="B970" s="135" t="s">
        <v>16</v>
      </c>
      <c r="C970" s="256" t="s">
        <v>1016</v>
      </c>
      <c r="D970" s="135" t="s">
        <v>18</v>
      </c>
      <c r="E970" s="135" t="s">
        <v>19</v>
      </c>
      <c r="F970" s="151">
        <v>46007</v>
      </c>
      <c r="G970" s="135" t="s">
        <v>1017</v>
      </c>
      <c r="H970" s="116" t="s">
        <v>21</v>
      </c>
      <c r="I970" s="252">
        <v>10758</v>
      </c>
      <c r="J970" s="139">
        <v>0</v>
      </c>
      <c r="K970" s="252">
        <f t="shared" si="70"/>
        <v>10758</v>
      </c>
      <c r="L970" s="139">
        <v>10758</v>
      </c>
      <c r="M970" s="139"/>
      <c r="N970" s="131">
        <f t="shared" si="69"/>
        <v>0</v>
      </c>
      <c r="O970" s="143" t="s">
        <v>1018</v>
      </c>
      <c r="P970" s="135"/>
    </row>
    <row r="971" s="99" customFormat="1" spans="1:16">
      <c r="A971" s="122">
        <v>45992</v>
      </c>
      <c r="B971" s="135" t="s">
        <v>16</v>
      </c>
      <c r="C971" s="256" t="s">
        <v>52</v>
      </c>
      <c r="D971" s="135" t="s">
        <v>53</v>
      </c>
      <c r="E971" s="135" t="s">
        <v>54</v>
      </c>
      <c r="F971" s="151">
        <v>46007</v>
      </c>
      <c r="G971" s="135" t="s">
        <v>98</v>
      </c>
      <c r="H971" s="116" t="s">
        <v>23</v>
      </c>
      <c r="I971" s="252">
        <v>7315</v>
      </c>
      <c r="J971" s="139">
        <v>0</v>
      </c>
      <c r="K971" s="252">
        <f t="shared" si="70"/>
        <v>7315</v>
      </c>
      <c r="L971" s="252">
        <v>7315</v>
      </c>
      <c r="M971" s="252"/>
      <c r="N971" s="131">
        <f t="shared" si="69"/>
        <v>0</v>
      </c>
      <c r="O971" s="143" t="s">
        <v>263</v>
      </c>
      <c r="P971" s="135"/>
    </row>
    <row r="972" s="99" customFormat="1" spans="1:16">
      <c r="A972" s="122">
        <v>45992</v>
      </c>
      <c r="B972" s="135" t="s">
        <v>16</v>
      </c>
      <c r="C972" s="256" t="s">
        <v>52</v>
      </c>
      <c r="D972" s="135" t="s">
        <v>53</v>
      </c>
      <c r="E972" s="135" t="s">
        <v>54</v>
      </c>
      <c r="F972" s="151">
        <v>46007</v>
      </c>
      <c r="G972" s="135" t="s">
        <v>98</v>
      </c>
      <c r="H972" s="116" t="s">
        <v>21</v>
      </c>
      <c r="I972" s="252">
        <v>8360</v>
      </c>
      <c r="J972" s="139">
        <v>0</v>
      </c>
      <c r="K972" s="252">
        <f t="shared" si="70"/>
        <v>8360</v>
      </c>
      <c r="L972" s="252">
        <v>8360</v>
      </c>
      <c r="M972" s="252"/>
      <c r="N972" s="131">
        <f t="shared" si="69"/>
        <v>0</v>
      </c>
      <c r="O972" s="143" t="s">
        <v>263</v>
      </c>
      <c r="P972" s="135"/>
    </row>
    <row r="973" s="99" customFormat="1" spans="1:16">
      <c r="A973" s="122">
        <v>45992</v>
      </c>
      <c r="B973" s="135" t="s">
        <v>16</v>
      </c>
      <c r="C973" s="256" t="s">
        <v>77</v>
      </c>
      <c r="D973" s="135" t="s">
        <v>78</v>
      </c>
      <c r="E973" s="135" t="s">
        <v>79</v>
      </c>
      <c r="F973" s="151">
        <v>46007</v>
      </c>
      <c r="G973" s="135" t="s">
        <v>1019</v>
      </c>
      <c r="H973" s="116" t="s">
        <v>23</v>
      </c>
      <c r="I973" s="252">
        <v>8745</v>
      </c>
      <c r="J973" s="139"/>
      <c r="K973" s="252">
        <f t="shared" si="70"/>
        <v>8745</v>
      </c>
      <c r="L973" s="139">
        <f>4828.54+3916.46</f>
        <v>8745</v>
      </c>
      <c r="M973" s="139"/>
      <c r="N973" s="131">
        <f t="shared" si="69"/>
        <v>0</v>
      </c>
      <c r="O973" s="143" t="s">
        <v>1020</v>
      </c>
      <c r="P973" s="135"/>
    </row>
    <row r="974" s="99" customFormat="1" spans="1:16">
      <c r="A974" s="122">
        <v>45992</v>
      </c>
      <c r="B974" s="135" t="s">
        <v>16</v>
      </c>
      <c r="C974" s="256" t="s">
        <v>77</v>
      </c>
      <c r="D974" s="135" t="s">
        <v>78</v>
      </c>
      <c r="E974" s="135" t="s">
        <v>79</v>
      </c>
      <c r="F974" s="151">
        <v>46007</v>
      </c>
      <c r="G974" s="135" t="s">
        <v>1019</v>
      </c>
      <c r="H974" s="116" t="s">
        <v>21</v>
      </c>
      <c r="I974" s="252">
        <v>16332.48</v>
      </c>
      <c r="J974" s="139">
        <v>9000</v>
      </c>
      <c r="K974" s="252">
        <f t="shared" si="70"/>
        <v>7332.48</v>
      </c>
      <c r="L974" s="139">
        <v>7332.48</v>
      </c>
      <c r="M974" s="139"/>
      <c r="N974" s="131">
        <f t="shared" si="69"/>
        <v>0</v>
      </c>
      <c r="O974" s="143" t="s">
        <v>85</v>
      </c>
      <c r="P974" s="135"/>
    </row>
    <row r="975" s="99" customFormat="1" spans="1:16">
      <c r="A975" s="122">
        <v>45992</v>
      </c>
      <c r="B975" s="135" t="s">
        <v>16</v>
      </c>
      <c r="C975" s="256" t="s">
        <v>99</v>
      </c>
      <c r="D975" s="135" t="s">
        <v>100</v>
      </c>
      <c r="E975" s="135" t="s">
        <v>101</v>
      </c>
      <c r="F975" s="151">
        <v>46007</v>
      </c>
      <c r="G975" s="135" t="s">
        <v>28</v>
      </c>
      <c r="H975" s="116" t="s">
        <v>23</v>
      </c>
      <c r="I975" s="252">
        <v>2860</v>
      </c>
      <c r="J975" s="139">
        <v>0</v>
      </c>
      <c r="K975" s="252">
        <f t="shared" si="70"/>
        <v>2860</v>
      </c>
      <c r="L975" s="139">
        <v>2860</v>
      </c>
      <c r="M975" s="139"/>
      <c r="N975" s="131">
        <f t="shared" si="69"/>
        <v>0</v>
      </c>
      <c r="O975" s="143" t="s">
        <v>171</v>
      </c>
      <c r="P975" s="135"/>
    </row>
    <row r="976" s="99" customFormat="1" spans="1:16">
      <c r="A976" s="122">
        <v>45992</v>
      </c>
      <c r="B976" s="135" t="s">
        <v>16</v>
      </c>
      <c r="C976" s="256" t="s">
        <v>99</v>
      </c>
      <c r="D976" s="135" t="s">
        <v>100</v>
      </c>
      <c r="E976" s="135" t="s">
        <v>101</v>
      </c>
      <c r="F976" s="151">
        <v>46007</v>
      </c>
      <c r="G976" s="135" t="s">
        <v>28</v>
      </c>
      <c r="H976" s="116" t="s">
        <v>21</v>
      </c>
      <c r="I976" s="252">
        <v>23664.8</v>
      </c>
      <c r="J976" s="139">
        <v>0</v>
      </c>
      <c r="K976" s="252">
        <v>23664.8</v>
      </c>
      <c r="L976" s="139">
        <v>23664.8</v>
      </c>
      <c r="M976" s="139"/>
      <c r="N976" s="131">
        <f t="shared" si="69"/>
        <v>0</v>
      </c>
      <c r="O976" s="143" t="s">
        <v>171</v>
      </c>
      <c r="P976" s="135"/>
    </row>
    <row r="977" s="99" customFormat="1" spans="1:16">
      <c r="A977" s="122">
        <v>45992</v>
      </c>
      <c r="B977" s="135" t="s">
        <v>16</v>
      </c>
      <c r="C977" s="256" t="s">
        <v>112</v>
      </c>
      <c r="D977" s="135" t="s">
        <v>113</v>
      </c>
      <c r="E977" s="135" t="s">
        <v>114</v>
      </c>
      <c r="F977" s="151">
        <v>46007</v>
      </c>
      <c r="G977" s="135" t="s">
        <v>26</v>
      </c>
      <c r="H977" s="116" t="s">
        <v>23</v>
      </c>
      <c r="I977" s="252">
        <v>2760</v>
      </c>
      <c r="J977" s="139">
        <v>0</v>
      </c>
      <c r="K977" s="252">
        <f t="shared" ref="K977:K982" si="71">I977-J977</f>
        <v>2760</v>
      </c>
      <c r="L977" s="139">
        <v>2760</v>
      </c>
      <c r="M977" s="139"/>
      <c r="N977" s="131">
        <f t="shared" si="69"/>
        <v>0</v>
      </c>
      <c r="O977" s="143" t="s">
        <v>1021</v>
      </c>
      <c r="P977" s="135"/>
    </row>
    <row r="978" s="99" customFormat="1" spans="1:16">
      <c r="A978" s="122">
        <v>45992</v>
      </c>
      <c r="B978" s="135" t="s">
        <v>16</v>
      </c>
      <c r="C978" s="256" t="s">
        <v>112</v>
      </c>
      <c r="D978" s="135" t="s">
        <v>113</v>
      </c>
      <c r="E978" s="135" t="s">
        <v>114</v>
      </c>
      <c r="F978" s="151">
        <v>46007</v>
      </c>
      <c r="G978" s="135" t="s">
        <v>28</v>
      </c>
      <c r="H978" s="116" t="s">
        <v>21</v>
      </c>
      <c r="I978" s="252">
        <v>24702.88</v>
      </c>
      <c r="J978" s="139">
        <v>0</v>
      </c>
      <c r="K978" s="252">
        <f t="shared" si="71"/>
        <v>24702.88</v>
      </c>
      <c r="L978" s="139">
        <v>24702.88</v>
      </c>
      <c r="M978" s="139"/>
      <c r="N978" s="131">
        <f t="shared" si="69"/>
        <v>0</v>
      </c>
      <c r="O978" s="143" t="s">
        <v>1021</v>
      </c>
      <c r="P978" s="135"/>
    </row>
    <row r="979" s="99" customFormat="1" spans="1:16">
      <c r="A979" s="122">
        <v>45992</v>
      </c>
      <c r="B979" s="135" t="s">
        <v>16</v>
      </c>
      <c r="C979" s="256" t="s">
        <v>118</v>
      </c>
      <c r="D979" s="135" t="s">
        <v>119</v>
      </c>
      <c r="E979" s="135" t="s">
        <v>120</v>
      </c>
      <c r="F979" s="151">
        <v>46007</v>
      </c>
      <c r="G979" s="135" t="s">
        <v>1019</v>
      </c>
      <c r="H979" s="116" t="s">
        <v>23</v>
      </c>
      <c r="I979" s="252">
        <v>9735</v>
      </c>
      <c r="J979" s="139">
        <v>0</v>
      </c>
      <c r="K979" s="252">
        <f t="shared" si="71"/>
        <v>9735</v>
      </c>
      <c r="L979" s="139">
        <v>9735</v>
      </c>
      <c r="M979" s="139"/>
      <c r="N979" s="131">
        <f t="shared" si="69"/>
        <v>0</v>
      </c>
      <c r="O979" s="143" t="s">
        <v>1022</v>
      </c>
      <c r="P979" s="135"/>
    </row>
    <row r="980" s="99" customFormat="1" spans="1:16">
      <c r="A980" s="122">
        <v>45992</v>
      </c>
      <c r="B980" s="135" t="s">
        <v>16</v>
      </c>
      <c r="C980" s="256" t="s">
        <v>118</v>
      </c>
      <c r="D980" s="135" t="s">
        <v>119</v>
      </c>
      <c r="E980" s="135" t="s">
        <v>120</v>
      </c>
      <c r="F980" s="151">
        <v>46007</v>
      </c>
      <c r="G980" s="135" t="s">
        <v>1019</v>
      </c>
      <c r="H980" s="116" t="s">
        <v>21</v>
      </c>
      <c r="I980" s="252">
        <v>39029</v>
      </c>
      <c r="J980" s="139">
        <v>0</v>
      </c>
      <c r="K980" s="252">
        <f t="shared" si="71"/>
        <v>39029</v>
      </c>
      <c r="L980" s="139">
        <v>39029</v>
      </c>
      <c r="M980" s="139"/>
      <c r="N980" s="131">
        <f t="shared" si="69"/>
        <v>0</v>
      </c>
      <c r="O980" s="143" t="s">
        <v>1022</v>
      </c>
      <c r="P980" s="135"/>
    </row>
    <row r="981" s="99" customFormat="1" spans="1:16">
      <c r="A981" s="122">
        <v>45992</v>
      </c>
      <c r="B981" s="135" t="s">
        <v>16</v>
      </c>
      <c r="C981" s="256" t="s">
        <v>124</v>
      </c>
      <c r="D981" s="135" t="s">
        <v>125</v>
      </c>
      <c r="E981" s="135" t="s">
        <v>126</v>
      </c>
      <c r="F981" s="151">
        <v>46007</v>
      </c>
      <c r="G981" s="135" t="s">
        <v>1023</v>
      </c>
      <c r="H981" s="116" t="s">
        <v>23</v>
      </c>
      <c r="I981" s="252">
        <v>5715.18</v>
      </c>
      <c r="J981" s="139">
        <v>0</v>
      </c>
      <c r="K981" s="252">
        <f t="shared" si="71"/>
        <v>5715.18</v>
      </c>
      <c r="L981" s="139">
        <v>5715.18</v>
      </c>
      <c r="M981" s="139"/>
      <c r="N981" s="131">
        <f t="shared" si="69"/>
        <v>0</v>
      </c>
      <c r="O981" s="143" t="s">
        <v>1024</v>
      </c>
      <c r="P981" s="135"/>
    </row>
    <row r="982" s="99" customFormat="1" spans="1:16">
      <c r="A982" s="122">
        <v>45992</v>
      </c>
      <c r="B982" s="135" t="s">
        <v>16</v>
      </c>
      <c r="C982" s="256" t="s">
        <v>124</v>
      </c>
      <c r="D982" s="135" t="s">
        <v>125</v>
      </c>
      <c r="E982" s="135" t="s">
        <v>126</v>
      </c>
      <c r="F982" s="151">
        <v>46007</v>
      </c>
      <c r="G982" s="135" t="s">
        <v>1023</v>
      </c>
      <c r="H982" s="116" t="s">
        <v>21</v>
      </c>
      <c r="I982" s="252">
        <v>36888.88</v>
      </c>
      <c r="J982" s="139">
        <v>0</v>
      </c>
      <c r="K982" s="252">
        <f t="shared" si="71"/>
        <v>36888.88</v>
      </c>
      <c r="L982" s="139">
        <v>36888.88</v>
      </c>
      <c r="M982" s="139"/>
      <c r="N982" s="131">
        <f t="shared" si="69"/>
        <v>0</v>
      </c>
      <c r="O982" s="143" t="s">
        <v>1024</v>
      </c>
      <c r="P982" s="135"/>
    </row>
    <row r="983" s="100" customFormat="1" spans="1:16">
      <c r="A983" s="145">
        <v>45992</v>
      </c>
      <c r="B983" s="192" t="s">
        <v>16</v>
      </c>
      <c r="C983" s="257" t="s">
        <v>1025</v>
      </c>
      <c r="D983" s="192" t="s">
        <v>131</v>
      </c>
      <c r="E983" s="192" t="s">
        <v>132</v>
      </c>
      <c r="F983" s="151">
        <v>46007</v>
      </c>
      <c r="G983" s="192" t="s">
        <v>1026</v>
      </c>
      <c r="H983" s="146" t="s">
        <v>23</v>
      </c>
      <c r="I983" s="252">
        <v>1410.41</v>
      </c>
      <c r="J983" s="139">
        <v>0</v>
      </c>
      <c r="K983" s="260">
        <v>1410.41</v>
      </c>
      <c r="L983" s="156">
        <v>1410.41</v>
      </c>
      <c r="M983" s="156"/>
      <c r="N983" s="131">
        <f t="shared" si="69"/>
        <v>0</v>
      </c>
      <c r="O983" s="157" t="s">
        <v>137</v>
      </c>
      <c r="P983" s="192"/>
    </row>
    <row r="984" s="100" customFormat="1" spans="1:16">
      <c r="A984" s="145">
        <v>45992</v>
      </c>
      <c r="B984" s="192" t="s">
        <v>16</v>
      </c>
      <c r="C984" s="257" t="s">
        <v>1025</v>
      </c>
      <c r="D984" s="192" t="s">
        <v>131</v>
      </c>
      <c r="E984" s="192" t="s">
        <v>132</v>
      </c>
      <c r="F984" s="151">
        <v>46007</v>
      </c>
      <c r="G984" s="192" t="s">
        <v>1026</v>
      </c>
      <c r="H984" s="146" t="s">
        <v>21</v>
      </c>
      <c r="I984" s="252">
        <v>6757.15</v>
      </c>
      <c r="J984" s="139">
        <v>0</v>
      </c>
      <c r="K984" s="260">
        <v>6757.15</v>
      </c>
      <c r="L984" s="156">
        <v>6757.15</v>
      </c>
      <c r="M984" s="156"/>
      <c r="N984" s="131">
        <f t="shared" si="69"/>
        <v>0</v>
      </c>
      <c r="O984" s="157" t="s">
        <v>137</v>
      </c>
      <c r="P984" s="192"/>
    </row>
    <row r="985" s="99" customFormat="1" spans="1:16">
      <c r="A985" s="122">
        <v>45992</v>
      </c>
      <c r="B985" s="135" t="s">
        <v>16</v>
      </c>
      <c r="C985" s="256" t="s">
        <v>138</v>
      </c>
      <c r="D985" s="135" t="s">
        <v>53</v>
      </c>
      <c r="E985" s="135" t="s">
        <v>139</v>
      </c>
      <c r="F985" s="151">
        <v>46007</v>
      </c>
      <c r="G985" s="135" t="s">
        <v>28</v>
      </c>
      <c r="H985" s="116" t="s">
        <v>21</v>
      </c>
      <c r="I985" s="252">
        <v>3220.7</v>
      </c>
      <c r="J985" s="139">
        <v>0</v>
      </c>
      <c r="K985" s="252">
        <f t="shared" ref="K985:K1048" si="72">I985-J985</f>
        <v>3220.7</v>
      </c>
      <c r="L985" s="139">
        <v>3220.7</v>
      </c>
      <c r="M985" s="139"/>
      <c r="N985" s="131">
        <f t="shared" si="69"/>
        <v>0</v>
      </c>
      <c r="O985" s="143" t="s">
        <v>263</v>
      </c>
      <c r="P985" s="135"/>
    </row>
    <row r="986" s="99" customFormat="1" spans="1:16">
      <c r="A986" s="122">
        <v>45992</v>
      </c>
      <c r="B986" s="135" t="s">
        <v>16</v>
      </c>
      <c r="C986" s="256" t="s">
        <v>148</v>
      </c>
      <c r="D986" s="135" t="s">
        <v>149</v>
      </c>
      <c r="E986" s="114" t="s">
        <v>150</v>
      </c>
      <c r="F986" s="151">
        <v>46007</v>
      </c>
      <c r="G986" s="135" t="s">
        <v>26</v>
      </c>
      <c r="H986" s="116" t="s">
        <v>23</v>
      </c>
      <c r="I986" s="252">
        <v>4155</v>
      </c>
      <c r="J986" s="139">
        <v>0</v>
      </c>
      <c r="K986" s="252">
        <f t="shared" si="72"/>
        <v>4155</v>
      </c>
      <c r="L986" s="139">
        <v>4155</v>
      </c>
      <c r="M986" s="139"/>
      <c r="N986" s="131">
        <f t="shared" si="69"/>
        <v>0</v>
      </c>
      <c r="O986" s="143" t="s">
        <v>1027</v>
      </c>
      <c r="P986" s="135"/>
    </row>
    <row r="987" s="99" customFormat="1" spans="1:16">
      <c r="A987" s="122">
        <v>45992</v>
      </c>
      <c r="B987" s="135" t="s">
        <v>16</v>
      </c>
      <c r="C987" s="256" t="s">
        <v>148</v>
      </c>
      <c r="D987" s="135" t="s">
        <v>149</v>
      </c>
      <c r="E987" s="114" t="s">
        <v>150</v>
      </c>
      <c r="F987" s="151">
        <v>46007</v>
      </c>
      <c r="G987" s="135" t="s">
        <v>28</v>
      </c>
      <c r="H987" s="116" t="s">
        <v>21</v>
      </c>
      <c r="I987" s="252">
        <v>13809.57</v>
      </c>
      <c r="J987" s="139">
        <v>0</v>
      </c>
      <c r="K987" s="252">
        <f t="shared" si="72"/>
        <v>13809.57</v>
      </c>
      <c r="L987" s="139">
        <v>13809.57</v>
      </c>
      <c r="M987" s="139"/>
      <c r="N987" s="131">
        <f t="shared" si="69"/>
        <v>0</v>
      </c>
      <c r="O987" s="143" t="s">
        <v>1027</v>
      </c>
      <c r="P987" s="135"/>
    </row>
    <row r="988" s="99" customFormat="1" spans="1:16">
      <c r="A988" s="122">
        <v>45992</v>
      </c>
      <c r="B988" s="135" t="s">
        <v>16</v>
      </c>
      <c r="C988" s="256" t="s">
        <v>153</v>
      </c>
      <c r="D988" s="135" t="s">
        <v>154</v>
      </c>
      <c r="E988" s="135" t="s">
        <v>155</v>
      </c>
      <c r="F988" s="151">
        <v>46007</v>
      </c>
      <c r="G988" s="135" t="s">
        <v>1028</v>
      </c>
      <c r="H988" s="116" t="s">
        <v>23</v>
      </c>
      <c r="I988" s="252">
        <v>4465.4</v>
      </c>
      <c r="J988" s="139">
        <v>0</v>
      </c>
      <c r="K988" s="252">
        <f t="shared" si="72"/>
        <v>4465.4</v>
      </c>
      <c r="L988" s="139">
        <v>4465.4</v>
      </c>
      <c r="M988" s="139"/>
      <c r="N988" s="131">
        <f t="shared" si="69"/>
        <v>0</v>
      </c>
      <c r="O988" s="143" t="s">
        <v>1029</v>
      </c>
      <c r="P988" s="135"/>
    </row>
    <row r="989" s="99" customFormat="1" spans="1:16">
      <c r="A989" s="122">
        <v>45992</v>
      </c>
      <c r="B989" s="135" t="s">
        <v>16</v>
      </c>
      <c r="C989" s="256" t="s">
        <v>153</v>
      </c>
      <c r="D989" s="135" t="s">
        <v>154</v>
      </c>
      <c r="E989" s="135" t="s">
        <v>155</v>
      </c>
      <c r="F989" s="151">
        <v>46007</v>
      </c>
      <c r="G989" s="135" t="s">
        <v>1028</v>
      </c>
      <c r="H989" s="116" t="s">
        <v>21</v>
      </c>
      <c r="I989" s="252">
        <v>31420.16</v>
      </c>
      <c r="J989" s="139">
        <v>0</v>
      </c>
      <c r="K989" s="252">
        <f t="shared" si="72"/>
        <v>31420.16</v>
      </c>
      <c r="L989" s="139">
        <v>31420.16</v>
      </c>
      <c r="M989" s="139"/>
      <c r="N989" s="131">
        <f t="shared" si="69"/>
        <v>0</v>
      </c>
      <c r="O989" s="143" t="s">
        <v>1029</v>
      </c>
      <c r="P989" s="135"/>
    </row>
    <row r="990" s="99" customFormat="1" spans="1:16">
      <c r="A990" s="122">
        <v>45992</v>
      </c>
      <c r="B990" s="135" t="s">
        <v>16</v>
      </c>
      <c r="C990" s="256" t="s">
        <v>157</v>
      </c>
      <c r="D990" s="135" t="s">
        <v>158</v>
      </c>
      <c r="E990" s="135" t="s">
        <v>159</v>
      </c>
      <c r="F990" s="151">
        <v>46007</v>
      </c>
      <c r="G990" s="135" t="s">
        <v>28</v>
      </c>
      <c r="H990" s="116" t="s">
        <v>21</v>
      </c>
      <c r="I990" s="252">
        <v>12106.44</v>
      </c>
      <c r="J990" s="139">
        <v>0</v>
      </c>
      <c r="K990" s="252">
        <f t="shared" si="72"/>
        <v>12106.44</v>
      </c>
      <c r="L990" s="139">
        <v>12106.44</v>
      </c>
      <c r="M990" s="139"/>
      <c r="N990" s="131">
        <f t="shared" si="69"/>
        <v>0</v>
      </c>
      <c r="O990" s="143" t="s">
        <v>1030</v>
      </c>
      <c r="P990" s="135"/>
    </row>
    <row r="991" s="99" customFormat="1" spans="1:16">
      <c r="A991" s="122">
        <v>45992</v>
      </c>
      <c r="B991" s="135" t="s">
        <v>16</v>
      </c>
      <c r="C991" s="256" t="s">
        <v>179</v>
      </c>
      <c r="D991" s="135" t="s">
        <v>180</v>
      </c>
      <c r="E991" s="135" t="s">
        <v>181</v>
      </c>
      <c r="F991" s="258">
        <v>46007</v>
      </c>
      <c r="G991" s="135" t="s">
        <v>1031</v>
      </c>
      <c r="H991" s="116" t="s">
        <v>23</v>
      </c>
      <c r="I991" s="252">
        <v>2600</v>
      </c>
      <c r="J991" s="139">
        <v>0</v>
      </c>
      <c r="K991" s="252">
        <f t="shared" si="72"/>
        <v>2600</v>
      </c>
      <c r="L991" s="139">
        <v>2600</v>
      </c>
      <c r="M991" s="139"/>
      <c r="N991" s="131">
        <f t="shared" si="69"/>
        <v>0</v>
      </c>
      <c r="O991" s="143" t="s">
        <v>1029</v>
      </c>
      <c r="P991" s="135"/>
    </row>
    <row r="992" s="99" customFormat="1" spans="1:16">
      <c r="A992" s="122">
        <v>45992</v>
      </c>
      <c r="B992" s="135" t="s">
        <v>16</v>
      </c>
      <c r="C992" s="256" t="s">
        <v>179</v>
      </c>
      <c r="D992" s="135" t="s">
        <v>180</v>
      </c>
      <c r="E992" s="135" t="s">
        <v>181</v>
      </c>
      <c r="F992" s="258">
        <v>46007</v>
      </c>
      <c r="G992" s="135" t="s">
        <v>1031</v>
      </c>
      <c r="H992" s="116" t="s">
        <v>21</v>
      </c>
      <c r="I992" s="252">
        <v>2600</v>
      </c>
      <c r="J992" s="139">
        <v>0</v>
      </c>
      <c r="K992" s="252">
        <f t="shared" si="72"/>
        <v>2600</v>
      </c>
      <c r="L992" s="139">
        <v>2600</v>
      </c>
      <c r="M992" s="139"/>
      <c r="N992" s="131">
        <f t="shared" si="69"/>
        <v>0</v>
      </c>
      <c r="O992" s="143" t="s">
        <v>1029</v>
      </c>
      <c r="P992" s="135"/>
    </row>
    <row r="993" s="99" customFormat="1" spans="1:16">
      <c r="A993" s="122">
        <v>45992</v>
      </c>
      <c r="B993" s="135" t="s">
        <v>16</v>
      </c>
      <c r="C993" s="256" t="s">
        <v>186</v>
      </c>
      <c r="D993" s="135" t="s">
        <v>187</v>
      </c>
      <c r="E993" s="135" t="s">
        <v>188</v>
      </c>
      <c r="F993" s="258">
        <v>46007</v>
      </c>
      <c r="G993" s="135" t="s">
        <v>98</v>
      </c>
      <c r="H993" s="116" t="s">
        <v>23</v>
      </c>
      <c r="I993" s="252">
        <v>11880</v>
      </c>
      <c r="J993" s="139">
        <v>0</v>
      </c>
      <c r="K993" s="252">
        <f t="shared" si="72"/>
        <v>11880</v>
      </c>
      <c r="L993" s="139">
        <v>11880</v>
      </c>
      <c r="M993" s="139"/>
      <c r="N993" s="131">
        <f t="shared" si="69"/>
        <v>0</v>
      </c>
      <c r="O993" s="143" t="s">
        <v>263</v>
      </c>
      <c r="P993" s="135"/>
    </row>
    <row r="994" s="99" customFormat="1" spans="1:16">
      <c r="A994" s="122">
        <v>45992</v>
      </c>
      <c r="B994" s="135" t="s">
        <v>16</v>
      </c>
      <c r="C994" s="256" t="s">
        <v>186</v>
      </c>
      <c r="D994" s="135" t="s">
        <v>187</v>
      </c>
      <c r="E994" s="135" t="s">
        <v>188</v>
      </c>
      <c r="F994" s="258">
        <v>46007</v>
      </c>
      <c r="G994" s="135" t="s">
        <v>98</v>
      </c>
      <c r="H994" s="116" t="s">
        <v>21</v>
      </c>
      <c r="I994" s="252">
        <v>5400</v>
      </c>
      <c r="J994" s="139">
        <v>0</v>
      </c>
      <c r="K994" s="252">
        <f t="shared" si="72"/>
        <v>5400</v>
      </c>
      <c r="L994" s="139">
        <v>5400</v>
      </c>
      <c r="M994" s="139"/>
      <c r="N994" s="131">
        <f t="shared" si="69"/>
        <v>0</v>
      </c>
      <c r="O994" s="143" t="s">
        <v>263</v>
      </c>
      <c r="P994" s="135"/>
    </row>
    <row r="995" s="99" customFormat="1" spans="1:16">
      <c r="A995" s="122">
        <v>45992</v>
      </c>
      <c r="B995" s="135" t="s">
        <v>16</v>
      </c>
      <c r="C995" s="256" t="s">
        <v>192</v>
      </c>
      <c r="D995" s="135" t="s">
        <v>193</v>
      </c>
      <c r="E995" s="135" t="s">
        <v>194</v>
      </c>
      <c r="F995" s="258">
        <v>46007</v>
      </c>
      <c r="G995" s="135" t="s">
        <v>1032</v>
      </c>
      <c r="H995" s="116" t="s">
        <v>23</v>
      </c>
      <c r="I995" s="252">
        <v>26640</v>
      </c>
      <c r="J995" s="139">
        <v>0</v>
      </c>
      <c r="K995" s="252">
        <f t="shared" si="72"/>
        <v>26640</v>
      </c>
      <c r="L995" s="139">
        <f>26140+500</f>
        <v>26640</v>
      </c>
      <c r="M995" s="139"/>
      <c r="N995" s="131">
        <f t="shared" si="69"/>
        <v>0</v>
      </c>
      <c r="O995" s="143" t="s">
        <v>1033</v>
      </c>
      <c r="P995" s="135"/>
    </row>
    <row r="996" s="99" customFormat="1" spans="1:16">
      <c r="A996" s="122">
        <v>45992</v>
      </c>
      <c r="B996" s="135" t="s">
        <v>16</v>
      </c>
      <c r="C996" s="256" t="s">
        <v>192</v>
      </c>
      <c r="D996" s="135" t="s">
        <v>193</v>
      </c>
      <c r="E996" s="135" t="s">
        <v>194</v>
      </c>
      <c r="F996" s="258">
        <v>46007</v>
      </c>
      <c r="G996" s="135" t="s">
        <v>1032</v>
      </c>
      <c r="H996" s="116" t="s">
        <v>21</v>
      </c>
      <c r="I996" s="252">
        <v>21378.6</v>
      </c>
      <c r="J996" s="139">
        <v>0</v>
      </c>
      <c r="K996" s="252">
        <f t="shared" si="72"/>
        <v>21378.6</v>
      </c>
      <c r="L996" s="139">
        <v>21378.6</v>
      </c>
      <c r="M996" s="139"/>
      <c r="N996" s="131">
        <f t="shared" si="69"/>
        <v>0</v>
      </c>
      <c r="O996" s="143" t="s">
        <v>1034</v>
      </c>
      <c r="P996" s="135"/>
    </row>
    <row r="997" s="99" customFormat="1" spans="1:16">
      <c r="A997" s="122">
        <v>45992</v>
      </c>
      <c r="B997" s="135" t="s">
        <v>16</v>
      </c>
      <c r="C997" s="256" t="s">
        <v>198</v>
      </c>
      <c r="D997" s="135" t="s">
        <v>199</v>
      </c>
      <c r="E997" s="135" t="s">
        <v>200</v>
      </c>
      <c r="F997" s="258">
        <v>46007</v>
      </c>
      <c r="G997" s="135" t="s">
        <v>1017</v>
      </c>
      <c r="H997" s="116" t="s">
        <v>21</v>
      </c>
      <c r="I997" s="252">
        <v>23012</v>
      </c>
      <c r="J997" s="139">
        <v>0</v>
      </c>
      <c r="K997" s="252">
        <f t="shared" si="72"/>
        <v>23012</v>
      </c>
      <c r="L997" s="139">
        <v>23012</v>
      </c>
      <c r="M997" s="139"/>
      <c r="N997" s="131">
        <f t="shared" si="69"/>
        <v>0</v>
      </c>
      <c r="O997" s="143" t="s">
        <v>1030</v>
      </c>
      <c r="P997" s="135"/>
    </row>
    <row r="998" s="99" customFormat="1" spans="1:16">
      <c r="A998" s="122">
        <v>45992</v>
      </c>
      <c r="B998" s="135" t="s">
        <v>16</v>
      </c>
      <c r="C998" s="256" t="s">
        <v>198</v>
      </c>
      <c r="D998" s="135" t="s">
        <v>199</v>
      </c>
      <c r="E998" s="135" t="s">
        <v>200</v>
      </c>
      <c r="F998" s="258">
        <v>46007</v>
      </c>
      <c r="G998" s="135" t="s">
        <v>1017</v>
      </c>
      <c r="H998" s="116" t="s">
        <v>23</v>
      </c>
      <c r="I998" s="252">
        <v>23012</v>
      </c>
      <c r="J998" s="139">
        <v>0</v>
      </c>
      <c r="K998" s="252">
        <f t="shared" si="72"/>
        <v>23012</v>
      </c>
      <c r="L998" s="139">
        <v>23012</v>
      </c>
      <c r="M998" s="139"/>
      <c r="N998" s="131">
        <f t="shared" si="69"/>
        <v>0</v>
      </c>
      <c r="O998" s="143" t="s">
        <v>1030</v>
      </c>
      <c r="P998" s="135"/>
    </row>
    <row r="999" s="99" customFormat="1" spans="1:16">
      <c r="A999" s="122">
        <v>45992</v>
      </c>
      <c r="B999" s="135" t="s">
        <v>16</v>
      </c>
      <c r="C999" s="256" t="s">
        <v>202</v>
      </c>
      <c r="D999" s="135" t="s">
        <v>203</v>
      </c>
      <c r="E999" s="135" t="s">
        <v>204</v>
      </c>
      <c r="F999" s="258">
        <v>46007</v>
      </c>
      <c r="G999" s="135" t="s">
        <v>1019</v>
      </c>
      <c r="H999" s="116" t="s">
        <v>23</v>
      </c>
      <c r="I999" s="252">
        <v>11632.5</v>
      </c>
      <c r="J999" s="139">
        <v>0</v>
      </c>
      <c r="K999" s="252">
        <f t="shared" si="72"/>
        <v>11632.5</v>
      </c>
      <c r="L999" s="139">
        <v>11632.5</v>
      </c>
      <c r="M999" s="139"/>
      <c r="N999" s="131">
        <f t="shared" si="69"/>
        <v>0</v>
      </c>
      <c r="O999" s="143" t="s">
        <v>1035</v>
      </c>
      <c r="P999" s="135"/>
    </row>
    <row r="1000" s="99" customFormat="1" spans="1:16">
      <c r="A1000" s="122">
        <v>45992</v>
      </c>
      <c r="B1000" s="135" t="s">
        <v>16</v>
      </c>
      <c r="C1000" s="256" t="s">
        <v>202</v>
      </c>
      <c r="D1000" s="135" t="s">
        <v>203</v>
      </c>
      <c r="E1000" s="135" t="s">
        <v>204</v>
      </c>
      <c r="F1000" s="258">
        <v>46007</v>
      </c>
      <c r="G1000" s="135" t="s">
        <v>1019</v>
      </c>
      <c r="H1000" s="116" t="s">
        <v>21</v>
      </c>
      <c r="I1000" s="252">
        <v>16285.5</v>
      </c>
      <c r="J1000" s="139">
        <v>0</v>
      </c>
      <c r="K1000" s="252">
        <f t="shared" si="72"/>
        <v>16285.5</v>
      </c>
      <c r="L1000" s="139">
        <f>16135.5+150</f>
        <v>16285.5</v>
      </c>
      <c r="M1000" s="139"/>
      <c r="N1000" s="131">
        <f t="shared" si="69"/>
        <v>0</v>
      </c>
      <c r="O1000" s="143" t="s">
        <v>1036</v>
      </c>
      <c r="P1000" s="135"/>
    </row>
    <row r="1001" s="99" customFormat="1" spans="1:16">
      <c r="A1001" s="122">
        <v>45992</v>
      </c>
      <c r="B1001" s="135" t="s">
        <v>16</v>
      </c>
      <c r="C1001" s="256" t="s">
        <v>206</v>
      </c>
      <c r="D1001" s="135" t="s">
        <v>207</v>
      </c>
      <c r="E1001" s="135" t="s">
        <v>208</v>
      </c>
      <c r="F1001" s="258">
        <v>46007</v>
      </c>
      <c r="G1001" s="135" t="s">
        <v>1019</v>
      </c>
      <c r="H1001" s="116" t="s">
        <v>23</v>
      </c>
      <c r="I1001" s="252">
        <v>12870</v>
      </c>
      <c r="J1001" s="139">
        <v>0</v>
      </c>
      <c r="K1001" s="252">
        <f t="shared" si="72"/>
        <v>12870</v>
      </c>
      <c r="L1001" s="139">
        <f>4290+8580</f>
        <v>12870</v>
      </c>
      <c r="M1001" s="139"/>
      <c r="N1001" s="131">
        <f t="shared" si="69"/>
        <v>0</v>
      </c>
      <c r="O1001" s="143" t="s">
        <v>1037</v>
      </c>
      <c r="P1001" s="135"/>
    </row>
    <row r="1002" s="99" customFormat="1" spans="1:16">
      <c r="A1002" s="122">
        <v>45992</v>
      </c>
      <c r="B1002" s="135" t="s">
        <v>16</v>
      </c>
      <c r="C1002" s="256" t="s">
        <v>206</v>
      </c>
      <c r="D1002" s="135" t="s">
        <v>207</v>
      </c>
      <c r="E1002" s="135" t="s">
        <v>208</v>
      </c>
      <c r="F1002" s="258">
        <v>46007</v>
      </c>
      <c r="G1002" s="135" t="s">
        <v>1019</v>
      </c>
      <c r="H1002" s="116" t="s">
        <v>21</v>
      </c>
      <c r="I1002" s="252">
        <v>11905.92</v>
      </c>
      <c r="J1002" s="139">
        <v>0</v>
      </c>
      <c r="K1002" s="252">
        <f t="shared" si="72"/>
        <v>11905.92</v>
      </c>
      <c r="L1002" s="139">
        <f>4417.92+7488</f>
        <v>11905.92</v>
      </c>
      <c r="M1002" s="139"/>
      <c r="N1002" s="131">
        <f t="shared" si="69"/>
        <v>0</v>
      </c>
      <c r="O1002" s="143" t="s">
        <v>1037</v>
      </c>
      <c r="P1002" s="135"/>
    </row>
    <row r="1003" s="99" customFormat="1" spans="1:16">
      <c r="A1003" s="122">
        <v>45992</v>
      </c>
      <c r="B1003" s="135" t="s">
        <v>16</v>
      </c>
      <c r="C1003" s="256" t="s">
        <v>213</v>
      </c>
      <c r="D1003" s="135" t="s">
        <v>214</v>
      </c>
      <c r="E1003" s="135" t="s">
        <v>215</v>
      </c>
      <c r="F1003" s="258">
        <v>46007</v>
      </c>
      <c r="G1003" s="135" t="s">
        <v>1019</v>
      </c>
      <c r="H1003" s="116" t="s">
        <v>23</v>
      </c>
      <c r="I1003" s="252">
        <v>26643</v>
      </c>
      <c r="J1003" s="139">
        <v>0</v>
      </c>
      <c r="K1003" s="252">
        <f t="shared" si="72"/>
        <v>26643</v>
      </c>
      <c r="L1003" s="139">
        <v>26643</v>
      </c>
      <c r="M1003" s="139"/>
      <c r="N1003" s="131">
        <f t="shared" si="69"/>
        <v>0</v>
      </c>
      <c r="O1003" s="143" t="s">
        <v>263</v>
      </c>
      <c r="P1003" s="135"/>
    </row>
    <row r="1004" s="99" customFormat="1" spans="1:16">
      <c r="A1004" s="122">
        <v>45992</v>
      </c>
      <c r="B1004" s="135" t="s">
        <v>16</v>
      </c>
      <c r="C1004" s="256" t="s">
        <v>213</v>
      </c>
      <c r="D1004" s="135" t="s">
        <v>214</v>
      </c>
      <c r="E1004" s="135" t="s">
        <v>215</v>
      </c>
      <c r="F1004" s="258">
        <v>46007</v>
      </c>
      <c r="G1004" s="135" t="s">
        <v>1019</v>
      </c>
      <c r="H1004" s="116" t="s">
        <v>21</v>
      </c>
      <c r="I1004" s="252">
        <v>26643</v>
      </c>
      <c r="J1004" s="139">
        <v>0</v>
      </c>
      <c r="K1004" s="252">
        <f t="shared" si="72"/>
        <v>26643</v>
      </c>
      <c r="L1004" s="139">
        <v>26643</v>
      </c>
      <c r="M1004" s="139"/>
      <c r="N1004" s="131">
        <f t="shared" si="69"/>
        <v>0</v>
      </c>
      <c r="O1004" s="143" t="s">
        <v>263</v>
      </c>
      <c r="P1004" s="135"/>
    </row>
    <row r="1005" s="99" customFormat="1" spans="1:16">
      <c r="A1005" s="122">
        <v>45992</v>
      </c>
      <c r="B1005" s="135" t="s">
        <v>16</v>
      </c>
      <c r="C1005" s="256" t="s">
        <v>226</v>
      </c>
      <c r="D1005" s="135" t="s">
        <v>227</v>
      </c>
      <c r="E1005" s="135" t="s">
        <v>228</v>
      </c>
      <c r="F1005" s="258">
        <v>46007</v>
      </c>
      <c r="G1005" s="135" t="s">
        <v>98</v>
      </c>
      <c r="H1005" s="116" t="s">
        <v>21</v>
      </c>
      <c r="I1005" s="252">
        <v>18264.75</v>
      </c>
      <c r="J1005" s="139">
        <v>0</v>
      </c>
      <c r="K1005" s="252">
        <f t="shared" si="72"/>
        <v>18264.75</v>
      </c>
      <c r="L1005" s="139">
        <v>18264.75</v>
      </c>
      <c r="M1005" s="139"/>
      <c r="N1005" s="131">
        <f t="shared" si="69"/>
        <v>0</v>
      </c>
      <c r="O1005" s="137" t="s">
        <v>231</v>
      </c>
      <c r="P1005" s="135"/>
    </row>
    <row r="1006" s="99" customFormat="1" spans="1:16">
      <c r="A1006" s="122">
        <v>45992</v>
      </c>
      <c r="B1006" s="135" t="s">
        <v>16</v>
      </c>
      <c r="C1006" s="256" t="s">
        <v>226</v>
      </c>
      <c r="D1006" s="135" t="s">
        <v>227</v>
      </c>
      <c r="E1006" s="135" t="s">
        <v>228</v>
      </c>
      <c r="F1006" s="258">
        <v>46007</v>
      </c>
      <c r="G1006" s="135" t="s">
        <v>98</v>
      </c>
      <c r="H1006" s="116" t="s">
        <v>23</v>
      </c>
      <c r="I1006" s="252">
        <v>3905</v>
      </c>
      <c r="J1006" s="139">
        <v>0</v>
      </c>
      <c r="K1006" s="252">
        <f t="shared" si="72"/>
        <v>3905</v>
      </c>
      <c r="L1006" s="139">
        <v>3905</v>
      </c>
      <c r="M1006" s="139"/>
      <c r="N1006" s="131">
        <f t="shared" si="69"/>
        <v>0</v>
      </c>
      <c r="O1006" s="137" t="s">
        <v>231</v>
      </c>
      <c r="P1006" s="135"/>
    </row>
    <row r="1007" s="99" customFormat="1" spans="1:16">
      <c r="A1007" s="122">
        <v>45992</v>
      </c>
      <c r="B1007" s="135" t="s">
        <v>16</v>
      </c>
      <c r="C1007" s="256" t="s">
        <v>226</v>
      </c>
      <c r="D1007" s="135" t="s">
        <v>227</v>
      </c>
      <c r="E1007" s="135" t="s">
        <v>228</v>
      </c>
      <c r="F1007" s="258">
        <v>46007</v>
      </c>
      <c r="G1007" s="135" t="s">
        <v>1038</v>
      </c>
      <c r="H1007" s="116" t="s">
        <v>30</v>
      </c>
      <c r="I1007" s="252">
        <v>3000</v>
      </c>
      <c r="J1007" s="139">
        <v>0</v>
      </c>
      <c r="K1007" s="252">
        <f t="shared" si="72"/>
        <v>3000</v>
      </c>
      <c r="L1007" s="139">
        <v>3000</v>
      </c>
      <c r="M1007" s="139"/>
      <c r="N1007" s="131">
        <f t="shared" si="69"/>
        <v>0</v>
      </c>
      <c r="O1007" s="143" t="s">
        <v>231</v>
      </c>
      <c r="P1007" s="135"/>
    </row>
    <row r="1008" s="99" customFormat="1" spans="1:16">
      <c r="A1008" s="122">
        <v>45992</v>
      </c>
      <c r="B1008" s="135" t="s">
        <v>16</v>
      </c>
      <c r="C1008" s="256" t="s">
        <v>253</v>
      </c>
      <c r="D1008" s="135" t="s">
        <v>258</v>
      </c>
      <c r="E1008" s="135" t="s">
        <v>259</v>
      </c>
      <c r="F1008" s="258">
        <v>46007</v>
      </c>
      <c r="G1008" s="135" t="s">
        <v>1031</v>
      </c>
      <c r="H1008" s="116" t="s">
        <v>23</v>
      </c>
      <c r="I1008" s="252">
        <v>8195</v>
      </c>
      <c r="J1008" s="139">
        <v>0</v>
      </c>
      <c r="K1008" s="252">
        <f t="shared" si="72"/>
        <v>8195</v>
      </c>
      <c r="L1008" s="139">
        <v>8195</v>
      </c>
      <c r="M1008" s="139"/>
      <c r="N1008" s="131">
        <f t="shared" si="69"/>
        <v>0</v>
      </c>
      <c r="O1008" s="143" t="s">
        <v>1039</v>
      </c>
      <c r="P1008" s="135"/>
    </row>
    <row r="1009" s="99" customFormat="1" spans="1:16">
      <c r="A1009" s="122">
        <v>45992</v>
      </c>
      <c r="B1009" s="135" t="s">
        <v>16</v>
      </c>
      <c r="C1009" s="256" t="s">
        <v>253</v>
      </c>
      <c r="D1009" s="135" t="s">
        <v>258</v>
      </c>
      <c r="E1009" s="135" t="s">
        <v>259</v>
      </c>
      <c r="F1009" s="258">
        <v>46007</v>
      </c>
      <c r="G1009" s="135" t="s">
        <v>1031</v>
      </c>
      <c r="H1009" s="116" t="s">
        <v>21</v>
      </c>
      <c r="I1009" s="252">
        <v>5960</v>
      </c>
      <c r="J1009" s="139">
        <v>0</v>
      </c>
      <c r="K1009" s="252">
        <f t="shared" si="72"/>
        <v>5960</v>
      </c>
      <c r="L1009" s="139">
        <v>5960</v>
      </c>
      <c r="M1009" s="139"/>
      <c r="N1009" s="131">
        <f t="shared" si="69"/>
        <v>0</v>
      </c>
      <c r="O1009" s="143" t="s">
        <v>1039</v>
      </c>
      <c r="P1009" s="135"/>
    </row>
    <row r="1010" s="99" customFormat="1" spans="1:16">
      <c r="A1010" s="122">
        <v>45992</v>
      </c>
      <c r="B1010" s="135" t="s">
        <v>16</v>
      </c>
      <c r="C1010" s="256" t="s">
        <v>268</v>
      </c>
      <c r="D1010" s="135" t="s">
        <v>269</v>
      </c>
      <c r="E1010" s="135" t="s">
        <v>270</v>
      </c>
      <c r="F1010" s="258">
        <v>46007</v>
      </c>
      <c r="G1010" s="135" t="s">
        <v>1040</v>
      </c>
      <c r="H1010" s="116" t="s">
        <v>23</v>
      </c>
      <c r="I1010" s="252">
        <v>3417.53</v>
      </c>
      <c r="J1010" s="139">
        <v>0</v>
      </c>
      <c r="K1010" s="252">
        <f t="shared" si="72"/>
        <v>3417.53</v>
      </c>
      <c r="L1010" s="139">
        <v>3417.53</v>
      </c>
      <c r="M1010" s="139"/>
      <c r="N1010" s="131">
        <f t="shared" si="69"/>
        <v>0</v>
      </c>
      <c r="O1010" s="143" t="s">
        <v>1041</v>
      </c>
      <c r="P1010" s="135"/>
    </row>
    <row r="1011" s="99" customFormat="1" spans="1:16">
      <c r="A1011" s="122">
        <v>45992</v>
      </c>
      <c r="B1011" s="135" t="s">
        <v>16</v>
      </c>
      <c r="C1011" s="256" t="s">
        <v>268</v>
      </c>
      <c r="D1011" s="135" t="s">
        <v>269</v>
      </c>
      <c r="E1011" s="135" t="s">
        <v>270</v>
      </c>
      <c r="F1011" s="258">
        <v>46007</v>
      </c>
      <c r="G1011" s="135" t="s">
        <v>1040</v>
      </c>
      <c r="H1011" s="116" t="s">
        <v>21</v>
      </c>
      <c r="I1011" s="252">
        <v>3075.78</v>
      </c>
      <c r="J1011" s="139">
        <v>0</v>
      </c>
      <c r="K1011" s="252">
        <f t="shared" si="72"/>
        <v>3075.78</v>
      </c>
      <c r="L1011" s="139">
        <v>3075.78</v>
      </c>
      <c r="M1011" s="139"/>
      <c r="N1011" s="131">
        <f t="shared" si="69"/>
        <v>0</v>
      </c>
      <c r="O1011" s="143" t="s">
        <v>1041</v>
      </c>
      <c r="P1011" s="135"/>
    </row>
    <row r="1012" s="99" customFormat="1" spans="1:16">
      <c r="A1012" s="122">
        <v>45992</v>
      </c>
      <c r="B1012" s="135" t="s">
        <v>16</v>
      </c>
      <c r="C1012" s="256" t="s">
        <v>273</v>
      </c>
      <c r="D1012" s="135" t="s">
        <v>274</v>
      </c>
      <c r="E1012" s="135" t="s">
        <v>275</v>
      </c>
      <c r="F1012" s="258">
        <v>46007</v>
      </c>
      <c r="G1012" s="135" t="s">
        <v>1019</v>
      </c>
      <c r="H1012" s="116" t="s">
        <v>23</v>
      </c>
      <c r="I1012" s="252">
        <v>5076</v>
      </c>
      <c r="J1012" s="139">
        <v>0</v>
      </c>
      <c r="K1012" s="252">
        <f t="shared" si="72"/>
        <v>5076</v>
      </c>
      <c r="L1012" s="139">
        <v>5076</v>
      </c>
      <c r="M1012" s="139"/>
      <c r="N1012" s="131">
        <f t="shared" si="69"/>
        <v>0</v>
      </c>
      <c r="O1012" s="143" t="s">
        <v>1041</v>
      </c>
      <c r="P1012" s="135"/>
    </row>
    <row r="1013" s="99" customFormat="1" spans="1:16">
      <c r="A1013" s="122">
        <v>45992</v>
      </c>
      <c r="B1013" s="135" t="s">
        <v>16</v>
      </c>
      <c r="C1013" s="256" t="s">
        <v>273</v>
      </c>
      <c r="D1013" s="135" t="s">
        <v>274</v>
      </c>
      <c r="E1013" s="135" t="s">
        <v>275</v>
      </c>
      <c r="F1013" s="258">
        <v>46007</v>
      </c>
      <c r="G1013" s="135" t="s">
        <v>1019</v>
      </c>
      <c r="H1013" s="116" t="s">
        <v>21</v>
      </c>
      <c r="I1013" s="252">
        <v>11844</v>
      </c>
      <c r="J1013" s="139">
        <v>0</v>
      </c>
      <c r="K1013" s="252">
        <f t="shared" si="72"/>
        <v>11844</v>
      </c>
      <c r="L1013" s="139">
        <v>11844</v>
      </c>
      <c r="M1013" s="139"/>
      <c r="N1013" s="131">
        <f t="shared" si="69"/>
        <v>0</v>
      </c>
      <c r="O1013" s="143" t="s">
        <v>1041</v>
      </c>
      <c r="P1013" s="135"/>
    </row>
    <row r="1014" s="99" customFormat="1" spans="1:16">
      <c r="A1014" s="122">
        <v>45992</v>
      </c>
      <c r="B1014" s="135" t="s">
        <v>16</v>
      </c>
      <c r="C1014" s="256" t="s">
        <v>276</v>
      </c>
      <c r="D1014" s="135" t="s">
        <v>277</v>
      </c>
      <c r="E1014" s="135" t="s">
        <v>278</v>
      </c>
      <c r="F1014" s="258">
        <v>46007</v>
      </c>
      <c r="G1014" s="135" t="s">
        <v>1019</v>
      </c>
      <c r="H1014" s="116" t="s">
        <v>21</v>
      </c>
      <c r="I1014" s="252">
        <v>17766</v>
      </c>
      <c r="J1014" s="139">
        <v>0</v>
      </c>
      <c r="K1014" s="252">
        <f t="shared" si="72"/>
        <v>17766</v>
      </c>
      <c r="L1014" s="139">
        <v>17766</v>
      </c>
      <c r="M1014" s="139"/>
      <c r="N1014" s="131">
        <f t="shared" si="69"/>
        <v>0</v>
      </c>
      <c r="O1014" s="143" t="s">
        <v>573</v>
      </c>
      <c r="P1014" s="135"/>
    </row>
    <row r="1015" s="99" customFormat="1" spans="1:16">
      <c r="A1015" s="122">
        <v>45992</v>
      </c>
      <c r="B1015" s="135" t="s">
        <v>16</v>
      </c>
      <c r="C1015" s="256" t="s">
        <v>276</v>
      </c>
      <c r="D1015" s="135" t="s">
        <v>277</v>
      </c>
      <c r="E1015" s="135" t="s">
        <v>278</v>
      </c>
      <c r="F1015" s="258">
        <v>46007</v>
      </c>
      <c r="G1015" s="135" t="s">
        <v>1019</v>
      </c>
      <c r="H1015" s="116" t="s">
        <v>23</v>
      </c>
      <c r="I1015" s="252">
        <v>18048</v>
      </c>
      <c r="J1015" s="139">
        <v>0</v>
      </c>
      <c r="K1015" s="252">
        <f t="shared" si="72"/>
        <v>18048</v>
      </c>
      <c r="L1015" s="139">
        <v>18048</v>
      </c>
      <c r="M1015" s="139"/>
      <c r="N1015" s="131">
        <f t="shared" si="69"/>
        <v>0</v>
      </c>
      <c r="O1015" s="143" t="s">
        <v>573</v>
      </c>
      <c r="P1015" s="135"/>
    </row>
    <row r="1016" s="99" customFormat="1" spans="1:16">
      <c r="A1016" s="122">
        <v>45992</v>
      </c>
      <c r="B1016" s="135" t="s">
        <v>16</v>
      </c>
      <c r="C1016" s="256" t="s">
        <v>279</v>
      </c>
      <c r="D1016" s="135" t="s">
        <v>280</v>
      </c>
      <c r="E1016" s="135" t="s">
        <v>281</v>
      </c>
      <c r="F1016" s="258">
        <v>46007</v>
      </c>
      <c r="G1016" s="135" t="s">
        <v>1019</v>
      </c>
      <c r="H1016" s="116" t="s">
        <v>23</v>
      </c>
      <c r="I1016" s="252">
        <v>35145</v>
      </c>
      <c r="J1016" s="139">
        <v>0</v>
      </c>
      <c r="K1016" s="252">
        <f t="shared" si="72"/>
        <v>35145</v>
      </c>
      <c r="L1016" s="139">
        <v>35145</v>
      </c>
      <c r="M1016" s="139"/>
      <c r="N1016" s="131">
        <f t="shared" si="69"/>
        <v>0</v>
      </c>
      <c r="O1016" s="143" t="s">
        <v>1041</v>
      </c>
      <c r="P1016" s="135"/>
    </row>
    <row r="1017" s="99" customFormat="1" spans="1:16">
      <c r="A1017" s="122">
        <v>45992</v>
      </c>
      <c r="B1017" s="135" t="s">
        <v>16</v>
      </c>
      <c r="C1017" s="256" t="s">
        <v>279</v>
      </c>
      <c r="D1017" s="135" t="s">
        <v>280</v>
      </c>
      <c r="E1017" s="135" t="s">
        <v>281</v>
      </c>
      <c r="F1017" s="258">
        <v>46007</v>
      </c>
      <c r="G1017" s="135" t="s">
        <v>1019</v>
      </c>
      <c r="H1017" s="116" t="s">
        <v>21</v>
      </c>
      <c r="I1017" s="252">
        <v>47925</v>
      </c>
      <c r="J1017" s="139">
        <v>0</v>
      </c>
      <c r="K1017" s="252">
        <f t="shared" si="72"/>
        <v>47925</v>
      </c>
      <c r="L1017" s="139">
        <v>47925</v>
      </c>
      <c r="M1017" s="139"/>
      <c r="N1017" s="131">
        <f t="shared" si="69"/>
        <v>0</v>
      </c>
      <c r="O1017" s="143" t="s">
        <v>1041</v>
      </c>
      <c r="P1017" s="135"/>
    </row>
    <row r="1018" s="99" customFormat="1" spans="1:16">
      <c r="A1018" s="122">
        <v>45992</v>
      </c>
      <c r="B1018" s="116" t="s">
        <v>16</v>
      </c>
      <c r="C1018" s="256" t="s">
        <v>864</v>
      </c>
      <c r="D1018" s="135" t="s">
        <v>865</v>
      </c>
      <c r="E1018" s="135" t="s">
        <v>866</v>
      </c>
      <c r="F1018" s="258">
        <v>46007</v>
      </c>
      <c r="G1018" s="135" t="s">
        <v>1042</v>
      </c>
      <c r="H1018" s="116" t="s">
        <v>833</v>
      </c>
      <c r="I1018" s="252">
        <v>33000</v>
      </c>
      <c r="J1018" s="139">
        <v>0</v>
      </c>
      <c r="K1018" s="252">
        <f t="shared" si="72"/>
        <v>33000</v>
      </c>
      <c r="L1018" s="139">
        <v>33000</v>
      </c>
      <c r="M1018" s="139"/>
      <c r="N1018" s="131">
        <f t="shared" si="69"/>
        <v>0</v>
      </c>
      <c r="O1018" s="143" t="s">
        <v>1043</v>
      </c>
      <c r="P1018" s="135"/>
    </row>
    <row r="1019" s="100" customFormat="1" spans="1:16">
      <c r="A1019" s="145">
        <v>45992</v>
      </c>
      <c r="B1019" s="192" t="s">
        <v>1044</v>
      </c>
      <c r="C1019" s="257" t="s">
        <v>966</v>
      </c>
      <c r="D1019" s="192" t="s">
        <v>967</v>
      </c>
      <c r="E1019" s="158" t="s">
        <v>968</v>
      </c>
      <c r="F1019" s="259">
        <v>46007</v>
      </c>
      <c r="G1019" s="192" t="s">
        <v>1045</v>
      </c>
      <c r="H1019" s="146" t="s">
        <v>833</v>
      </c>
      <c r="I1019" s="260">
        <v>12600</v>
      </c>
      <c r="J1019" s="156">
        <v>0</v>
      </c>
      <c r="K1019" s="260">
        <f t="shared" si="72"/>
        <v>12600</v>
      </c>
      <c r="L1019" s="156">
        <f>7800+4800</f>
        <v>12600</v>
      </c>
      <c r="M1019" s="156"/>
      <c r="N1019" s="144">
        <f t="shared" si="69"/>
        <v>0</v>
      </c>
      <c r="O1019" s="261" t="s">
        <v>1046</v>
      </c>
      <c r="P1019" s="192" t="s">
        <v>1047</v>
      </c>
    </row>
    <row r="1020" s="99" customFormat="1" spans="1:16">
      <c r="A1020" s="122">
        <v>45992</v>
      </c>
      <c r="B1020" s="112" t="s">
        <v>16</v>
      </c>
      <c r="C1020" s="256" t="s">
        <v>873</v>
      </c>
      <c r="D1020" s="135" t="s">
        <v>874</v>
      </c>
      <c r="E1020" s="135" t="s">
        <v>875</v>
      </c>
      <c r="F1020" s="258">
        <v>46007</v>
      </c>
      <c r="G1020" s="112" t="s">
        <v>1019</v>
      </c>
      <c r="H1020" s="116" t="s">
        <v>833</v>
      </c>
      <c r="I1020" s="252">
        <v>24000</v>
      </c>
      <c r="J1020" s="139">
        <v>0</v>
      </c>
      <c r="K1020" s="252">
        <f t="shared" si="72"/>
        <v>24000</v>
      </c>
      <c r="L1020" s="139">
        <v>24000</v>
      </c>
      <c r="M1020" s="139"/>
      <c r="N1020" s="131">
        <f t="shared" si="69"/>
        <v>0</v>
      </c>
      <c r="O1020" s="143" t="s">
        <v>1048</v>
      </c>
      <c r="P1020" s="135"/>
    </row>
    <row r="1021" s="99" customFormat="1" spans="1:16">
      <c r="A1021" s="122">
        <v>46082</v>
      </c>
      <c r="B1021" s="135" t="s">
        <v>16</v>
      </c>
      <c r="C1021" s="256" t="s">
        <v>881</v>
      </c>
      <c r="D1021" s="135" t="s">
        <v>882</v>
      </c>
      <c r="E1021" s="135" t="s">
        <v>883</v>
      </c>
      <c r="F1021" s="117">
        <v>46007</v>
      </c>
      <c r="G1021" s="135" t="s">
        <v>1032</v>
      </c>
      <c r="H1021" s="116" t="s">
        <v>833</v>
      </c>
      <c r="I1021" s="252">
        <v>21000</v>
      </c>
      <c r="J1021" s="139">
        <v>21000</v>
      </c>
      <c r="K1021" s="252">
        <f t="shared" si="72"/>
        <v>0</v>
      </c>
      <c r="L1021" s="139"/>
      <c r="M1021" s="139"/>
      <c r="N1021" s="131">
        <f t="shared" si="69"/>
        <v>0</v>
      </c>
      <c r="O1021" s="143" t="s">
        <v>1049</v>
      </c>
      <c r="P1021" s="135"/>
    </row>
    <row r="1022" s="99" customFormat="1" spans="1:16">
      <c r="A1022" s="122">
        <v>45992</v>
      </c>
      <c r="B1022" s="135" t="s">
        <v>285</v>
      </c>
      <c r="C1022" s="256" t="s">
        <v>302</v>
      </c>
      <c r="D1022" s="135" t="s">
        <v>303</v>
      </c>
      <c r="E1022" s="135" t="s">
        <v>304</v>
      </c>
      <c r="F1022" s="258">
        <v>46007</v>
      </c>
      <c r="G1022" s="135" t="s">
        <v>1050</v>
      </c>
      <c r="H1022" s="116" t="s">
        <v>23</v>
      </c>
      <c r="I1022" s="252">
        <v>4290</v>
      </c>
      <c r="J1022" s="139">
        <v>0</v>
      </c>
      <c r="K1022" s="252">
        <f t="shared" si="72"/>
        <v>4290</v>
      </c>
      <c r="L1022" s="139">
        <v>4290</v>
      </c>
      <c r="M1022" s="139"/>
      <c r="N1022" s="131">
        <f t="shared" si="69"/>
        <v>0</v>
      </c>
      <c r="O1022" s="143" t="s">
        <v>1051</v>
      </c>
      <c r="P1022" s="135"/>
    </row>
    <row r="1023" s="99" customFormat="1" spans="1:16">
      <c r="A1023" s="122">
        <v>45992</v>
      </c>
      <c r="B1023" s="135" t="s">
        <v>285</v>
      </c>
      <c r="C1023" s="256" t="s">
        <v>302</v>
      </c>
      <c r="D1023" s="135" t="s">
        <v>303</v>
      </c>
      <c r="E1023" s="135" t="s">
        <v>304</v>
      </c>
      <c r="F1023" s="258">
        <v>46007</v>
      </c>
      <c r="G1023" s="135" t="s">
        <v>1050</v>
      </c>
      <c r="H1023" s="116" t="s">
        <v>21</v>
      </c>
      <c r="I1023" s="252">
        <v>10709.4</v>
      </c>
      <c r="J1023" s="139">
        <v>0</v>
      </c>
      <c r="K1023" s="252">
        <f t="shared" si="72"/>
        <v>10709.4</v>
      </c>
      <c r="L1023" s="139">
        <v>10709.4</v>
      </c>
      <c r="M1023" s="139"/>
      <c r="N1023" s="131">
        <f t="shared" si="69"/>
        <v>0</v>
      </c>
      <c r="O1023" s="143" t="s">
        <v>1051</v>
      </c>
      <c r="P1023" s="135"/>
    </row>
    <row r="1024" s="99" customFormat="1" spans="1:16">
      <c r="A1024" s="122">
        <v>45992</v>
      </c>
      <c r="B1024" s="135" t="s">
        <v>285</v>
      </c>
      <c r="C1024" s="256" t="s">
        <v>306</v>
      </c>
      <c r="D1024" s="135" t="s">
        <v>307</v>
      </c>
      <c r="E1024" s="135" t="s">
        <v>308</v>
      </c>
      <c r="F1024" s="258">
        <v>46007</v>
      </c>
      <c r="G1024" s="135" t="s">
        <v>1019</v>
      </c>
      <c r="H1024" s="116" t="s">
        <v>23</v>
      </c>
      <c r="I1024" s="252">
        <v>9075</v>
      </c>
      <c r="J1024" s="139">
        <v>0</v>
      </c>
      <c r="K1024" s="252">
        <f t="shared" si="72"/>
        <v>9075</v>
      </c>
      <c r="L1024" s="156">
        <v>9075</v>
      </c>
      <c r="M1024" s="139"/>
      <c r="N1024" s="131">
        <f t="shared" si="69"/>
        <v>0</v>
      </c>
      <c r="O1024" s="143" t="s">
        <v>1052</v>
      </c>
      <c r="P1024" s="135"/>
    </row>
    <row r="1025" s="99" customFormat="1" spans="1:16">
      <c r="A1025" s="122">
        <v>45992</v>
      </c>
      <c r="B1025" s="135" t="s">
        <v>285</v>
      </c>
      <c r="C1025" s="256" t="s">
        <v>306</v>
      </c>
      <c r="D1025" s="135" t="s">
        <v>307</v>
      </c>
      <c r="E1025" s="135" t="s">
        <v>308</v>
      </c>
      <c r="F1025" s="258">
        <v>46007</v>
      </c>
      <c r="G1025" s="135" t="s">
        <v>1019</v>
      </c>
      <c r="H1025" s="116" t="s">
        <v>21</v>
      </c>
      <c r="I1025" s="252">
        <v>16123.8</v>
      </c>
      <c r="J1025" s="139">
        <v>0</v>
      </c>
      <c r="K1025" s="252">
        <f t="shared" si="72"/>
        <v>16123.8</v>
      </c>
      <c r="L1025" s="156">
        <v>16123.8</v>
      </c>
      <c r="M1025" s="139"/>
      <c r="N1025" s="131">
        <f t="shared" si="69"/>
        <v>0</v>
      </c>
      <c r="O1025" s="143" t="s">
        <v>1052</v>
      </c>
      <c r="P1025" s="135"/>
    </row>
    <row r="1026" s="99" customFormat="1" spans="1:16">
      <c r="A1026" s="122">
        <v>45992</v>
      </c>
      <c r="B1026" s="135" t="s">
        <v>285</v>
      </c>
      <c r="C1026" s="256" t="s">
        <v>322</v>
      </c>
      <c r="D1026" s="135" t="s">
        <v>323</v>
      </c>
      <c r="E1026" s="135" t="s">
        <v>324</v>
      </c>
      <c r="F1026" s="258">
        <v>46007</v>
      </c>
      <c r="G1026" s="135" t="s">
        <v>1053</v>
      </c>
      <c r="H1026" s="116" t="s">
        <v>21</v>
      </c>
      <c r="I1026" s="252">
        <v>19271.1</v>
      </c>
      <c r="J1026" s="139">
        <v>0</v>
      </c>
      <c r="K1026" s="252">
        <f t="shared" si="72"/>
        <v>19271.1</v>
      </c>
      <c r="L1026" s="139">
        <v>19271.1</v>
      </c>
      <c r="M1026" s="139"/>
      <c r="N1026" s="131">
        <f t="shared" si="69"/>
        <v>0</v>
      </c>
      <c r="O1026" s="143" t="s">
        <v>918</v>
      </c>
      <c r="P1026" s="135"/>
    </row>
    <row r="1027" s="99" customFormat="1" spans="1:16">
      <c r="A1027" s="122">
        <v>45992</v>
      </c>
      <c r="B1027" s="135" t="s">
        <v>285</v>
      </c>
      <c r="C1027" s="256" t="s">
        <v>336</v>
      </c>
      <c r="D1027" s="135" t="s">
        <v>337</v>
      </c>
      <c r="E1027" s="135" t="s">
        <v>338</v>
      </c>
      <c r="F1027" s="258">
        <v>46007</v>
      </c>
      <c r="G1027" s="135" t="s">
        <v>1019</v>
      </c>
      <c r="H1027" s="116" t="s">
        <v>23</v>
      </c>
      <c r="I1027" s="252">
        <v>13819.05</v>
      </c>
      <c r="J1027" s="139">
        <v>0</v>
      </c>
      <c r="K1027" s="252">
        <f t="shared" si="72"/>
        <v>13819.05</v>
      </c>
      <c r="L1027" s="139">
        <v>13819.05</v>
      </c>
      <c r="M1027" s="139"/>
      <c r="N1027" s="131">
        <f t="shared" ref="N1027:N1090" si="73">K1027-L1027</f>
        <v>0</v>
      </c>
      <c r="O1027" s="143" t="s">
        <v>1054</v>
      </c>
      <c r="P1027" s="135"/>
    </row>
    <row r="1028" s="99" customFormat="1" spans="1:16">
      <c r="A1028" s="122">
        <v>45992</v>
      </c>
      <c r="B1028" s="135" t="s">
        <v>285</v>
      </c>
      <c r="C1028" s="256" t="s">
        <v>336</v>
      </c>
      <c r="D1028" s="135" t="s">
        <v>337</v>
      </c>
      <c r="E1028" s="135" t="s">
        <v>338</v>
      </c>
      <c r="F1028" s="258">
        <v>46007</v>
      </c>
      <c r="G1028" s="135" t="s">
        <v>1019</v>
      </c>
      <c r="H1028" s="116" t="s">
        <v>21</v>
      </c>
      <c r="I1028" s="252">
        <v>36850.8</v>
      </c>
      <c r="J1028" s="139">
        <v>0</v>
      </c>
      <c r="K1028" s="252">
        <f t="shared" si="72"/>
        <v>36850.8</v>
      </c>
      <c r="L1028" s="139">
        <v>36850.8</v>
      </c>
      <c r="M1028" s="139"/>
      <c r="N1028" s="131">
        <f t="shared" si="73"/>
        <v>0</v>
      </c>
      <c r="O1028" s="143" t="s">
        <v>1054</v>
      </c>
      <c r="P1028" s="135"/>
    </row>
    <row r="1029" s="99" customFormat="1" spans="1:16">
      <c r="A1029" s="122">
        <v>45992</v>
      </c>
      <c r="B1029" s="135" t="s">
        <v>285</v>
      </c>
      <c r="C1029" s="256" t="s">
        <v>354</v>
      </c>
      <c r="D1029" s="135" t="s">
        <v>355</v>
      </c>
      <c r="E1029" s="135" t="s">
        <v>356</v>
      </c>
      <c r="F1029" s="258">
        <v>46007</v>
      </c>
      <c r="G1029" s="135" t="s">
        <v>1019</v>
      </c>
      <c r="H1029" s="116" t="s">
        <v>23</v>
      </c>
      <c r="I1029" s="252">
        <v>6300</v>
      </c>
      <c r="J1029" s="139">
        <v>0</v>
      </c>
      <c r="K1029" s="252">
        <f t="shared" si="72"/>
        <v>6300</v>
      </c>
      <c r="L1029" s="139">
        <f>2100+4200</f>
        <v>6300</v>
      </c>
      <c r="M1029" s="139"/>
      <c r="N1029" s="131">
        <f t="shared" si="73"/>
        <v>0</v>
      </c>
      <c r="O1029" s="143" t="s">
        <v>1055</v>
      </c>
      <c r="P1029" s="135"/>
    </row>
    <row r="1030" s="99" customFormat="1" spans="1:16">
      <c r="A1030" s="122">
        <v>45992</v>
      </c>
      <c r="B1030" s="135" t="s">
        <v>285</v>
      </c>
      <c r="C1030" s="256" t="s">
        <v>354</v>
      </c>
      <c r="D1030" s="135" t="s">
        <v>355</v>
      </c>
      <c r="E1030" s="135" t="s">
        <v>356</v>
      </c>
      <c r="F1030" s="258">
        <v>46007</v>
      </c>
      <c r="G1030" s="135" t="s">
        <v>1019</v>
      </c>
      <c r="H1030" s="116" t="s">
        <v>21</v>
      </c>
      <c r="I1030" s="252">
        <v>9450</v>
      </c>
      <c r="J1030" s="139">
        <v>0</v>
      </c>
      <c r="K1030" s="252">
        <f t="shared" si="72"/>
        <v>9450</v>
      </c>
      <c r="L1030" s="139">
        <f>3150+6300</f>
        <v>9450</v>
      </c>
      <c r="M1030" s="139"/>
      <c r="N1030" s="131">
        <f t="shared" si="73"/>
        <v>0</v>
      </c>
      <c r="O1030" s="143" t="s">
        <v>1055</v>
      </c>
      <c r="P1030" s="135"/>
    </row>
    <row r="1031" s="99" customFormat="1" spans="1:16">
      <c r="A1031" s="122">
        <v>45992</v>
      </c>
      <c r="B1031" s="135" t="s">
        <v>285</v>
      </c>
      <c r="C1031" s="256" t="s">
        <v>358</v>
      </c>
      <c r="D1031" s="135" t="s">
        <v>359</v>
      </c>
      <c r="E1031" s="135" t="s">
        <v>360</v>
      </c>
      <c r="F1031" s="258">
        <v>46007</v>
      </c>
      <c r="G1031" s="135" t="s">
        <v>1019</v>
      </c>
      <c r="H1031" s="116" t="s">
        <v>23</v>
      </c>
      <c r="I1031" s="252">
        <v>7020</v>
      </c>
      <c r="J1031" s="139">
        <v>0</v>
      </c>
      <c r="K1031" s="252">
        <f t="shared" si="72"/>
        <v>7020</v>
      </c>
      <c r="L1031" s="139">
        <v>7020</v>
      </c>
      <c r="M1031" s="139"/>
      <c r="N1031" s="131">
        <f t="shared" si="73"/>
        <v>0</v>
      </c>
      <c r="O1031" s="143" t="s">
        <v>1056</v>
      </c>
      <c r="P1031" s="135"/>
    </row>
    <row r="1032" s="99" customFormat="1" spans="1:16">
      <c r="A1032" s="122">
        <v>45992</v>
      </c>
      <c r="B1032" s="135" t="s">
        <v>285</v>
      </c>
      <c r="C1032" s="256" t="s">
        <v>358</v>
      </c>
      <c r="D1032" s="135" t="s">
        <v>359</v>
      </c>
      <c r="E1032" s="135" t="s">
        <v>360</v>
      </c>
      <c r="F1032" s="258">
        <v>46007</v>
      </c>
      <c r="G1032" s="135" t="s">
        <v>1019</v>
      </c>
      <c r="H1032" s="116" t="s">
        <v>21</v>
      </c>
      <c r="I1032" s="252">
        <v>11126.7</v>
      </c>
      <c r="J1032" s="139">
        <v>0</v>
      </c>
      <c r="K1032" s="252">
        <f t="shared" si="72"/>
        <v>11126.7</v>
      </c>
      <c r="L1032" s="139">
        <f>11126+0.7</f>
        <v>11126.7</v>
      </c>
      <c r="M1032" s="139">
        <v>0.3</v>
      </c>
      <c r="N1032" s="131">
        <f t="shared" si="73"/>
        <v>0</v>
      </c>
      <c r="O1032" s="143" t="s">
        <v>1057</v>
      </c>
      <c r="P1032" s="135"/>
    </row>
    <row r="1033" s="99" customFormat="1" spans="1:16">
      <c r="A1033" s="122">
        <v>45992</v>
      </c>
      <c r="B1033" s="135" t="s">
        <v>285</v>
      </c>
      <c r="C1033" s="256" t="s">
        <v>1058</v>
      </c>
      <c r="D1033" s="135" t="s">
        <v>364</v>
      </c>
      <c r="E1033" s="135" t="s">
        <v>365</v>
      </c>
      <c r="F1033" s="258">
        <v>46007</v>
      </c>
      <c r="G1033" s="135" t="s">
        <v>1019</v>
      </c>
      <c r="H1033" s="116" t="s">
        <v>23</v>
      </c>
      <c r="I1033" s="252">
        <v>6000</v>
      </c>
      <c r="J1033" s="139">
        <v>0</v>
      </c>
      <c r="K1033" s="252">
        <f t="shared" si="72"/>
        <v>6000</v>
      </c>
      <c r="L1033" s="139">
        <v>6000</v>
      </c>
      <c r="M1033" s="139"/>
      <c r="N1033" s="131">
        <f t="shared" si="73"/>
        <v>0</v>
      </c>
      <c r="O1033" s="140" t="s">
        <v>366</v>
      </c>
      <c r="P1033" s="135"/>
    </row>
    <row r="1034" s="99" customFormat="1" spans="1:16">
      <c r="A1034" s="122">
        <v>45992</v>
      </c>
      <c r="B1034" s="135" t="s">
        <v>285</v>
      </c>
      <c r="C1034" s="256" t="s">
        <v>1058</v>
      </c>
      <c r="D1034" s="135" t="s">
        <v>364</v>
      </c>
      <c r="E1034" s="135" t="s">
        <v>365</v>
      </c>
      <c r="F1034" s="258">
        <v>46007</v>
      </c>
      <c r="G1034" s="135" t="s">
        <v>1019</v>
      </c>
      <c r="H1034" s="116" t="s">
        <v>21</v>
      </c>
      <c r="I1034" s="252">
        <v>7800</v>
      </c>
      <c r="J1034" s="139">
        <v>0</v>
      </c>
      <c r="K1034" s="252">
        <f t="shared" si="72"/>
        <v>7800</v>
      </c>
      <c r="L1034" s="139">
        <v>7800</v>
      </c>
      <c r="M1034" s="139"/>
      <c r="N1034" s="131">
        <f t="shared" si="73"/>
        <v>0</v>
      </c>
      <c r="O1034" s="140" t="s">
        <v>366</v>
      </c>
      <c r="P1034" s="135"/>
    </row>
    <row r="1035" s="99" customFormat="1" spans="1:16">
      <c r="A1035" s="122">
        <v>45992</v>
      </c>
      <c r="B1035" s="135" t="s">
        <v>285</v>
      </c>
      <c r="C1035" s="256" t="s">
        <v>367</v>
      </c>
      <c r="D1035" s="135" t="s">
        <v>368</v>
      </c>
      <c r="E1035" s="135" t="s">
        <v>369</v>
      </c>
      <c r="F1035" s="258">
        <v>46007</v>
      </c>
      <c r="G1035" s="135" t="s">
        <v>1019</v>
      </c>
      <c r="H1035" s="116" t="s">
        <v>23</v>
      </c>
      <c r="I1035" s="252">
        <v>5400</v>
      </c>
      <c r="J1035" s="139">
        <v>0</v>
      </c>
      <c r="K1035" s="252">
        <f t="shared" si="72"/>
        <v>5400</v>
      </c>
      <c r="L1035" s="139">
        <f>1800+1800+1800</f>
        <v>5400</v>
      </c>
      <c r="M1035" s="139"/>
      <c r="N1035" s="131">
        <f t="shared" si="73"/>
        <v>0</v>
      </c>
      <c r="O1035" s="143" t="s">
        <v>1059</v>
      </c>
      <c r="P1035" s="135"/>
    </row>
    <row r="1036" s="99" customFormat="1" spans="1:16">
      <c r="A1036" s="122">
        <v>45992</v>
      </c>
      <c r="B1036" s="135" t="s">
        <v>285</v>
      </c>
      <c r="C1036" s="256" t="s">
        <v>367</v>
      </c>
      <c r="D1036" s="135" t="s">
        <v>368</v>
      </c>
      <c r="E1036" s="135" t="s">
        <v>369</v>
      </c>
      <c r="F1036" s="258">
        <v>46007</v>
      </c>
      <c r="G1036" s="135" t="s">
        <v>1019</v>
      </c>
      <c r="H1036" s="116" t="s">
        <v>21</v>
      </c>
      <c r="I1036" s="252">
        <v>12600</v>
      </c>
      <c r="J1036" s="139">
        <v>0</v>
      </c>
      <c r="K1036" s="252">
        <f t="shared" si="72"/>
        <v>12600</v>
      </c>
      <c r="L1036" s="139">
        <f>4200+4200+4200</f>
        <v>12600</v>
      </c>
      <c r="M1036" s="139"/>
      <c r="N1036" s="131">
        <f t="shared" si="73"/>
        <v>0</v>
      </c>
      <c r="O1036" s="143" t="s">
        <v>1059</v>
      </c>
      <c r="P1036" s="135"/>
    </row>
    <row r="1037" s="99" customFormat="1" spans="1:16">
      <c r="A1037" s="122">
        <v>45992</v>
      </c>
      <c r="B1037" s="135" t="s">
        <v>285</v>
      </c>
      <c r="C1037" s="256" t="s">
        <v>376</v>
      </c>
      <c r="D1037" s="135" t="s">
        <v>377</v>
      </c>
      <c r="E1037" s="135" t="s">
        <v>378</v>
      </c>
      <c r="F1037" s="117">
        <v>46007</v>
      </c>
      <c r="G1037" s="135" t="s">
        <v>1060</v>
      </c>
      <c r="H1037" s="116" t="s">
        <v>23</v>
      </c>
      <c r="I1037" s="252">
        <v>6753.75</v>
      </c>
      <c r="J1037" s="139">
        <v>0</v>
      </c>
      <c r="K1037" s="252">
        <f t="shared" si="72"/>
        <v>6753.75</v>
      </c>
      <c r="L1037" s="139">
        <f>3520.57+233.18+2000+1000</f>
        <v>6753.75</v>
      </c>
      <c r="M1037" s="139"/>
      <c r="N1037" s="131">
        <f t="shared" si="73"/>
        <v>0</v>
      </c>
      <c r="O1037" s="143" t="s">
        <v>1061</v>
      </c>
      <c r="P1037" s="135"/>
    </row>
    <row r="1038" s="99" customFormat="1" spans="1:16">
      <c r="A1038" s="122">
        <v>45992</v>
      </c>
      <c r="B1038" s="135" t="s">
        <v>285</v>
      </c>
      <c r="C1038" s="256" t="s">
        <v>376</v>
      </c>
      <c r="D1038" s="135" t="s">
        <v>377</v>
      </c>
      <c r="E1038" s="135" t="s">
        <v>378</v>
      </c>
      <c r="F1038" s="117">
        <v>46007</v>
      </c>
      <c r="G1038" s="135" t="s">
        <v>1060</v>
      </c>
      <c r="H1038" s="116" t="s">
        <v>21</v>
      </c>
      <c r="I1038" s="252">
        <v>7766.82</v>
      </c>
      <c r="J1038" s="139">
        <v>0</v>
      </c>
      <c r="K1038" s="252">
        <f t="shared" si="72"/>
        <v>7766.82</v>
      </c>
      <c r="L1038" s="139">
        <v>7766.82</v>
      </c>
      <c r="M1038" s="139"/>
      <c r="N1038" s="131">
        <f t="shared" si="73"/>
        <v>0</v>
      </c>
      <c r="O1038" s="143" t="s">
        <v>1062</v>
      </c>
      <c r="P1038" s="135"/>
    </row>
    <row r="1039" s="99" customFormat="1" spans="1:16">
      <c r="A1039" s="122">
        <v>45992</v>
      </c>
      <c r="B1039" s="135" t="s">
        <v>285</v>
      </c>
      <c r="C1039" s="256" t="s">
        <v>383</v>
      </c>
      <c r="D1039" s="135" t="s">
        <v>384</v>
      </c>
      <c r="E1039" s="114" t="s">
        <v>391</v>
      </c>
      <c r="F1039" s="117">
        <v>46007</v>
      </c>
      <c r="G1039" s="135" t="s">
        <v>98</v>
      </c>
      <c r="H1039" s="116" t="s">
        <v>21</v>
      </c>
      <c r="I1039" s="252">
        <v>9170</v>
      </c>
      <c r="J1039" s="139">
        <v>0</v>
      </c>
      <c r="K1039" s="252">
        <f t="shared" si="72"/>
        <v>9170</v>
      </c>
      <c r="L1039" s="136">
        <v>9170</v>
      </c>
      <c r="M1039" s="139"/>
      <c r="N1039" s="131">
        <f t="shared" si="73"/>
        <v>0</v>
      </c>
      <c r="O1039" s="143" t="s">
        <v>1063</v>
      </c>
      <c r="P1039" s="135"/>
    </row>
    <row r="1040" s="99" customFormat="1" spans="1:16">
      <c r="A1040" s="122">
        <v>45992</v>
      </c>
      <c r="B1040" s="135" t="s">
        <v>285</v>
      </c>
      <c r="C1040" s="256" t="s">
        <v>383</v>
      </c>
      <c r="D1040" s="135" t="s">
        <v>384</v>
      </c>
      <c r="E1040" s="114" t="s">
        <v>391</v>
      </c>
      <c r="F1040" s="117">
        <v>46007</v>
      </c>
      <c r="G1040" s="135" t="s">
        <v>98</v>
      </c>
      <c r="H1040" s="116" t="s">
        <v>23</v>
      </c>
      <c r="I1040" s="252">
        <v>9170</v>
      </c>
      <c r="J1040" s="139">
        <v>0</v>
      </c>
      <c r="K1040" s="252">
        <f t="shared" si="72"/>
        <v>9170</v>
      </c>
      <c r="L1040" s="136">
        <f>6603.91+2566.09</f>
        <v>9170</v>
      </c>
      <c r="M1040" s="139"/>
      <c r="N1040" s="131">
        <f t="shared" si="73"/>
        <v>0</v>
      </c>
      <c r="O1040" s="143" t="s">
        <v>1063</v>
      </c>
      <c r="P1040" s="135"/>
    </row>
    <row r="1041" s="99" customFormat="1" spans="1:16">
      <c r="A1041" s="122">
        <v>45992</v>
      </c>
      <c r="B1041" s="135" t="s">
        <v>285</v>
      </c>
      <c r="C1041" s="256" t="s">
        <v>396</v>
      </c>
      <c r="D1041" s="135" t="s">
        <v>397</v>
      </c>
      <c r="E1041" s="135" t="s">
        <v>398</v>
      </c>
      <c r="F1041" s="117">
        <v>46007</v>
      </c>
      <c r="G1041" s="135" t="s">
        <v>28</v>
      </c>
      <c r="H1041" s="116" t="s">
        <v>21</v>
      </c>
      <c r="I1041" s="252">
        <v>3133.52</v>
      </c>
      <c r="J1041" s="139">
        <v>0</v>
      </c>
      <c r="K1041" s="252">
        <f t="shared" si="72"/>
        <v>3133.52</v>
      </c>
      <c r="L1041" s="139">
        <v>3133.52</v>
      </c>
      <c r="M1041" s="139"/>
      <c r="N1041" s="131">
        <f t="shared" si="73"/>
        <v>0</v>
      </c>
      <c r="O1041" s="140" t="s">
        <v>1064</v>
      </c>
      <c r="P1041" s="135"/>
    </row>
    <row r="1042" s="99" customFormat="1" spans="1:16">
      <c r="A1042" s="122">
        <v>45992</v>
      </c>
      <c r="B1042" s="135" t="s">
        <v>285</v>
      </c>
      <c r="C1042" s="256" t="s">
        <v>396</v>
      </c>
      <c r="D1042" s="135" t="s">
        <v>397</v>
      </c>
      <c r="E1042" s="135" t="s">
        <v>398</v>
      </c>
      <c r="F1042" s="117">
        <v>46007</v>
      </c>
      <c r="G1042" s="135" t="s">
        <v>1017</v>
      </c>
      <c r="H1042" s="116" t="s">
        <v>23</v>
      </c>
      <c r="I1042" s="252">
        <v>10040</v>
      </c>
      <c r="J1042" s="139">
        <v>0</v>
      </c>
      <c r="K1042" s="252">
        <f t="shared" si="72"/>
        <v>10040</v>
      </c>
      <c r="L1042" s="139">
        <v>10040</v>
      </c>
      <c r="M1042" s="139"/>
      <c r="N1042" s="131">
        <f t="shared" si="73"/>
        <v>0</v>
      </c>
      <c r="O1042" s="143" t="s">
        <v>1065</v>
      </c>
      <c r="P1042" s="135"/>
    </row>
    <row r="1043" s="99" customFormat="1" spans="1:16">
      <c r="A1043" s="122">
        <v>45992</v>
      </c>
      <c r="B1043" s="135" t="s">
        <v>285</v>
      </c>
      <c r="C1043" s="256" t="s">
        <v>405</v>
      </c>
      <c r="D1043" s="135" t="s">
        <v>406</v>
      </c>
      <c r="E1043" s="135" t="s">
        <v>407</v>
      </c>
      <c r="F1043" s="117">
        <v>46007</v>
      </c>
      <c r="G1043" s="135" t="s">
        <v>1050</v>
      </c>
      <c r="H1043" s="116" t="s">
        <v>21</v>
      </c>
      <c r="I1043" s="252">
        <v>8991</v>
      </c>
      <c r="J1043" s="139">
        <v>0</v>
      </c>
      <c r="K1043" s="252">
        <f t="shared" si="72"/>
        <v>8991</v>
      </c>
      <c r="L1043" s="139">
        <v>8991</v>
      </c>
      <c r="M1043" s="139"/>
      <c r="N1043" s="131">
        <f t="shared" si="73"/>
        <v>0</v>
      </c>
      <c r="O1043" s="143" t="s">
        <v>1066</v>
      </c>
      <c r="P1043" s="135"/>
    </row>
    <row r="1044" s="99" customFormat="1" spans="1:16">
      <c r="A1044" s="122">
        <v>45992</v>
      </c>
      <c r="B1044" s="135" t="s">
        <v>285</v>
      </c>
      <c r="C1044" s="256" t="s">
        <v>405</v>
      </c>
      <c r="D1044" s="135" t="s">
        <v>406</v>
      </c>
      <c r="E1044" s="135" t="s">
        <v>407</v>
      </c>
      <c r="F1044" s="117">
        <v>46007</v>
      </c>
      <c r="G1044" s="135" t="s">
        <v>1050</v>
      </c>
      <c r="H1044" s="116" t="s">
        <v>23</v>
      </c>
      <c r="I1044" s="252">
        <v>9990</v>
      </c>
      <c r="J1044" s="139">
        <v>0</v>
      </c>
      <c r="K1044" s="252">
        <f t="shared" si="72"/>
        <v>9990</v>
      </c>
      <c r="L1044" s="139">
        <v>4532.5</v>
      </c>
      <c r="M1044" s="139"/>
      <c r="N1044" s="131">
        <f t="shared" si="73"/>
        <v>5457.5</v>
      </c>
      <c r="O1044" s="143" t="s">
        <v>1066</v>
      </c>
      <c r="P1044" s="135"/>
    </row>
    <row r="1045" s="99" customFormat="1" spans="1:16">
      <c r="A1045" s="122">
        <v>45992</v>
      </c>
      <c r="B1045" s="135" t="s">
        <v>285</v>
      </c>
      <c r="C1045" s="256" t="s">
        <v>433</v>
      </c>
      <c r="D1045" s="135" t="s">
        <v>434</v>
      </c>
      <c r="E1045" s="135" t="s">
        <v>435</v>
      </c>
      <c r="F1045" s="117">
        <v>46007</v>
      </c>
      <c r="G1045" s="135" t="s">
        <v>1050</v>
      </c>
      <c r="H1045" s="116" t="s">
        <v>21</v>
      </c>
      <c r="I1045" s="252">
        <v>11294.1</v>
      </c>
      <c r="J1045" s="139">
        <v>0</v>
      </c>
      <c r="K1045" s="252">
        <f t="shared" si="72"/>
        <v>11294.1</v>
      </c>
      <c r="L1045" s="139">
        <v>11294.1</v>
      </c>
      <c r="M1045" s="139"/>
      <c r="N1045" s="131">
        <f t="shared" si="73"/>
        <v>0</v>
      </c>
      <c r="O1045" s="143" t="s">
        <v>1054</v>
      </c>
      <c r="P1045" s="262"/>
    </row>
    <row r="1046" s="99" customFormat="1" spans="1:16">
      <c r="A1046" s="122">
        <v>45992</v>
      </c>
      <c r="B1046" s="135" t="s">
        <v>285</v>
      </c>
      <c r="C1046" s="256" t="s">
        <v>433</v>
      </c>
      <c r="D1046" s="135" t="s">
        <v>434</v>
      </c>
      <c r="E1046" s="135" t="s">
        <v>435</v>
      </c>
      <c r="F1046" s="117">
        <v>46007</v>
      </c>
      <c r="G1046" s="135" t="s">
        <v>1050</v>
      </c>
      <c r="H1046" s="116" t="s">
        <v>23</v>
      </c>
      <c r="I1046" s="252">
        <v>12690</v>
      </c>
      <c r="J1046" s="139">
        <v>0</v>
      </c>
      <c r="K1046" s="252">
        <f t="shared" si="72"/>
        <v>12690</v>
      </c>
      <c r="L1046" s="139">
        <v>12690</v>
      </c>
      <c r="M1046" s="139"/>
      <c r="N1046" s="131">
        <f t="shared" si="73"/>
        <v>0</v>
      </c>
      <c r="O1046" s="143" t="s">
        <v>1054</v>
      </c>
      <c r="P1046" s="262"/>
    </row>
    <row r="1047" s="99" customFormat="1" spans="1:16">
      <c r="A1047" s="122">
        <v>45992</v>
      </c>
      <c r="B1047" s="135" t="s">
        <v>285</v>
      </c>
      <c r="C1047" s="256" t="s">
        <v>440</v>
      </c>
      <c r="D1047" s="135" t="s">
        <v>441</v>
      </c>
      <c r="E1047" s="135" t="s">
        <v>442</v>
      </c>
      <c r="F1047" s="117">
        <v>46007</v>
      </c>
      <c r="G1047" s="135" t="s">
        <v>1067</v>
      </c>
      <c r="H1047" s="116" t="s">
        <v>21</v>
      </c>
      <c r="I1047" s="252">
        <v>3313.97</v>
      </c>
      <c r="J1047" s="139">
        <v>0</v>
      </c>
      <c r="K1047" s="252">
        <f t="shared" si="72"/>
        <v>3313.97</v>
      </c>
      <c r="L1047" s="139">
        <v>3313.97</v>
      </c>
      <c r="M1047" s="139"/>
      <c r="N1047" s="131">
        <f t="shared" si="73"/>
        <v>0</v>
      </c>
      <c r="O1047" s="143" t="s">
        <v>1068</v>
      </c>
      <c r="P1047" s="262"/>
    </row>
    <row r="1048" s="99" customFormat="1" spans="1:16">
      <c r="A1048" s="122">
        <v>45992</v>
      </c>
      <c r="B1048" s="135" t="s">
        <v>285</v>
      </c>
      <c r="C1048" s="256" t="s">
        <v>440</v>
      </c>
      <c r="D1048" s="135" t="s">
        <v>441</v>
      </c>
      <c r="E1048" s="135" t="s">
        <v>442</v>
      </c>
      <c r="F1048" s="117">
        <v>46007</v>
      </c>
      <c r="G1048" s="135" t="s">
        <v>1067</v>
      </c>
      <c r="H1048" s="116" t="s">
        <v>23</v>
      </c>
      <c r="I1048" s="252">
        <v>2603.84</v>
      </c>
      <c r="J1048" s="139">
        <v>0</v>
      </c>
      <c r="K1048" s="252">
        <f t="shared" si="72"/>
        <v>2603.84</v>
      </c>
      <c r="L1048" s="139">
        <f>5067.81-3313.97</f>
        <v>1753.84</v>
      </c>
      <c r="M1048" s="139"/>
      <c r="N1048" s="131">
        <f t="shared" si="73"/>
        <v>850</v>
      </c>
      <c r="O1048" s="143" t="s">
        <v>1068</v>
      </c>
      <c r="P1048" s="262"/>
    </row>
    <row r="1049" s="99" customFormat="1" spans="1:16">
      <c r="A1049" s="122">
        <v>45992</v>
      </c>
      <c r="B1049" s="135" t="s">
        <v>285</v>
      </c>
      <c r="C1049" s="256" t="s">
        <v>459</v>
      </c>
      <c r="D1049" s="135" t="s">
        <v>460</v>
      </c>
      <c r="E1049" s="135" t="s">
        <v>461</v>
      </c>
      <c r="F1049" s="117">
        <v>46007</v>
      </c>
      <c r="G1049" s="135" t="s">
        <v>98</v>
      </c>
      <c r="H1049" s="116" t="s">
        <v>21</v>
      </c>
      <c r="I1049" s="252">
        <v>6249.6</v>
      </c>
      <c r="J1049" s="139">
        <v>0</v>
      </c>
      <c r="K1049" s="252">
        <f t="shared" ref="K1049:K1061" si="74">I1049-J1049</f>
        <v>6249.6</v>
      </c>
      <c r="L1049" s="139">
        <v>6249.6</v>
      </c>
      <c r="M1049" s="139"/>
      <c r="N1049" s="131">
        <f t="shared" si="73"/>
        <v>0</v>
      </c>
      <c r="O1049" s="143" t="s">
        <v>1029</v>
      </c>
      <c r="P1049" s="262"/>
    </row>
    <row r="1050" s="99" customFormat="1" spans="1:16">
      <c r="A1050" s="122">
        <v>45992</v>
      </c>
      <c r="B1050" s="135" t="s">
        <v>285</v>
      </c>
      <c r="C1050" s="256" t="s">
        <v>459</v>
      </c>
      <c r="D1050" s="135" t="s">
        <v>460</v>
      </c>
      <c r="E1050" s="135" t="s">
        <v>461</v>
      </c>
      <c r="F1050" s="117">
        <v>46007</v>
      </c>
      <c r="G1050" s="135" t="s">
        <v>98</v>
      </c>
      <c r="H1050" s="116" t="s">
        <v>23</v>
      </c>
      <c r="I1050" s="252">
        <v>2475</v>
      </c>
      <c r="J1050" s="139">
        <v>0</v>
      </c>
      <c r="K1050" s="252">
        <f t="shared" si="74"/>
        <v>2475</v>
      </c>
      <c r="L1050" s="139">
        <v>2475</v>
      </c>
      <c r="M1050" s="139"/>
      <c r="N1050" s="131">
        <f t="shared" si="73"/>
        <v>0</v>
      </c>
      <c r="O1050" s="143" t="s">
        <v>1029</v>
      </c>
      <c r="P1050" s="262"/>
    </row>
    <row r="1051" s="99" customFormat="1" spans="1:16">
      <c r="A1051" s="122">
        <v>45992</v>
      </c>
      <c r="B1051" s="135" t="s">
        <v>285</v>
      </c>
      <c r="C1051" s="256" t="s">
        <v>466</v>
      </c>
      <c r="D1051" s="135" t="s">
        <v>467</v>
      </c>
      <c r="E1051" s="135" t="s">
        <v>270</v>
      </c>
      <c r="F1051" s="117">
        <v>46007</v>
      </c>
      <c r="G1051" s="135" t="s">
        <v>1050</v>
      </c>
      <c r="H1051" s="116" t="s">
        <v>23</v>
      </c>
      <c r="I1051" s="252">
        <v>23100</v>
      </c>
      <c r="J1051" s="139">
        <v>0</v>
      </c>
      <c r="K1051" s="252">
        <f t="shared" si="74"/>
        <v>23100</v>
      </c>
      <c r="L1051" s="139">
        <v>23100</v>
      </c>
      <c r="M1051" s="139"/>
      <c r="N1051" s="131">
        <f t="shared" si="73"/>
        <v>0</v>
      </c>
      <c r="O1051" s="143" t="s">
        <v>1069</v>
      </c>
      <c r="P1051" s="262"/>
    </row>
    <row r="1052" s="99" customFormat="1" spans="1:16">
      <c r="A1052" s="122">
        <v>45992</v>
      </c>
      <c r="B1052" s="135" t="s">
        <v>285</v>
      </c>
      <c r="C1052" s="256" t="s">
        <v>466</v>
      </c>
      <c r="D1052" s="135" t="s">
        <v>467</v>
      </c>
      <c r="E1052" s="135" t="s">
        <v>270</v>
      </c>
      <c r="F1052" s="117">
        <v>46007</v>
      </c>
      <c r="G1052" s="135" t="s">
        <v>1050</v>
      </c>
      <c r="H1052" s="116" t="s">
        <v>21</v>
      </c>
      <c r="I1052" s="252">
        <v>13650</v>
      </c>
      <c r="J1052" s="139">
        <v>0</v>
      </c>
      <c r="K1052" s="252">
        <f t="shared" si="74"/>
        <v>13650</v>
      </c>
      <c r="L1052" s="139">
        <f>12650+1000</f>
        <v>13650</v>
      </c>
      <c r="M1052" s="139"/>
      <c r="N1052" s="131">
        <f t="shared" si="73"/>
        <v>0</v>
      </c>
      <c r="O1052" s="143" t="s">
        <v>1070</v>
      </c>
      <c r="P1052" s="262"/>
    </row>
    <row r="1053" s="99" customFormat="1" spans="1:16">
      <c r="A1053" s="122">
        <v>45992</v>
      </c>
      <c r="B1053" s="135" t="s">
        <v>285</v>
      </c>
      <c r="C1053" s="256" t="s">
        <v>471</v>
      </c>
      <c r="D1053" s="135" t="s">
        <v>472</v>
      </c>
      <c r="E1053" s="135" t="s">
        <v>473</v>
      </c>
      <c r="F1053" s="117">
        <v>46007</v>
      </c>
      <c r="G1053" s="135" t="s">
        <v>1019</v>
      </c>
      <c r="H1053" s="116" t="s">
        <v>21</v>
      </c>
      <c r="I1053" s="252">
        <v>10607.76</v>
      </c>
      <c r="J1053" s="139">
        <v>0</v>
      </c>
      <c r="K1053" s="252">
        <f t="shared" si="74"/>
        <v>10607.76</v>
      </c>
      <c r="L1053" s="139">
        <f>3535.92+4160+2911.84</f>
        <v>10607.76</v>
      </c>
      <c r="M1053" s="139"/>
      <c r="N1053" s="131">
        <f t="shared" si="73"/>
        <v>0</v>
      </c>
      <c r="O1053" s="143" t="s">
        <v>1071</v>
      </c>
      <c r="P1053" s="262"/>
    </row>
    <row r="1054" s="99" customFormat="1" spans="1:16">
      <c r="A1054" s="122">
        <v>45992</v>
      </c>
      <c r="B1054" s="135" t="s">
        <v>285</v>
      </c>
      <c r="C1054" s="256" t="s">
        <v>471</v>
      </c>
      <c r="D1054" s="135" t="s">
        <v>472</v>
      </c>
      <c r="E1054" s="135" t="s">
        <v>473</v>
      </c>
      <c r="F1054" s="117">
        <v>46007</v>
      </c>
      <c r="G1054" s="135" t="s">
        <v>1019</v>
      </c>
      <c r="H1054" s="116" t="s">
        <v>23</v>
      </c>
      <c r="I1054" s="252">
        <v>11880</v>
      </c>
      <c r="J1054" s="139">
        <v>0</v>
      </c>
      <c r="K1054" s="252">
        <f t="shared" si="74"/>
        <v>11880</v>
      </c>
      <c r="L1054" s="139">
        <f>3960+7335.92+584.08</f>
        <v>11880</v>
      </c>
      <c r="M1054" s="139"/>
      <c r="N1054" s="131">
        <f t="shared" si="73"/>
        <v>0</v>
      </c>
      <c r="O1054" s="143" t="s">
        <v>1072</v>
      </c>
      <c r="P1054" s="262"/>
    </row>
    <row r="1055" s="99" customFormat="1" spans="1:16">
      <c r="A1055" s="122">
        <v>45992</v>
      </c>
      <c r="B1055" s="135" t="s">
        <v>285</v>
      </c>
      <c r="C1055" s="256" t="s">
        <v>484</v>
      </c>
      <c r="D1055" s="135" t="s">
        <v>485</v>
      </c>
      <c r="E1055" s="135" t="s">
        <v>486</v>
      </c>
      <c r="F1055" s="117">
        <v>46007</v>
      </c>
      <c r="G1055" s="135" t="s">
        <v>1019</v>
      </c>
      <c r="H1055" s="116" t="s">
        <v>23</v>
      </c>
      <c r="I1055" s="252">
        <v>9405</v>
      </c>
      <c r="J1055" s="139">
        <v>0</v>
      </c>
      <c r="K1055" s="252">
        <f t="shared" si="74"/>
        <v>9405</v>
      </c>
      <c r="L1055" s="139">
        <v>9405</v>
      </c>
      <c r="M1055" s="139"/>
      <c r="N1055" s="131">
        <f t="shared" si="73"/>
        <v>0</v>
      </c>
      <c r="O1055" s="143" t="s">
        <v>1029</v>
      </c>
      <c r="P1055" s="262"/>
    </row>
    <row r="1056" s="99" customFormat="1" spans="1:16">
      <c r="A1056" s="122">
        <v>45992</v>
      </c>
      <c r="B1056" s="135" t="s">
        <v>285</v>
      </c>
      <c r="C1056" s="256" t="s">
        <v>484</v>
      </c>
      <c r="D1056" s="135" t="s">
        <v>485</v>
      </c>
      <c r="E1056" s="135" t="s">
        <v>486</v>
      </c>
      <c r="F1056" s="117">
        <v>46007</v>
      </c>
      <c r="G1056" s="135" t="s">
        <v>1019</v>
      </c>
      <c r="H1056" s="116" t="s">
        <v>21</v>
      </c>
      <c r="I1056" s="252">
        <v>8550</v>
      </c>
      <c r="J1056" s="139">
        <v>0</v>
      </c>
      <c r="K1056" s="252">
        <f t="shared" si="74"/>
        <v>8550</v>
      </c>
      <c r="L1056" s="139">
        <v>8550</v>
      </c>
      <c r="M1056" s="139"/>
      <c r="N1056" s="131">
        <f t="shared" si="73"/>
        <v>0</v>
      </c>
      <c r="O1056" s="143" t="s">
        <v>1029</v>
      </c>
      <c r="P1056" s="262"/>
    </row>
    <row r="1057" s="99" customFormat="1" spans="1:16">
      <c r="A1057" s="122">
        <v>45992</v>
      </c>
      <c r="B1057" s="135" t="s">
        <v>285</v>
      </c>
      <c r="C1057" s="256" t="s">
        <v>488</v>
      </c>
      <c r="D1057" s="135" t="s">
        <v>489</v>
      </c>
      <c r="E1057" s="135" t="s">
        <v>490</v>
      </c>
      <c r="F1057" s="117">
        <v>46007</v>
      </c>
      <c r="G1057" s="135" t="s">
        <v>1050</v>
      </c>
      <c r="H1057" s="116" t="s">
        <v>21</v>
      </c>
      <c r="I1057" s="252">
        <v>11671.56</v>
      </c>
      <c r="J1057" s="139">
        <v>0</v>
      </c>
      <c r="K1057" s="252">
        <f t="shared" si="74"/>
        <v>11671.56</v>
      </c>
      <c r="L1057" s="139">
        <v>11671.56</v>
      </c>
      <c r="M1057" s="139"/>
      <c r="N1057" s="131">
        <f t="shared" si="73"/>
        <v>0</v>
      </c>
      <c r="O1057" s="143" t="s">
        <v>1021</v>
      </c>
      <c r="P1057" s="262"/>
    </row>
    <row r="1058" s="99" customFormat="1" spans="1:16">
      <c r="A1058" s="122">
        <v>45992</v>
      </c>
      <c r="B1058" s="135" t="s">
        <v>285</v>
      </c>
      <c r="C1058" s="256" t="s">
        <v>488</v>
      </c>
      <c r="D1058" s="135" t="s">
        <v>489</v>
      </c>
      <c r="E1058" s="135" t="s">
        <v>490</v>
      </c>
      <c r="F1058" s="117">
        <v>46007</v>
      </c>
      <c r="G1058" s="135" t="s">
        <v>1050</v>
      </c>
      <c r="H1058" s="116" t="s">
        <v>23</v>
      </c>
      <c r="I1058" s="252">
        <v>33330</v>
      </c>
      <c r="J1058" s="139">
        <v>0</v>
      </c>
      <c r="K1058" s="252">
        <f t="shared" si="74"/>
        <v>33330</v>
      </c>
      <c r="L1058" s="139">
        <v>33330</v>
      </c>
      <c r="M1058" s="139"/>
      <c r="N1058" s="131">
        <f t="shared" si="73"/>
        <v>0</v>
      </c>
      <c r="O1058" s="143" t="s">
        <v>1021</v>
      </c>
      <c r="P1058" s="262"/>
    </row>
    <row r="1059" s="99" customFormat="1" spans="1:16">
      <c r="A1059" s="122">
        <v>45992</v>
      </c>
      <c r="B1059" s="135" t="s">
        <v>1073</v>
      </c>
      <c r="C1059" s="256" t="s">
        <v>1074</v>
      </c>
      <c r="D1059" s="135" t="s">
        <v>1075</v>
      </c>
      <c r="E1059" s="135" t="s">
        <v>1076</v>
      </c>
      <c r="F1059" s="117">
        <v>46007</v>
      </c>
      <c r="G1059" s="135" t="s">
        <v>1077</v>
      </c>
      <c r="H1059" s="116" t="s">
        <v>833</v>
      </c>
      <c r="I1059" s="252">
        <v>15720</v>
      </c>
      <c r="J1059" s="139">
        <v>0</v>
      </c>
      <c r="K1059" s="252">
        <f t="shared" si="74"/>
        <v>15720</v>
      </c>
      <c r="L1059" s="139">
        <v>15720</v>
      </c>
      <c r="M1059" s="139"/>
      <c r="N1059" s="131">
        <f t="shared" si="73"/>
        <v>0</v>
      </c>
      <c r="O1059" s="143" t="s">
        <v>171</v>
      </c>
      <c r="P1059" s="262"/>
    </row>
    <row r="1060" s="99" customFormat="1" spans="1:16">
      <c r="A1060" s="122">
        <v>45992</v>
      </c>
      <c r="B1060" s="135" t="s">
        <v>491</v>
      </c>
      <c r="C1060" s="256" t="s">
        <v>509</v>
      </c>
      <c r="D1060" s="135" t="s">
        <v>510</v>
      </c>
      <c r="E1060" s="135" t="s">
        <v>511</v>
      </c>
      <c r="F1060" s="117">
        <v>46007</v>
      </c>
      <c r="G1060" s="135" t="s">
        <v>1078</v>
      </c>
      <c r="H1060" s="116" t="s">
        <v>21</v>
      </c>
      <c r="I1060" s="252">
        <v>6884.79</v>
      </c>
      <c r="J1060" s="139">
        <v>0</v>
      </c>
      <c r="K1060" s="252">
        <f t="shared" si="74"/>
        <v>6884.79</v>
      </c>
      <c r="L1060" s="139">
        <v>6884.79</v>
      </c>
      <c r="M1060" s="139"/>
      <c r="N1060" s="131">
        <f t="shared" si="73"/>
        <v>0</v>
      </c>
      <c r="O1060" s="143" t="s">
        <v>1079</v>
      </c>
      <c r="P1060" s="262"/>
    </row>
    <row r="1061" s="99" customFormat="1" spans="1:16">
      <c r="A1061" s="122">
        <v>45992</v>
      </c>
      <c r="B1061" s="135" t="s">
        <v>491</v>
      </c>
      <c r="C1061" s="256" t="s">
        <v>509</v>
      </c>
      <c r="D1061" s="135" t="s">
        <v>510</v>
      </c>
      <c r="E1061" s="135" t="s">
        <v>511</v>
      </c>
      <c r="F1061" s="117">
        <v>46007</v>
      </c>
      <c r="G1061" s="135" t="s">
        <v>1078</v>
      </c>
      <c r="H1061" s="116" t="s">
        <v>23</v>
      </c>
      <c r="I1061" s="252">
        <v>5115</v>
      </c>
      <c r="J1061" s="139">
        <v>0</v>
      </c>
      <c r="K1061" s="252">
        <f t="shared" si="74"/>
        <v>5115</v>
      </c>
      <c r="L1061" s="139">
        <f>2115+3000</f>
        <v>5115</v>
      </c>
      <c r="M1061" s="139"/>
      <c r="N1061" s="131">
        <f t="shared" si="73"/>
        <v>0</v>
      </c>
      <c r="O1061" s="143" t="s">
        <v>1080</v>
      </c>
      <c r="P1061" s="262"/>
    </row>
    <row r="1062" s="99" customFormat="1" spans="1:16">
      <c r="A1062" s="122">
        <v>45992</v>
      </c>
      <c r="B1062" s="135" t="s">
        <v>491</v>
      </c>
      <c r="C1062" s="256" t="s">
        <v>526</v>
      </c>
      <c r="D1062" s="135" t="s">
        <v>518</v>
      </c>
      <c r="E1062" s="135" t="s">
        <v>1081</v>
      </c>
      <c r="F1062" s="117">
        <v>46007</v>
      </c>
      <c r="G1062" s="135" t="s">
        <v>28</v>
      </c>
      <c r="H1062" s="116" t="s">
        <v>21</v>
      </c>
      <c r="I1062" s="252">
        <v>6233.78</v>
      </c>
      <c r="J1062" s="139">
        <v>0</v>
      </c>
      <c r="K1062" s="252">
        <v>6233.78</v>
      </c>
      <c r="L1062" s="139">
        <f>5413-779.22</f>
        <v>4633.78</v>
      </c>
      <c r="M1062" s="139"/>
      <c r="N1062" s="131">
        <f t="shared" si="73"/>
        <v>1600</v>
      </c>
      <c r="O1062" s="143" t="s">
        <v>1082</v>
      </c>
      <c r="P1062" s="262"/>
    </row>
    <row r="1063" s="99" customFormat="1" spans="1:16">
      <c r="A1063" s="122">
        <v>45992</v>
      </c>
      <c r="B1063" s="135" t="s">
        <v>491</v>
      </c>
      <c r="C1063" s="256" t="s">
        <v>526</v>
      </c>
      <c r="D1063" s="135" t="s">
        <v>518</v>
      </c>
      <c r="E1063" s="135" t="s">
        <v>1081</v>
      </c>
      <c r="F1063" s="117">
        <v>46007</v>
      </c>
      <c r="G1063" s="135" t="s">
        <v>28</v>
      </c>
      <c r="H1063" s="116" t="s">
        <v>23</v>
      </c>
      <c r="I1063" s="252">
        <v>779.22</v>
      </c>
      <c r="J1063" s="139">
        <v>0</v>
      </c>
      <c r="K1063" s="252">
        <v>779.22</v>
      </c>
      <c r="L1063" s="139">
        <v>779.22</v>
      </c>
      <c r="M1063" s="139"/>
      <c r="N1063" s="131">
        <f t="shared" si="73"/>
        <v>0</v>
      </c>
      <c r="O1063" s="143" t="s">
        <v>1082</v>
      </c>
      <c r="P1063" s="262"/>
    </row>
    <row r="1064" s="99" customFormat="1" spans="1:16">
      <c r="A1064" s="122">
        <v>45992</v>
      </c>
      <c r="B1064" s="135" t="s">
        <v>491</v>
      </c>
      <c r="C1064" s="256" t="s">
        <v>533</v>
      </c>
      <c r="D1064" s="135" t="s">
        <v>534</v>
      </c>
      <c r="E1064" s="112" t="s">
        <v>535</v>
      </c>
      <c r="F1064" s="117">
        <v>46007</v>
      </c>
      <c r="G1064" s="135" t="s">
        <v>98</v>
      </c>
      <c r="H1064" s="116" t="s">
        <v>23</v>
      </c>
      <c r="I1064" s="252">
        <v>2000</v>
      </c>
      <c r="J1064" s="139">
        <v>0</v>
      </c>
      <c r="K1064" s="252">
        <f t="shared" ref="K1064:K1104" si="75">I1064-J1064</f>
        <v>2000</v>
      </c>
      <c r="L1064" s="136">
        <v>2000</v>
      </c>
      <c r="M1064" s="139"/>
      <c r="N1064" s="131">
        <f t="shared" si="73"/>
        <v>0</v>
      </c>
      <c r="O1064" s="143" t="s">
        <v>539</v>
      </c>
      <c r="P1064" s="262"/>
    </row>
    <row r="1065" s="99" customFormat="1" spans="1:16">
      <c r="A1065" s="122">
        <v>45992</v>
      </c>
      <c r="B1065" s="135" t="s">
        <v>491</v>
      </c>
      <c r="C1065" s="256" t="s">
        <v>533</v>
      </c>
      <c r="D1065" s="135" t="s">
        <v>534</v>
      </c>
      <c r="E1065" s="112" t="s">
        <v>535</v>
      </c>
      <c r="F1065" s="117">
        <v>46007</v>
      </c>
      <c r="G1065" s="135" t="s">
        <v>98</v>
      </c>
      <c r="H1065" s="116" t="s">
        <v>21</v>
      </c>
      <c r="I1065" s="252">
        <v>2000</v>
      </c>
      <c r="J1065" s="139">
        <v>0</v>
      </c>
      <c r="K1065" s="252">
        <f t="shared" si="75"/>
        <v>2000</v>
      </c>
      <c r="L1065" s="139">
        <v>2000</v>
      </c>
      <c r="M1065" s="139"/>
      <c r="N1065" s="131">
        <f t="shared" si="73"/>
        <v>0</v>
      </c>
      <c r="O1065" s="143" t="s">
        <v>1083</v>
      </c>
      <c r="P1065" s="262"/>
    </row>
    <row r="1066" s="99" customFormat="1" spans="1:16">
      <c r="A1066" s="122">
        <v>45992</v>
      </c>
      <c r="B1066" s="135" t="s">
        <v>491</v>
      </c>
      <c r="C1066" s="256" t="s">
        <v>540</v>
      </c>
      <c r="D1066" s="135" t="s">
        <v>541</v>
      </c>
      <c r="E1066" s="135" t="s">
        <v>542</v>
      </c>
      <c r="F1066" s="117">
        <v>46007</v>
      </c>
      <c r="G1066" s="135" t="s">
        <v>1019</v>
      </c>
      <c r="H1066" s="116" t="s">
        <v>23</v>
      </c>
      <c r="I1066" s="252">
        <v>6809.4</v>
      </c>
      <c r="J1066" s="139">
        <v>0</v>
      </c>
      <c r="K1066" s="252">
        <f t="shared" si="75"/>
        <v>6809.4</v>
      </c>
      <c r="L1066" s="139">
        <v>6809.4</v>
      </c>
      <c r="M1066" s="139"/>
      <c r="N1066" s="131">
        <f t="shared" si="73"/>
        <v>0</v>
      </c>
      <c r="O1066" s="132" t="s">
        <v>548</v>
      </c>
      <c r="P1066" s="262"/>
    </row>
    <row r="1067" s="99" customFormat="1" spans="1:16">
      <c r="A1067" s="122">
        <v>45992</v>
      </c>
      <c r="B1067" s="135" t="s">
        <v>491</v>
      </c>
      <c r="C1067" s="256" t="s">
        <v>540</v>
      </c>
      <c r="D1067" s="135" t="s">
        <v>541</v>
      </c>
      <c r="E1067" s="135" t="s">
        <v>542</v>
      </c>
      <c r="F1067" s="117">
        <v>46007</v>
      </c>
      <c r="G1067" s="135" t="s">
        <v>1019</v>
      </c>
      <c r="H1067" s="116" t="s">
        <v>21</v>
      </c>
      <c r="I1067" s="252">
        <v>8681.4</v>
      </c>
      <c r="J1067" s="139">
        <v>0</v>
      </c>
      <c r="K1067" s="252">
        <f t="shared" si="75"/>
        <v>8681.4</v>
      </c>
      <c r="L1067" s="139">
        <v>8681.4</v>
      </c>
      <c r="M1067" s="139"/>
      <c r="N1067" s="131">
        <f t="shared" si="73"/>
        <v>0</v>
      </c>
      <c r="O1067" s="143" t="s">
        <v>548</v>
      </c>
      <c r="P1067" s="262"/>
    </row>
    <row r="1068" s="99" customFormat="1" spans="1:16">
      <c r="A1068" s="122">
        <v>45992</v>
      </c>
      <c r="B1068" s="135" t="s">
        <v>491</v>
      </c>
      <c r="C1068" s="256" t="s">
        <v>549</v>
      </c>
      <c r="D1068" s="135" t="s">
        <v>550</v>
      </c>
      <c r="E1068" s="135" t="s">
        <v>551</v>
      </c>
      <c r="F1068" s="117">
        <v>46007</v>
      </c>
      <c r="G1068" s="135" t="s">
        <v>1019</v>
      </c>
      <c r="H1068" s="116" t="s">
        <v>21</v>
      </c>
      <c r="I1068" s="252">
        <v>6480</v>
      </c>
      <c r="J1068" s="139">
        <v>0</v>
      </c>
      <c r="K1068" s="252">
        <f t="shared" si="75"/>
        <v>6480</v>
      </c>
      <c r="L1068" s="139">
        <v>6480</v>
      </c>
      <c r="M1068" s="139"/>
      <c r="N1068" s="131">
        <f t="shared" si="73"/>
        <v>0</v>
      </c>
      <c r="O1068" s="143" t="s">
        <v>171</v>
      </c>
      <c r="P1068" s="262"/>
    </row>
    <row r="1069" s="99" customFormat="1" spans="1:16">
      <c r="A1069" s="122">
        <v>45992</v>
      </c>
      <c r="B1069" s="135" t="s">
        <v>491</v>
      </c>
      <c r="C1069" s="256" t="s">
        <v>549</v>
      </c>
      <c r="D1069" s="135" t="s">
        <v>550</v>
      </c>
      <c r="E1069" s="135" t="s">
        <v>551</v>
      </c>
      <c r="F1069" s="117">
        <v>46007</v>
      </c>
      <c r="G1069" s="135" t="s">
        <v>1019</v>
      </c>
      <c r="H1069" s="116" t="s">
        <v>23</v>
      </c>
      <c r="I1069" s="252">
        <v>7920</v>
      </c>
      <c r="J1069" s="139">
        <v>0</v>
      </c>
      <c r="K1069" s="252">
        <f t="shared" si="75"/>
        <v>7920</v>
      </c>
      <c r="L1069" s="139">
        <v>7920</v>
      </c>
      <c r="M1069" s="139"/>
      <c r="N1069" s="131">
        <f t="shared" si="73"/>
        <v>0</v>
      </c>
      <c r="O1069" s="143" t="s">
        <v>171</v>
      </c>
      <c r="P1069" s="262"/>
    </row>
    <row r="1070" s="99" customFormat="1" spans="1:16">
      <c r="A1070" s="122">
        <v>45992</v>
      </c>
      <c r="B1070" s="135" t="s">
        <v>491</v>
      </c>
      <c r="C1070" s="256" t="s">
        <v>552</v>
      </c>
      <c r="D1070" s="135" t="s">
        <v>553</v>
      </c>
      <c r="E1070" s="135" t="s">
        <v>554</v>
      </c>
      <c r="F1070" s="117">
        <v>46007</v>
      </c>
      <c r="G1070" s="135" t="s">
        <v>98</v>
      </c>
      <c r="H1070" s="116" t="s">
        <v>23</v>
      </c>
      <c r="I1070" s="252">
        <v>11030</v>
      </c>
      <c r="J1070" s="139">
        <v>0</v>
      </c>
      <c r="K1070" s="252">
        <f t="shared" si="75"/>
        <v>11030</v>
      </c>
      <c r="L1070" s="139">
        <v>11030</v>
      </c>
      <c r="M1070" s="139"/>
      <c r="N1070" s="131">
        <f t="shared" si="73"/>
        <v>0</v>
      </c>
      <c r="O1070" s="141" t="s">
        <v>558</v>
      </c>
      <c r="P1070" s="262"/>
    </row>
    <row r="1071" s="99" customFormat="1" spans="1:16">
      <c r="A1071" s="122">
        <v>45992</v>
      </c>
      <c r="B1071" s="135" t="s">
        <v>491</v>
      </c>
      <c r="C1071" s="256" t="s">
        <v>552</v>
      </c>
      <c r="D1071" s="135" t="s">
        <v>553</v>
      </c>
      <c r="E1071" s="135" t="s">
        <v>554</v>
      </c>
      <c r="F1071" s="117">
        <v>46007</v>
      </c>
      <c r="G1071" s="135" t="s">
        <v>98</v>
      </c>
      <c r="H1071" s="116" t="s">
        <v>21</v>
      </c>
      <c r="I1071" s="252">
        <v>35296</v>
      </c>
      <c r="J1071" s="139">
        <v>0</v>
      </c>
      <c r="K1071" s="252">
        <f t="shared" si="75"/>
        <v>35296</v>
      </c>
      <c r="L1071" s="139">
        <v>35296</v>
      </c>
      <c r="M1071" s="139"/>
      <c r="N1071" s="131">
        <f t="shared" si="73"/>
        <v>0</v>
      </c>
      <c r="O1071" s="141" t="s">
        <v>558</v>
      </c>
      <c r="P1071" s="262"/>
    </row>
    <row r="1072" s="99" customFormat="1" spans="1:16">
      <c r="A1072" s="122">
        <v>45992</v>
      </c>
      <c r="B1072" s="135" t="s">
        <v>491</v>
      </c>
      <c r="C1072" s="256" t="s">
        <v>563</v>
      </c>
      <c r="D1072" s="135" t="s">
        <v>564</v>
      </c>
      <c r="E1072" s="135" t="s">
        <v>565</v>
      </c>
      <c r="F1072" s="117">
        <v>46007</v>
      </c>
      <c r="G1072" s="135" t="s">
        <v>1019</v>
      </c>
      <c r="H1072" s="116" t="s">
        <v>23</v>
      </c>
      <c r="I1072" s="252">
        <v>31590</v>
      </c>
      <c r="J1072" s="139">
        <v>0</v>
      </c>
      <c r="K1072" s="252">
        <f t="shared" si="75"/>
        <v>31590</v>
      </c>
      <c r="L1072" s="139">
        <v>31590</v>
      </c>
      <c r="M1072" s="139"/>
      <c r="N1072" s="131">
        <f t="shared" si="73"/>
        <v>0</v>
      </c>
      <c r="O1072" s="143" t="s">
        <v>1084</v>
      </c>
      <c r="P1072" s="262"/>
    </row>
    <row r="1073" s="99" customFormat="1" spans="1:16">
      <c r="A1073" s="122">
        <v>45992</v>
      </c>
      <c r="B1073" s="135" t="s">
        <v>491</v>
      </c>
      <c r="C1073" s="256" t="s">
        <v>563</v>
      </c>
      <c r="D1073" s="135" t="s">
        <v>564</v>
      </c>
      <c r="E1073" s="135" t="s">
        <v>565</v>
      </c>
      <c r="F1073" s="117">
        <v>46007</v>
      </c>
      <c r="G1073" s="135" t="s">
        <v>1019</v>
      </c>
      <c r="H1073" s="116" t="s">
        <v>21</v>
      </c>
      <c r="I1073" s="252">
        <v>69666.48</v>
      </c>
      <c r="J1073" s="139">
        <v>0</v>
      </c>
      <c r="K1073" s="252">
        <f t="shared" si="75"/>
        <v>69666.48</v>
      </c>
      <c r="L1073" s="139">
        <v>69666.48</v>
      </c>
      <c r="M1073" s="139"/>
      <c r="N1073" s="131">
        <f t="shared" si="73"/>
        <v>0</v>
      </c>
      <c r="O1073" s="143" t="s">
        <v>1084</v>
      </c>
      <c r="P1073" s="262"/>
    </row>
    <row r="1074" s="99" customFormat="1" spans="1:16">
      <c r="A1074" s="122">
        <v>45992</v>
      </c>
      <c r="B1074" s="135" t="s">
        <v>491</v>
      </c>
      <c r="C1074" s="256" t="s">
        <v>575</v>
      </c>
      <c r="D1074" s="135" t="s">
        <v>576</v>
      </c>
      <c r="E1074" s="135" t="s">
        <v>577</v>
      </c>
      <c r="F1074" s="117">
        <v>46007</v>
      </c>
      <c r="G1074" s="135" t="s">
        <v>1019</v>
      </c>
      <c r="H1074" s="116" t="s">
        <v>21</v>
      </c>
      <c r="I1074" s="252">
        <v>12942.6</v>
      </c>
      <c r="J1074" s="139">
        <v>0</v>
      </c>
      <c r="K1074" s="252">
        <f t="shared" si="75"/>
        <v>12942.6</v>
      </c>
      <c r="L1074" s="139">
        <f>12900+42.6</f>
        <v>12942.6</v>
      </c>
      <c r="M1074" s="139"/>
      <c r="N1074" s="131">
        <f t="shared" si="73"/>
        <v>0</v>
      </c>
      <c r="O1074" s="143" t="s">
        <v>1085</v>
      </c>
      <c r="P1074" s="262"/>
    </row>
    <row r="1075" s="99" customFormat="1" spans="1:16">
      <c r="A1075" s="122">
        <v>45992</v>
      </c>
      <c r="B1075" s="135" t="s">
        <v>491</v>
      </c>
      <c r="C1075" s="256" t="s">
        <v>575</v>
      </c>
      <c r="D1075" s="135" t="s">
        <v>576</v>
      </c>
      <c r="E1075" s="135" t="s">
        <v>577</v>
      </c>
      <c r="F1075" s="117">
        <v>46007</v>
      </c>
      <c r="G1075" s="135" t="s">
        <v>1019</v>
      </c>
      <c r="H1075" s="116" t="s">
        <v>23</v>
      </c>
      <c r="I1075" s="252">
        <v>11100</v>
      </c>
      <c r="J1075" s="139">
        <v>0</v>
      </c>
      <c r="K1075" s="252">
        <f t="shared" si="75"/>
        <v>11100</v>
      </c>
      <c r="L1075" s="139">
        <v>11100</v>
      </c>
      <c r="M1075" s="139"/>
      <c r="N1075" s="131">
        <f t="shared" si="73"/>
        <v>0</v>
      </c>
      <c r="O1075" s="143" t="s">
        <v>1086</v>
      </c>
      <c r="P1075" s="262"/>
    </row>
    <row r="1076" s="99" customFormat="1" spans="1:16">
      <c r="A1076" s="122">
        <v>45992</v>
      </c>
      <c r="B1076" s="135" t="s">
        <v>491</v>
      </c>
      <c r="C1076" s="256" t="s">
        <v>600</v>
      </c>
      <c r="D1076" s="135" t="s">
        <v>601</v>
      </c>
      <c r="E1076" s="135" t="s">
        <v>602</v>
      </c>
      <c r="F1076" s="117">
        <v>46007</v>
      </c>
      <c r="G1076" s="135" t="s">
        <v>1019</v>
      </c>
      <c r="H1076" s="116" t="s">
        <v>23</v>
      </c>
      <c r="I1076" s="252">
        <v>8345.7</v>
      </c>
      <c r="J1076" s="139">
        <v>0</v>
      </c>
      <c r="K1076" s="252">
        <f t="shared" si="75"/>
        <v>8345.7</v>
      </c>
      <c r="L1076" s="139">
        <v>8345.7</v>
      </c>
      <c r="M1076" s="139"/>
      <c r="N1076" s="131">
        <f t="shared" si="73"/>
        <v>0</v>
      </c>
      <c r="O1076" s="143" t="s">
        <v>603</v>
      </c>
      <c r="P1076" s="262"/>
    </row>
    <row r="1077" s="99" customFormat="1" spans="1:16">
      <c r="A1077" s="122">
        <v>45992</v>
      </c>
      <c r="B1077" s="135" t="s">
        <v>491</v>
      </c>
      <c r="C1077" s="256" t="s">
        <v>600</v>
      </c>
      <c r="D1077" s="135" t="s">
        <v>601</v>
      </c>
      <c r="E1077" s="135" t="s">
        <v>602</v>
      </c>
      <c r="F1077" s="117">
        <v>46007</v>
      </c>
      <c r="G1077" s="135" t="s">
        <v>1019</v>
      </c>
      <c r="H1077" s="116" t="s">
        <v>21</v>
      </c>
      <c r="I1077" s="252">
        <v>13350.15</v>
      </c>
      <c r="J1077" s="139">
        <v>0</v>
      </c>
      <c r="K1077" s="252">
        <f t="shared" si="75"/>
        <v>13350.15</v>
      </c>
      <c r="L1077" s="139">
        <f>10153.04+3197.11</f>
        <v>13350.15</v>
      </c>
      <c r="M1077" s="139"/>
      <c r="N1077" s="131">
        <f t="shared" si="73"/>
        <v>0</v>
      </c>
      <c r="O1077" s="143" t="s">
        <v>1087</v>
      </c>
      <c r="P1077" s="262"/>
    </row>
    <row r="1078" s="99" customFormat="1" spans="1:16">
      <c r="A1078" s="122">
        <v>45992</v>
      </c>
      <c r="B1078" s="135" t="s">
        <v>491</v>
      </c>
      <c r="C1078" s="256" t="s">
        <v>1088</v>
      </c>
      <c r="D1078" s="135" t="s">
        <v>530</v>
      </c>
      <c r="E1078" s="135" t="s">
        <v>1089</v>
      </c>
      <c r="F1078" s="117">
        <v>46007</v>
      </c>
      <c r="G1078" s="135" t="s">
        <v>1090</v>
      </c>
      <c r="H1078" s="116" t="s">
        <v>21</v>
      </c>
      <c r="I1078" s="252">
        <v>19710</v>
      </c>
      <c r="J1078" s="139">
        <v>0</v>
      </c>
      <c r="K1078" s="252">
        <f t="shared" si="75"/>
        <v>19710</v>
      </c>
      <c r="L1078" s="139">
        <v>19710</v>
      </c>
      <c r="M1078" s="139"/>
      <c r="N1078" s="131">
        <f t="shared" si="73"/>
        <v>0</v>
      </c>
      <c r="O1078" s="143" t="s">
        <v>1029</v>
      </c>
      <c r="P1078" s="262"/>
    </row>
    <row r="1079" s="99" customFormat="1" spans="1:16">
      <c r="A1079" s="122">
        <v>45992</v>
      </c>
      <c r="B1079" s="135" t="s">
        <v>491</v>
      </c>
      <c r="C1079" s="256" t="s">
        <v>1088</v>
      </c>
      <c r="D1079" s="135" t="s">
        <v>530</v>
      </c>
      <c r="E1079" s="135" t="s">
        <v>1089</v>
      </c>
      <c r="F1079" s="117">
        <v>46007</v>
      </c>
      <c r="G1079" s="135" t="s">
        <v>1090</v>
      </c>
      <c r="H1079" s="116" t="s">
        <v>23</v>
      </c>
      <c r="I1079" s="252">
        <v>24090</v>
      </c>
      <c r="J1079" s="139">
        <v>0</v>
      </c>
      <c r="K1079" s="252">
        <f t="shared" si="75"/>
        <v>24090</v>
      </c>
      <c r="L1079" s="139">
        <v>24090</v>
      </c>
      <c r="M1079" s="139"/>
      <c r="N1079" s="131">
        <f t="shared" si="73"/>
        <v>0</v>
      </c>
      <c r="O1079" s="143" t="s">
        <v>1029</v>
      </c>
      <c r="P1079" s="262"/>
    </row>
    <row r="1080" s="99" customFormat="1" spans="1:16">
      <c r="A1080" s="122">
        <v>45992</v>
      </c>
      <c r="B1080" s="135" t="s">
        <v>491</v>
      </c>
      <c r="C1080" s="256" t="s">
        <v>606</v>
      </c>
      <c r="D1080" s="135" t="s">
        <v>607</v>
      </c>
      <c r="E1080" s="135" t="s">
        <v>608</v>
      </c>
      <c r="F1080" s="117">
        <v>46007</v>
      </c>
      <c r="G1080" s="135" t="s">
        <v>1019</v>
      </c>
      <c r="H1080" s="116" t="s">
        <v>21</v>
      </c>
      <c r="I1080" s="252">
        <v>20487.75</v>
      </c>
      <c r="J1080" s="139">
        <v>0</v>
      </c>
      <c r="K1080" s="252">
        <f t="shared" si="75"/>
        <v>20487.75</v>
      </c>
      <c r="L1080" s="139">
        <v>20487.75</v>
      </c>
      <c r="M1080" s="139"/>
      <c r="N1080" s="131">
        <f t="shared" si="73"/>
        <v>0</v>
      </c>
      <c r="O1080" s="143" t="s">
        <v>1043</v>
      </c>
      <c r="P1080" s="262"/>
    </row>
    <row r="1081" s="99" customFormat="1" spans="1:16">
      <c r="A1081" s="122">
        <v>45992</v>
      </c>
      <c r="B1081" s="135" t="s">
        <v>491</v>
      </c>
      <c r="C1081" s="256" t="s">
        <v>606</v>
      </c>
      <c r="D1081" s="135" t="s">
        <v>607</v>
      </c>
      <c r="E1081" s="135" t="s">
        <v>608</v>
      </c>
      <c r="F1081" s="117">
        <v>46007</v>
      </c>
      <c r="G1081" s="135" t="s">
        <v>1019</v>
      </c>
      <c r="H1081" s="116" t="s">
        <v>23</v>
      </c>
      <c r="I1081" s="252">
        <v>17700</v>
      </c>
      <c r="J1081" s="139">
        <v>0</v>
      </c>
      <c r="K1081" s="252">
        <f t="shared" si="75"/>
        <v>17700</v>
      </c>
      <c r="L1081" s="139">
        <v>17700</v>
      </c>
      <c r="M1081" s="139"/>
      <c r="N1081" s="131">
        <f t="shared" si="73"/>
        <v>0</v>
      </c>
      <c r="O1081" s="143" t="s">
        <v>1043</v>
      </c>
      <c r="P1081" s="262"/>
    </row>
    <row r="1082" s="99" customFormat="1" spans="1:16">
      <c r="A1082" s="122">
        <v>45992</v>
      </c>
      <c r="B1082" s="135" t="s">
        <v>491</v>
      </c>
      <c r="C1082" s="256" t="s">
        <v>610</v>
      </c>
      <c r="D1082" s="135" t="s">
        <v>611</v>
      </c>
      <c r="E1082" s="135" t="s">
        <v>612</v>
      </c>
      <c r="F1082" s="117">
        <v>46007</v>
      </c>
      <c r="G1082" s="135" t="s">
        <v>1091</v>
      </c>
      <c r="H1082" s="116" t="s">
        <v>23</v>
      </c>
      <c r="I1082" s="252">
        <v>5115</v>
      </c>
      <c r="J1082" s="139">
        <v>0</v>
      </c>
      <c r="K1082" s="252">
        <f t="shared" si="75"/>
        <v>5115</v>
      </c>
      <c r="L1082" s="139">
        <v>5115</v>
      </c>
      <c r="M1082" s="139"/>
      <c r="N1082" s="131">
        <f t="shared" si="73"/>
        <v>0</v>
      </c>
      <c r="O1082" s="143" t="s">
        <v>1092</v>
      </c>
      <c r="P1082" s="262"/>
    </row>
    <row r="1083" s="99" customFormat="1" spans="1:16">
      <c r="A1083" s="122">
        <v>45992</v>
      </c>
      <c r="B1083" s="135" t="s">
        <v>491</v>
      </c>
      <c r="C1083" s="256" t="s">
        <v>610</v>
      </c>
      <c r="D1083" s="135" t="s">
        <v>611</v>
      </c>
      <c r="E1083" s="135" t="s">
        <v>612</v>
      </c>
      <c r="F1083" s="117">
        <v>46007</v>
      </c>
      <c r="G1083" s="135" t="s">
        <v>1091</v>
      </c>
      <c r="H1083" s="116" t="s">
        <v>21</v>
      </c>
      <c r="I1083" s="252">
        <v>6882</v>
      </c>
      <c r="J1083" s="139">
        <v>0</v>
      </c>
      <c r="K1083" s="252">
        <f t="shared" si="75"/>
        <v>6882</v>
      </c>
      <c r="L1083" s="139">
        <v>6882</v>
      </c>
      <c r="M1083" s="139"/>
      <c r="N1083" s="131">
        <f t="shared" si="73"/>
        <v>0</v>
      </c>
      <c r="O1083" s="143" t="s">
        <v>1092</v>
      </c>
      <c r="P1083" s="262"/>
    </row>
    <row r="1084" s="99" customFormat="1" spans="1:16">
      <c r="A1084" s="122">
        <v>45992</v>
      </c>
      <c r="B1084" s="135" t="s">
        <v>491</v>
      </c>
      <c r="C1084" s="256" t="s">
        <v>615</v>
      </c>
      <c r="D1084" s="135" t="s">
        <v>616</v>
      </c>
      <c r="E1084" s="135" t="s">
        <v>617</v>
      </c>
      <c r="F1084" s="117">
        <v>46007</v>
      </c>
      <c r="G1084" s="135" t="s">
        <v>1093</v>
      </c>
      <c r="H1084" s="116" t="s">
        <v>21</v>
      </c>
      <c r="I1084" s="252">
        <v>8367.12</v>
      </c>
      <c r="J1084" s="139">
        <v>0</v>
      </c>
      <c r="K1084" s="252">
        <f t="shared" si="75"/>
        <v>8367.12</v>
      </c>
      <c r="L1084" s="139">
        <v>8367.12</v>
      </c>
      <c r="M1084" s="139"/>
      <c r="N1084" s="131">
        <f t="shared" si="73"/>
        <v>0</v>
      </c>
      <c r="O1084" s="143" t="s">
        <v>1094</v>
      </c>
      <c r="P1084" s="262"/>
    </row>
    <row r="1085" s="99" customFormat="1" spans="1:16">
      <c r="A1085" s="122">
        <v>45992</v>
      </c>
      <c r="B1085" s="135" t="s">
        <v>491</v>
      </c>
      <c r="C1085" s="256" t="s">
        <v>615</v>
      </c>
      <c r="D1085" s="135" t="s">
        <v>616</v>
      </c>
      <c r="E1085" s="135" t="s">
        <v>617</v>
      </c>
      <c r="F1085" s="117">
        <v>46007</v>
      </c>
      <c r="G1085" s="135" t="s">
        <v>1093</v>
      </c>
      <c r="H1085" s="116" t="s">
        <v>23</v>
      </c>
      <c r="I1085" s="252">
        <v>8367.12</v>
      </c>
      <c r="J1085" s="139">
        <v>0</v>
      </c>
      <c r="K1085" s="252">
        <f t="shared" si="75"/>
        <v>8367.12</v>
      </c>
      <c r="L1085" s="139">
        <f>2367.12+6000</f>
        <v>8367.12</v>
      </c>
      <c r="M1085" s="139"/>
      <c r="N1085" s="131">
        <f t="shared" si="73"/>
        <v>0</v>
      </c>
      <c r="O1085" s="143" t="s">
        <v>1095</v>
      </c>
      <c r="P1085" s="262"/>
    </row>
    <row r="1086" s="99" customFormat="1" spans="1:16">
      <c r="A1086" s="122">
        <v>45992</v>
      </c>
      <c r="B1086" s="135" t="s">
        <v>491</v>
      </c>
      <c r="C1086" s="256" t="s">
        <v>621</v>
      </c>
      <c r="D1086" s="135" t="s">
        <v>622</v>
      </c>
      <c r="E1086" s="135" t="s">
        <v>623</v>
      </c>
      <c r="F1086" s="117">
        <v>46007</v>
      </c>
      <c r="G1086" s="135" t="s">
        <v>1050</v>
      </c>
      <c r="H1086" s="116" t="s">
        <v>21</v>
      </c>
      <c r="I1086" s="252">
        <v>1185.48</v>
      </c>
      <c r="J1086" s="139">
        <v>0</v>
      </c>
      <c r="K1086" s="252">
        <f t="shared" si="75"/>
        <v>1185.48</v>
      </c>
      <c r="L1086" s="139">
        <v>1185.48</v>
      </c>
      <c r="M1086" s="139"/>
      <c r="N1086" s="131">
        <f t="shared" si="73"/>
        <v>0</v>
      </c>
      <c r="O1086" s="143" t="s">
        <v>1096</v>
      </c>
      <c r="P1086" s="262"/>
    </row>
    <row r="1087" s="99" customFormat="1" spans="1:16">
      <c r="A1087" s="122">
        <v>45992</v>
      </c>
      <c r="B1087" s="135" t="s">
        <v>491</v>
      </c>
      <c r="C1087" s="256" t="s">
        <v>621</v>
      </c>
      <c r="D1087" s="135" t="s">
        <v>622</v>
      </c>
      <c r="E1087" s="135" t="s">
        <v>623</v>
      </c>
      <c r="F1087" s="117">
        <v>46007</v>
      </c>
      <c r="G1087" s="135" t="s">
        <v>1050</v>
      </c>
      <c r="H1087" s="116" t="s">
        <v>23</v>
      </c>
      <c r="I1087" s="252">
        <v>18315</v>
      </c>
      <c r="J1087" s="139">
        <v>0</v>
      </c>
      <c r="K1087" s="252">
        <f t="shared" si="75"/>
        <v>18315</v>
      </c>
      <c r="L1087" s="139">
        <f>5100+13215</f>
        <v>18315</v>
      </c>
      <c r="M1087" s="139"/>
      <c r="N1087" s="131">
        <f t="shared" si="73"/>
        <v>0</v>
      </c>
      <c r="O1087" s="143" t="s">
        <v>1097</v>
      </c>
      <c r="P1087" s="262"/>
    </row>
    <row r="1088" s="99" customFormat="1" spans="1:16">
      <c r="A1088" s="122">
        <v>45992</v>
      </c>
      <c r="B1088" s="135" t="s">
        <v>909</v>
      </c>
      <c r="C1088" s="256" t="s">
        <v>910</v>
      </c>
      <c r="D1088" s="135" t="s">
        <v>911</v>
      </c>
      <c r="E1088" s="135" t="s">
        <v>554</v>
      </c>
      <c r="F1088" s="117">
        <v>46007</v>
      </c>
      <c r="G1088" s="135" t="s">
        <v>98</v>
      </c>
      <c r="H1088" s="116" t="s">
        <v>833</v>
      </c>
      <c r="I1088" s="252">
        <v>500</v>
      </c>
      <c r="J1088" s="139">
        <v>0</v>
      </c>
      <c r="K1088" s="252">
        <f t="shared" si="75"/>
        <v>500</v>
      </c>
      <c r="L1088" s="252">
        <v>500</v>
      </c>
      <c r="M1088" s="139"/>
      <c r="N1088" s="131">
        <f t="shared" si="73"/>
        <v>0</v>
      </c>
      <c r="O1088" s="143" t="s">
        <v>914</v>
      </c>
      <c r="P1088" s="262"/>
    </row>
    <row r="1089" s="99" customFormat="1" spans="1:16">
      <c r="A1089" s="122">
        <v>45992</v>
      </c>
      <c r="B1089" s="135" t="s">
        <v>909</v>
      </c>
      <c r="C1089" s="256" t="s">
        <v>1098</v>
      </c>
      <c r="D1089" s="135" t="s">
        <v>1099</v>
      </c>
      <c r="E1089" s="135" t="s">
        <v>1100</v>
      </c>
      <c r="F1089" s="117">
        <v>46007</v>
      </c>
      <c r="G1089" s="135" t="s">
        <v>1050</v>
      </c>
      <c r="H1089" s="116" t="s">
        <v>833</v>
      </c>
      <c r="I1089" s="252">
        <v>15000</v>
      </c>
      <c r="J1089" s="139">
        <v>0</v>
      </c>
      <c r="K1089" s="252">
        <f t="shared" si="75"/>
        <v>15000</v>
      </c>
      <c r="L1089" s="139">
        <f>5250+9750</f>
        <v>15000</v>
      </c>
      <c r="M1089" s="139"/>
      <c r="N1089" s="131">
        <f t="shared" si="73"/>
        <v>0</v>
      </c>
      <c r="O1089" s="143" t="s">
        <v>1101</v>
      </c>
      <c r="P1089" s="262"/>
    </row>
    <row r="1090" s="99" customFormat="1" spans="1:16">
      <c r="A1090" s="122">
        <v>45992</v>
      </c>
      <c r="B1090" s="135" t="s">
        <v>491</v>
      </c>
      <c r="C1090" s="256" t="s">
        <v>1102</v>
      </c>
      <c r="D1090" s="135" t="s">
        <v>830</v>
      </c>
      <c r="E1090" s="135" t="s">
        <v>831</v>
      </c>
      <c r="F1090" s="117">
        <v>46007</v>
      </c>
      <c r="G1090" s="135" t="s">
        <v>1103</v>
      </c>
      <c r="H1090" s="116" t="s">
        <v>833</v>
      </c>
      <c r="I1090" s="252">
        <v>5380.2</v>
      </c>
      <c r="J1090" s="139">
        <v>0</v>
      </c>
      <c r="K1090" s="252">
        <f t="shared" si="75"/>
        <v>5380.2</v>
      </c>
      <c r="L1090" s="139">
        <v>5380.2</v>
      </c>
      <c r="M1090" s="139"/>
      <c r="N1090" s="131">
        <f t="shared" si="73"/>
        <v>0</v>
      </c>
      <c r="O1090" s="143" t="s">
        <v>1029</v>
      </c>
      <c r="P1090" s="262"/>
    </row>
    <row r="1091" s="99" customFormat="1" spans="1:16">
      <c r="A1091" s="122">
        <v>45992</v>
      </c>
      <c r="B1091" s="135" t="s">
        <v>630</v>
      </c>
      <c r="C1091" s="256" t="s">
        <v>631</v>
      </c>
      <c r="D1091" s="135" t="s">
        <v>632</v>
      </c>
      <c r="E1091" s="135" t="s">
        <v>633</v>
      </c>
      <c r="F1091" s="117">
        <v>46007</v>
      </c>
      <c r="G1091" s="135" t="s">
        <v>1104</v>
      </c>
      <c r="H1091" s="116" t="s">
        <v>23</v>
      </c>
      <c r="I1091" s="252">
        <v>18420</v>
      </c>
      <c r="J1091" s="139">
        <v>0</v>
      </c>
      <c r="K1091" s="252">
        <f t="shared" si="75"/>
        <v>18420</v>
      </c>
      <c r="L1091" s="139">
        <v>18420</v>
      </c>
      <c r="M1091" s="139"/>
      <c r="N1091" s="131">
        <f t="shared" ref="N1091:N1154" si="76">K1091-L1091</f>
        <v>0</v>
      </c>
      <c r="O1091" s="143" t="s">
        <v>918</v>
      </c>
      <c r="P1091" s="262"/>
    </row>
    <row r="1092" s="99" customFormat="1" spans="1:16">
      <c r="A1092" s="122">
        <v>45992</v>
      </c>
      <c r="B1092" s="135" t="s">
        <v>630</v>
      </c>
      <c r="C1092" s="256" t="s">
        <v>631</v>
      </c>
      <c r="D1092" s="135" t="s">
        <v>632</v>
      </c>
      <c r="E1092" s="135" t="s">
        <v>633</v>
      </c>
      <c r="F1092" s="117">
        <v>46007</v>
      </c>
      <c r="G1092" s="135" t="s">
        <v>1104</v>
      </c>
      <c r="H1092" s="116" t="s">
        <v>21</v>
      </c>
      <c r="I1092" s="252">
        <v>13345.29</v>
      </c>
      <c r="J1092" s="139">
        <v>0</v>
      </c>
      <c r="K1092" s="252">
        <f t="shared" si="75"/>
        <v>13345.29</v>
      </c>
      <c r="L1092" s="139">
        <v>13345.29</v>
      </c>
      <c r="M1092" s="139"/>
      <c r="N1092" s="131">
        <f t="shared" si="76"/>
        <v>0</v>
      </c>
      <c r="O1092" s="143" t="s">
        <v>918</v>
      </c>
      <c r="P1092" s="262"/>
    </row>
    <row r="1093" s="99" customFormat="1" spans="1:16">
      <c r="A1093" s="122">
        <v>45992</v>
      </c>
      <c r="B1093" s="135" t="s">
        <v>630</v>
      </c>
      <c r="C1093" s="256" t="s">
        <v>1105</v>
      </c>
      <c r="D1093" s="135" t="s">
        <v>638</v>
      </c>
      <c r="E1093" s="135" t="s">
        <v>1106</v>
      </c>
      <c r="F1093" s="117">
        <v>46007</v>
      </c>
      <c r="G1093" s="135" t="s">
        <v>1019</v>
      </c>
      <c r="H1093" s="116" t="s">
        <v>23</v>
      </c>
      <c r="I1093" s="252">
        <v>39435</v>
      </c>
      <c r="J1093" s="139">
        <v>0</v>
      </c>
      <c r="K1093" s="252">
        <f t="shared" si="75"/>
        <v>39435</v>
      </c>
      <c r="L1093" s="139">
        <v>39435</v>
      </c>
      <c r="M1093" s="139"/>
      <c r="N1093" s="131">
        <f t="shared" si="76"/>
        <v>0</v>
      </c>
      <c r="O1093" s="143" t="s">
        <v>1054</v>
      </c>
      <c r="P1093" s="262"/>
    </row>
    <row r="1094" s="99" customFormat="1" spans="1:16">
      <c r="A1094" s="122">
        <v>45992</v>
      </c>
      <c r="B1094" s="135" t="s">
        <v>630</v>
      </c>
      <c r="C1094" s="256" t="s">
        <v>1105</v>
      </c>
      <c r="D1094" s="135" t="s">
        <v>638</v>
      </c>
      <c r="E1094" s="135" t="s">
        <v>1106</v>
      </c>
      <c r="F1094" s="117">
        <v>46007</v>
      </c>
      <c r="G1094" s="135" t="s">
        <v>1019</v>
      </c>
      <c r="H1094" s="116" t="s">
        <v>21</v>
      </c>
      <c r="I1094" s="252">
        <v>69654.72</v>
      </c>
      <c r="J1094" s="139">
        <v>0</v>
      </c>
      <c r="K1094" s="252">
        <f t="shared" si="75"/>
        <v>69654.72</v>
      </c>
      <c r="L1094" s="139">
        <v>69654.72</v>
      </c>
      <c r="M1094" s="139"/>
      <c r="N1094" s="131">
        <f t="shared" si="76"/>
        <v>0</v>
      </c>
      <c r="O1094" s="143" t="s">
        <v>1054</v>
      </c>
      <c r="P1094" s="262"/>
    </row>
    <row r="1095" s="99" customFormat="1" spans="1:16">
      <c r="A1095" s="122">
        <v>45992</v>
      </c>
      <c r="B1095" s="135" t="s">
        <v>630</v>
      </c>
      <c r="C1095" s="256" t="s">
        <v>653</v>
      </c>
      <c r="D1095" s="135" t="s">
        <v>654</v>
      </c>
      <c r="E1095" s="135" t="s">
        <v>655</v>
      </c>
      <c r="F1095" s="117">
        <v>46007</v>
      </c>
      <c r="G1095" s="135" t="s">
        <v>1019</v>
      </c>
      <c r="H1095" s="116" t="s">
        <v>23</v>
      </c>
      <c r="I1095" s="252">
        <v>10875</v>
      </c>
      <c r="J1095" s="139">
        <v>0</v>
      </c>
      <c r="K1095" s="252">
        <f t="shared" si="75"/>
        <v>10875</v>
      </c>
      <c r="L1095" s="139">
        <f>2000.1+3047.35+5827.55</f>
        <v>10875</v>
      </c>
      <c r="M1095" s="139"/>
      <c r="N1095" s="131">
        <f t="shared" si="76"/>
        <v>0</v>
      </c>
      <c r="O1095" s="143" t="s">
        <v>1107</v>
      </c>
      <c r="P1095" s="262"/>
    </row>
    <row r="1096" s="99" customFormat="1" spans="1:16">
      <c r="A1096" s="122">
        <v>45992</v>
      </c>
      <c r="B1096" s="135" t="s">
        <v>630</v>
      </c>
      <c r="C1096" s="256" t="s">
        <v>653</v>
      </c>
      <c r="D1096" s="135" t="s">
        <v>654</v>
      </c>
      <c r="E1096" s="135" t="s">
        <v>655</v>
      </c>
      <c r="F1096" s="117">
        <v>46007</v>
      </c>
      <c r="G1096" s="135" t="s">
        <v>1019</v>
      </c>
      <c r="H1096" s="116" t="s">
        <v>21</v>
      </c>
      <c r="I1096" s="252">
        <v>10122.45</v>
      </c>
      <c r="J1096" s="139">
        <v>0</v>
      </c>
      <c r="K1096" s="252">
        <f t="shared" si="75"/>
        <v>10122.45</v>
      </c>
      <c r="L1096" s="139">
        <v>10122.45</v>
      </c>
      <c r="M1096" s="139"/>
      <c r="N1096" s="131">
        <f t="shared" si="76"/>
        <v>0</v>
      </c>
      <c r="O1096" s="143" t="s">
        <v>1108</v>
      </c>
      <c r="P1096" s="262"/>
    </row>
    <row r="1097" s="99" customFormat="1" spans="1:16">
      <c r="A1097" s="122">
        <v>45992</v>
      </c>
      <c r="B1097" s="135" t="s">
        <v>679</v>
      </c>
      <c r="C1097" s="256" t="s">
        <v>694</v>
      </c>
      <c r="D1097" s="135" t="s">
        <v>695</v>
      </c>
      <c r="E1097" s="135" t="s">
        <v>696</v>
      </c>
      <c r="F1097" s="117">
        <v>46007</v>
      </c>
      <c r="G1097" s="135" t="s">
        <v>1019</v>
      </c>
      <c r="H1097" s="116" t="s">
        <v>23</v>
      </c>
      <c r="I1097" s="252">
        <v>17040</v>
      </c>
      <c r="J1097" s="139">
        <v>0</v>
      </c>
      <c r="K1097" s="252">
        <f t="shared" si="75"/>
        <v>17040</v>
      </c>
      <c r="L1097" s="139">
        <v>17040</v>
      </c>
      <c r="M1097" s="139"/>
      <c r="N1097" s="131">
        <f t="shared" si="76"/>
        <v>0</v>
      </c>
      <c r="O1097" s="143" t="s">
        <v>1109</v>
      </c>
      <c r="P1097" s="262"/>
    </row>
    <row r="1098" s="99" customFormat="1" spans="1:16">
      <c r="A1098" s="122">
        <v>45992</v>
      </c>
      <c r="B1098" s="135" t="s">
        <v>679</v>
      </c>
      <c r="C1098" s="256" t="s">
        <v>694</v>
      </c>
      <c r="D1098" s="135" t="s">
        <v>695</v>
      </c>
      <c r="E1098" s="135" t="s">
        <v>696</v>
      </c>
      <c r="F1098" s="117">
        <v>46007</v>
      </c>
      <c r="G1098" s="135" t="s">
        <v>1019</v>
      </c>
      <c r="H1098" s="116" t="s">
        <v>21</v>
      </c>
      <c r="I1098" s="252">
        <v>16439</v>
      </c>
      <c r="J1098" s="139">
        <v>0</v>
      </c>
      <c r="K1098" s="252">
        <f t="shared" si="75"/>
        <v>16439</v>
      </c>
      <c r="L1098" s="139">
        <f>12960+3479</f>
        <v>16439</v>
      </c>
      <c r="M1098" s="139"/>
      <c r="N1098" s="131">
        <f t="shared" si="76"/>
        <v>0</v>
      </c>
      <c r="O1098" s="143" t="s">
        <v>1110</v>
      </c>
      <c r="P1098" s="262"/>
    </row>
    <row r="1099" s="99" customFormat="1" spans="1:16">
      <c r="A1099" s="122">
        <v>45992</v>
      </c>
      <c r="B1099" s="135" t="s">
        <v>679</v>
      </c>
      <c r="C1099" s="256" t="s">
        <v>700</v>
      </c>
      <c r="D1099" s="135" t="s">
        <v>701</v>
      </c>
      <c r="E1099" s="135" t="s">
        <v>702</v>
      </c>
      <c r="F1099" s="117">
        <v>46007</v>
      </c>
      <c r="G1099" s="135" t="s">
        <v>1019</v>
      </c>
      <c r="H1099" s="116" t="s">
        <v>23</v>
      </c>
      <c r="I1099" s="252">
        <v>3630</v>
      </c>
      <c r="J1099" s="139">
        <v>0</v>
      </c>
      <c r="K1099" s="252">
        <f t="shared" si="75"/>
        <v>3630</v>
      </c>
      <c r="L1099" s="139">
        <v>3630</v>
      </c>
      <c r="M1099" s="139"/>
      <c r="N1099" s="131">
        <f t="shared" si="76"/>
        <v>0</v>
      </c>
      <c r="O1099" s="143" t="s">
        <v>1048</v>
      </c>
      <c r="P1099" s="262"/>
    </row>
    <row r="1100" s="99" customFormat="1" spans="1:16">
      <c r="A1100" s="122">
        <v>45992</v>
      </c>
      <c r="B1100" s="135" t="s">
        <v>679</v>
      </c>
      <c r="C1100" s="256" t="s">
        <v>700</v>
      </c>
      <c r="D1100" s="135" t="s">
        <v>701</v>
      </c>
      <c r="E1100" s="135" t="s">
        <v>702</v>
      </c>
      <c r="F1100" s="117">
        <v>46007</v>
      </c>
      <c r="G1100" s="135" t="s">
        <v>1019</v>
      </c>
      <c r="H1100" s="116" t="s">
        <v>21</v>
      </c>
      <c r="I1100" s="252">
        <v>16632</v>
      </c>
      <c r="J1100" s="139">
        <v>0</v>
      </c>
      <c r="K1100" s="252">
        <f t="shared" si="75"/>
        <v>16632</v>
      </c>
      <c r="L1100" s="139">
        <v>16632</v>
      </c>
      <c r="M1100" s="139"/>
      <c r="N1100" s="131">
        <f t="shared" si="76"/>
        <v>0</v>
      </c>
      <c r="O1100" s="143" t="s">
        <v>1048</v>
      </c>
      <c r="P1100" s="262"/>
    </row>
    <row r="1101" s="99" customFormat="1" spans="1:16">
      <c r="A1101" s="122">
        <v>45992</v>
      </c>
      <c r="B1101" s="135" t="s">
        <v>679</v>
      </c>
      <c r="C1101" s="256" t="s">
        <v>718</v>
      </c>
      <c r="D1101" s="135" t="s">
        <v>719</v>
      </c>
      <c r="E1101" s="135" t="s">
        <v>720</v>
      </c>
      <c r="F1101" s="117">
        <v>46007</v>
      </c>
      <c r="G1101" s="135" t="s">
        <v>1019</v>
      </c>
      <c r="H1101" s="116" t="s">
        <v>23</v>
      </c>
      <c r="I1101" s="252">
        <v>4950</v>
      </c>
      <c r="J1101" s="139">
        <v>0</v>
      </c>
      <c r="K1101" s="252">
        <f t="shared" si="75"/>
        <v>4950</v>
      </c>
      <c r="L1101" s="139">
        <v>4950</v>
      </c>
      <c r="M1101" s="139"/>
      <c r="N1101" s="131">
        <f t="shared" si="76"/>
        <v>0</v>
      </c>
      <c r="O1101" s="143" t="s">
        <v>1024</v>
      </c>
      <c r="P1101" s="262"/>
    </row>
    <row r="1102" s="99" customFormat="1" spans="1:16">
      <c r="A1102" s="122">
        <v>45992</v>
      </c>
      <c r="B1102" s="135" t="s">
        <v>679</v>
      </c>
      <c r="C1102" s="256" t="s">
        <v>718</v>
      </c>
      <c r="D1102" s="135" t="s">
        <v>719</v>
      </c>
      <c r="E1102" s="135" t="s">
        <v>720</v>
      </c>
      <c r="F1102" s="117">
        <v>46007</v>
      </c>
      <c r="G1102" s="135" t="s">
        <v>1019</v>
      </c>
      <c r="H1102" s="116" t="s">
        <v>21</v>
      </c>
      <c r="I1102" s="252">
        <v>4335.85</v>
      </c>
      <c r="J1102" s="139">
        <v>0</v>
      </c>
      <c r="K1102" s="252">
        <f t="shared" si="75"/>
        <v>4335.85</v>
      </c>
      <c r="L1102" s="139">
        <v>4335.85</v>
      </c>
      <c r="M1102" s="139"/>
      <c r="N1102" s="131">
        <f t="shared" si="76"/>
        <v>0</v>
      </c>
      <c r="O1102" s="143" t="s">
        <v>1024</v>
      </c>
      <c r="P1102" s="262"/>
    </row>
    <row r="1103" s="101" customFormat="1" spans="1:16">
      <c r="A1103" s="227">
        <v>45992</v>
      </c>
      <c r="B1103" s="263" t="s">
        <v>679</v>
      </c>
      <c r="C1103" s="264" t="s">
        <v>721</v>
      </c>
      <c r="D1103" s="263" t="s">
        <v>719</v>
      </c>
      <c r="E1103" s="263" t="s">
        <v>722</v>
      </c>
      <c r="F1103" s="265">
        <v>46007</v>
      </c>
      <c r="G1103" s="263" t="s">
        <v>1019</v>
      </c>
      <c r="H1103" s="228" t="s">
        <v>23</v>
      </c>
      <c r="I1103" s="270">
        <v>4785</v>
      </c>
      <c r="J1103" s="232">
        <v>0</v>
      </c>
      <c r="K1103" s="270">
        <f t="shared" si="75"/>
        <v>4785</v>
      </c>
      <c r="L1103" s="232">
        <f>4385+400</f>
        <v>4785</v>
      </c>
      <c r="M1103" s="232"/>
      <c r="N1103" s="233">
        <f t="shared" si="76"/>
        <v>0</v>
      </c>
      <c r="O1103" s="271" t="s">
        <v>1111</v>
      </c>
      <c r="P1103" s="272"/>
    </row>
    <row r="1104" s="99" customFormat="1" spans="1:16">
      <c r="A1104" s="122">
        <v>45992</v>
      </c>
      <c r="B1104" s="135" t="s">
        <v>679</v>
      </c>
      <c r="C1104" s="256" t="s">
        <v>721</v>
      </c>
      <c r="D1104" s="135" t="s">
        <v>719</v>
      </c>
      <c r="E1104" s="135" t="s">
        <v>722</v>
      </c>
      <c r="F1104" s="117">
        <v>46007</v>
      </c>
      <c r="G1104" s="135" t="s">
        <v>1019</v>
      </c>
      <c r="H1104" s="116" t="s">
        <v>21</v>
      </c>
      <c r="I1104" s="252">
        <v>4175.55</v>
      </c>
      <c r="J1104" s="139">
        <v>0</v>
      </c>
      <c r="K1104" s="252">
        <f t="shared" si="75"/>
        <v>4175.55</v>
      </c>
      <c r="L1104" s="139">
        <v>4175.55</v>
      </c>
      <c r="M1104" s="139"/>
      <c r="N1104" s="131">
        <f t="shared" si="76"/>
        <v>0</v>
      </c>
      <c r="O1104" s="143" t="s">
        <v>1112</v>
      </c>
      <c r="P1104" s="262"/>
    </row>
    <row r="1105" s="100" customFormat="1" spans="1:16">
      <c r="A1105" s="145">
        <v>45992</v>
      </c>
      <c r="B1105" s="192" t="s">
        <v>679</v>
      </c>
      <c r="C1105" s="257" t="s">
        <v>727</v>
      </c>
      <c r="D1105" s="192" t="s">
        <v>728</v>
      </c>
      <c r="E1105" s="192" t="s">
        <v>729</v>
      </c>
      <c r="F1105" s="117">
        <v>46007</v>
      </c>
      <c r="G1105" s="192" t="s">
        <v>1019</v>
      </c>
      <c r="H1105" s="146" t="s">
        <v>23</v>
      </c>
      <c r="I1105" s="260">
        <v>22500</v>
      </c>
      <c r="J1105" s="156">
        <v>0</v>
      </c>
      <c r="K1105" s="260">
        <f>7500*3</f>
        <v>22500</v>
      </c>
      <c r="L1105" s="156">
        <f>7500+7500+7500</f>
        <v>22500</v>
      </c>
      <c r="M1105" s="156"/>
      <c r="N1105" s="144">
        <f t="shared" si="76"/>
        <v>0</v>
      </c>
      <c r="O1105" s="158" t="s">
        <v>1113</v>
      </c>
      <c r="P1105" s="273" t="s">
        <v>733</v>
      </c>
    </row>
    <row r="1106" s="100" customFormat="1" spans="1:16">
      <c r="A1106" s="145">
        <v>45992</v>
      </c>
      <c r="B1106" s="192" t="s">
        <v>679</v>
      </c>
      <c r="C1106" s="257" t="s">
        <v>727</v>
      </c>
      <c r="D1106" s="192" t="s">
        <v>728</v>
      </c>
      <c r="E1106" s="192" t="s">
        <v>729</v>
      </c>
      <c r="F1106" s="117">
        <v>46007</v>
      </c>
      <c r="G1106" s="192" t="s">
        <v>1019</v>
      </c>
      <c r="H1106" s="146" t="s">
        <v>21</v>
      </c>
      <c r="I1106" s="260">
        <v>22500</v>
      </c>
      <c r="J1106" s="156">
        <v>0</v>
      </c>
      <c r="K1106" s="260">
        <f>7500*3</f>
        <v>22500</v>
      </c>
      <c r="L1106" s="156">
        <f>7500+7500+7500</f>
        <v>22500</v>
      </c>
      <c r="M1106" s="156"/>
      <c r="N1106" s="144">
        <f t="shared" si="76"/>
        <v>0</v>
      </c>
      <c r="O1106" s="158" t="s">
        <v>1113</v>
      </c>
      <c r="P1106" s="273" t="s">
        <v>733</v>
      </c>
    </row>
    <row r="1107" s="99" customFormat="1" spans="1:16">
      <c r="A1107" s="122">
        <v>45992</v>
      </c>
      <c r="B1107" s="135" t="s">
        <v>679</v>
      </c>
      <c r="C1107" s="256" t="s">
        <v>763</v>
      </c>
      <c r="D1107" s="135" t="s">
        <v>764</v>
      </c>
      <c r="E1107" s="135" t="s">
        <v>765</v>
      </c>
      <c r="F1107" s="117">
        <v>46007</v>
      </c>
      <c r="G1107" s="135" t="s">
        <v>26</v>
      </c>
      <c r="H1107" s="116" t="s">
        <v>23</v>
      </c>
      <c r="I1107" s="252">
        <v>47910</v>
      </c>
      <c r="J1107" s="139">
        <v>0</v>
      </c>
      <c r="K1107" s="252">
        <f t="shared" ref="K1107:K1123" si="77">I1107-J1107</f>
        <v>47910</v>
      </c>
      <c r="L1107" s="139">
        <f>14577+33333</f>
        <v>47910</v>
      </c>
      <c r="M1107" s="139"/>
      <c r="N1107" s="131">
        <f t="shared" si="76"/>
        <v>0</v>
      </c>
      <c r="O1107" s="112" t="s">
        <v>1114</v>
      </c>
      <c r="P1107" s="262"/>
    </row>
    <row r="1108" s="99" customFormat="1" spans="1:16">
      <c r="A1108" s="122">
        <v>45992</v>
      </c>
      <c r="B1108" s="135" t="s">
        <v>679</v>
      </c>
      <c r="C1108" s="256" t="s">
        <v>763</v>
      </c>
      <c r="D1108" s="135" t="s">
        <v>764</v>
      </c>
      <c r="E1108" s="135" t="s">
        <v>765</v>
      </c>
      <c r="F1108" s="117">
        <v>46007</v>
      </c>
      <c r="G1108" s="135" t="s">
        <v>26</v>
      </c>
      <c r="H1108" s="116" t="s">
        <v>21</v>
      </c>
      <c r="I1108" s="252">
        <v>85423</v>
      </c>
      <c r="J1108" s="139">
        <v>0</v>
      </c>
      <c r="K1108" s="252">
        <f t="shared" si="77"/>
        <v>85423</v>
      </c>
      <c r="L1108" s="139">
        <v>85423</v>
      </c>
      <c r="M1108" s="139"/>
      <c r="N1108" s="131">
        <f t="shared" si="76"/>
        <v>0</v>
      </c>
      <c r="O1108" s="143" t="s">
        <v>1115</v>
      </c>
      <c r="P1108" s="262"/>
    </row>
    <row r="1109" s="99" customFormat="1" spans="1:16">
      <c r="A1109" s="122">
        <v>45992</v>
      </c>
      <c r="B1109" s="135" t="s">
        <v>679</v>
      </c>
      <c r="C1109" s="256" t="s">
        <v>773</v>
      </c>
      <c r="D1109" s="135" t="s">
        <v>774</v>
      </c>
      <c r="E1109" s="135" t="s">
        <v>775</v>
      </c>
      <c r="F1109" s="117">
        <v>46007</v>
      </c>
      <c r="G1109" s="135" t="s">
        <v>98</v>
      </c>
      <c r="H1109" s="116" t="s">
        <v>21</v>
      </c>
      <c r="I1109" s="252">
        <v>4650</v>
      </c>
      <c r="J1109" s="139">
        <v>0</v>
      </c>
      <c r="K1109" s="252">
        <f t="shared" si="77"/>
        <v>4650</v>
      </c>
      <c r="L1109" s="131">
        <f>I1109-J1109</f>
        <v>4650</v>
      </c>
      <c r="M1109" s="139"/>
      <c r="N1109" s="131">
        <f t="shared" si="76"/>
        <v>0</v>
      </c>
      <c r="O1109" s="143" t="s">
        <v>1116</v>
      </c>
      <c r="P1109" s="262"/>
    </row>
    <row r="1110" s="99" customFormat="1" spans="1:16">
      <c r="A1110" s="122">
        <v>45992</v>
      </c>
      <c r="B1110" s="135" t="s">
        <v>679</v>
      </c>
      <c r="C1110" s="256" t="s">
        <v>773</v>
      </c>
      <c r="D1110" s="135" t="s">
        <v>774</v>
      </c>
      <c r="E1110" s="135" t="s">
        <v>775</v>
      </c>
      <c r="F1110" s="117">
        <v>46007</v>
      </c>
      <c r="G1110" s="135" t="s">
        <v>98</v>
      </c>
      <c r="H1110" s="116" t="s">
        <v>23</v>
      </c>
      <c r="I1110" s="252">
        <v>4650</v>
      </c>
      <c r="J1110" s="139">
        <v>0</v>
      </c>
      <c r="K1110" s="252">
        <f t="shared" si="77"/>
        <v>4650</v>
      </c>
      <c r="L1110" s="131">
        <f>4500+150</f>
        <v>4650</v>
      </c>
      <c r="M1110" s="139"/>
      <c r="N1110" s="131">
        <f t="shared" si="76"/>
        <v>0</v>
      </c>
      <c r="O1110" s="143" t="s">
        <v>1117</v>
      </c>
      <c r="P1110" s="262"/>
    </row>
    <row r="1111" s="99" customFormat="1" spans="1:16">
      <c r="A1111" s="122">
        <v>45992</v>
      </c>
      <c r="B1111" s="135" t="s">
        <v>679</v>
      </c>
      <c r="C1111" s="256" t="s">
        <v>778</v>
      </c>
      <c r="D1111" s="135" t="s">
        <v>779</v>
      </c>
      <c r="E1111" s="135" t="s">
        <v>780</v>
      </c>
      <c r="F1111" s="117">
        <v>46007</v>
      </c>
      <c r="G1111" s="135" t="s">
        <v>1050</v>
      </c>
      <c r="H1111" s="116" t="s">
        <v>21</v>
      </c>
      <c r="I1111" s="252">
        <v>4229.4</v>
      </c>
      <c r="J1111" s="139">
        <v>0</v>
      </c>
      <c r="K1111" s="252">
        <f t="shared" si="77"/>
        <v>4229.4</v>
      </c>
      <c r="L1111" s="139">
        <v>4229.4</v>
      </c>
      <c r="M1111" s="139"/>
      <c r="N1111" s="131">
        <f t="shared" si="76"/>
        <v>0</v>
      </c>
      <c r="O1111" s="143" t="s">
        <v>1118</v>
      </c>
      <c r="P1111" s="262"/>
    </row>
    <row r="1112" s="99" customFormat="1" spans="1:16">
      <c r="A1112" s="122">
        <v>45992</v>
      </c>
      <c r="B1112" s="135" t="s">
        <v>679</v>
      </c>
      <c r="C1112" s="256" t="s">
        <v>778</v>
      </c>
      <c r="D1112" s="135" t="s">
        <v>779</v>
      </c>
      <c r="E1112" s="135" t="s">
        <v>780</v>
      </c>
      <c r="F1112" s="117">
        <v>46007</v>
      </c>
      <c r="G1112" s="135" t="s">
        <v>1050</v>
      </c>
      <c r="H1112" s="116" t="s">
        <v>23</v>
      </c>
      <c r="I1112" s="252">
        <v>6270</v>
      </c>
      <c r="J1112" s="139">
        <v>0</v>
      </c>
      <c r="K1112" s="252">
        <f t="shared" si="77"/>
        <v>6270</v>
      </c>
      <c r="L1112" s="139">
        <f>1170+5100</f>
        <v>6270</v>
      </c>
      <c r="M1112" s="139"/>
      <c r="N1112" s="131">
        <f t="shared" si="76"/>
        <v>0</v>
      </c>
      <c r="O1112" s="143" t="s">
        <v>1119</v>
      </c>
      <c r="P1112" s="262"/>
    </row>
    <row r="1113" s="99" customFormat="1" spans="1:16">
      <c r="A1113" s="122">
        <v>45992</v>
      </c>
      <c r="B1113" s="135" t="s">
        <v>679</v>
      </c>
      <c r="C1113" s="256" t="s">
        <v>789</v>
      </c>
      <c r="D1113" s="135" t="s">
        <v>790</v>
      </c>
      <c r="E1113" s="135" t="s">
        <v>791</v>
      </c>
      <c r="F1113" s="117">
        <v>46007</v>
      </c>
      <c r="G1113" s="135" t="s">
        <v>1019</v>
      </c>
      <c r="H1113" s="116" t="s">
        <v>23</v>
      </c>
      <c r="I1113" s="252">
        <v>23805</v>
      </c>
      <c r="J1113" s="139">
        <v>0</v>
      </c>
      <c r="K1113" s="252">
        <f t="shared" si="77"/>
        <v>23805</v>
      </c>
      <c r="L1113" s="139">
        <f>7935+15870</f>
        <v>23805</v>
      </c>
      <c r="M1113" s="139"/>
      <c r="N1113" s="131">
        <f t="shared" si="76"/>
        <v>0</v>
      </c>
      <c r="O1113" s="143" t="s">
        <v>1120</v>
      </c>
      <c r="P1113" s="262"/>
    </row>
    <row r="1114" s="99" customFormat="1" ht="27" spans="1:16">
      <c r="A1114" s="122">
        <v>45992</v>
      </c>
      <c r="B1114" s="266" t="s">
        <v>679</v>
      </c>
      <c r="C1114" s="267" t="s">
        <v>789</v>
      </c>
      <c r="D1114" s="266" t="s">
        <v>790</v>
      </c>
      <c r="E1114" s="266" t="s">
        <v>791</v>
      </c>
      <c r="F1114" s="268">
        <v>46007</v>
      </c>
      <c r="G1114" s="266" t="s">
        <v>1019</v>
      </c>
      <c r="H1114" s="235" t="s">
        <v>21</v>
      </c>
      <c r="I1114" s="274">
        <v>27170.82</v>
      </c>
      <c r="J1114" s="239">
        <v>0</v>
      </c>
      <c r="K1114" s="274">
        <f t="shared" si="77"/>
        <v>27170.82</v>
      </c>
      <c r="L1114" s="239">
        <f>8625+690+16560+1295.82</f>
        <v>27170.82</v>
      </c>
      <c r="M1114" s="239"/>
      <c r="N1114" s="161">
        <f t="shared" si="76"/>
        <v>0</v>
      </c>
      <c r="O1114" s="275" t="s">
        <v>1121</v>
      </c>
      <c r="P1114" s="262"/>
    </row>
    <row r="1115" s="100" customFormat="1" spans="1:16">
      <c r="A1115" s="145">
        <v>45992</v>
      </c>
      <c r="B1115" s="192" t="s">
        <v>679</v>
      </c>
      <c r="C1115" s="257" t="s">
        <v>811</v>
      </c>
      <c r="D1115" s="192" t="s">
        <v>812</v>
      </c>
      <c r="E1115" s="192" t="s">
        <v>813</v>
      </c>
      <c r="F1115" s="117">
        <v>46007</v>
      </c>
      <c r="G1115" s="192" t="s">
        <v>98</v>
      </c>
      <c r="H1115" s="146" t="s">
        <v>23</v>
      </c>
      <c r="I1115" s="260">
        <v>7717.5</v>
      </c>
      <c r="J1115" s="156">
        <v>0</v>
      </c>
      <c r="K1115" s="260">
        <f t="shared" si="77"/>
        <v>7717.5</v>
      </c>
      <c r="L1115" s="260">
        <v>7717.5</v>
      </c>
      <c r="M1115" s="260"/>
      <c r="N1115" s="144">
        <f t="shared" si="76"/>
        <v>0</v>
      </c>
      <c r="O1115" s="198" t="s">
        <v>1024</v>
      </c>
      <c r="P1115" s="273"/>
    </row>
    <row r="1116" s="100" customFormat="1" spans="1:16">
      <c r="A1116" s="145">
        <v>45992</v>
      </c>
      <c r="B1116" s="192" t="s">
        <v>679</v>
      </c>
      <c r="C1116" s="257" t="s">
        <v>811</v>
      </c>
      <c r="D1116" s="192" t="s">
        <v>812</v>
      </c>
      <c r="E1116" s="192" t="s">
        <v>813</v>
      </c>
      <c r="F1116" s="117">
        <v>46007</v>
      </c>
      <c r="G1116" s="192" t="s">
        <v>98</v>
      </c>
      <c r="H1116" s="146" t="s">
        <v>21</v>
      </c>
      <c r="I1116" s="260">
        <v>17892.35</v>
      </c>
      <c r="J1116" s="156">
        <v>0</v>
      </c>
      <c r="K1116" s="260">
        <f t="shared" si="77"/>
        <v>17892.35</v>
      </c>
      <c r="L1116" s="260">
        <v>17892.35</v>
      </c>
      <c r="M1116" s="260"/>
      <c r="N1116" s="144">
        <f t="shared" si="76"/>
        <v>0</v>
      </c>
      <c r="O1116" s="198" t="s">
        <v>1024</v>
      </c>
      <c r="P1116" s="273"/>
    </row>
    <row r="1117" s="99" customFormat="1" spans="1:16">
      <c r="A1117" s="122">
        <v>45992</v>
      </c>
      <c r="B1117" s="135" t="s">
        <v>679</v>
      </c>
      <c r="C1117" s="256" t="s">
        <v>1122</v>
      </c>
      <c r="D1117" s="135" t="s">
        <v>1123</v>
      </c>
      <c r="E1117" s="135" t="s">
        <v>1124</v>
      </c>
      <c r="F1117" s="117">
        <v>46007</v>
      </c>
      <c r="G1117" s="135" t="s">
        <v>1125</v>
      </c>
      <c r="H1117" s="116" t="s">
        <v>21</v>
      </c>
      <c r="I1117" s="252">
        <v>10640</v>
      </c>
      <c r="J1117" s="139">
        <v>0</v>
      </c>
      <c r="K1117" s="252">
        <f t="shared" si="77"/>
        <v>10640</v>
      </c>
      <c r="L1117" s="139">
        <f>5320*2</f>
        <v>10640</v>
      </c>
      <c r="M1117" s="139"/>
      <c r="N1117" s="131">
        <f t="shared" si="76"/>
        <v>0</v>
      </c>
      <c r="O1117" s="143" t="s">
        <v>1126</v>
      </c>
      <c r="P1117" s="262"/>
    </row>
    <row r="1118" s="99" customFormat="1" spans="1:16">
      <c r="A1118" s="122">
        <v>45992</v>
      </c>
      <c r="B1118" s="135" t="s">
        <v>679</v>
      </c>
      <c r="C1118" s="256" t="s">
        <v>1122</v>
      </c>
      <c r="D1118" s="135" t="s">
        <v>1123</v>
      </c>
      <c r="E1118" s="135" t="s">
        <v>1124</v>
      </c>
      <c r="F1118" s="117">
        <v>46007</v>
      </c>
      <c r="G1118" s="135" t="s">
        <v>1125</v>
      </c>
      <c r="H1118" s="116" t="s">
        <v>23</v>
      </c>
      <c r="I1118" s="252">
        <v>5600</v>
      </c>
      <c r="J1118" s="139">
        <v>0</v>
      </c>
      <c r="K1118" s="252">
        <f t="shared" si="77"/>
        <v>5600</v>
      </c>
      <c r="L1118" s="139">
        <f>2800*2</f>
        <v>5600</v>
      </c>
      <c r="M1118" s="139"/>
      <c r="N1118" s="131">
        <f t="shared" si="76"/>
        <v>0</v>
      </c>
      <c r="O1118" s="143" t="s">
        <v>1126</v>
      </c>
      <c r="P1118" s="262"/>
    </row>
    <row r="1119" s="99" customFormat="1" spans="1:16">
      <c r="A1119" s="122">
        <v>45992</v>
      </c>
      <c r="B1119" s="135" t="s">
        <v>816</v>
      </c>
      <c r="C1119" s="256" t="s">
        <v>817</v>
      </c>
      <c r="D1119" s="135" t="s">
        <v>818</v>
      </c>
      <c r="E1119" s="135" t="s">
        <v>819</v>
      </c>
      <c r="F1119" s="117">
        <v>46007</v>
      </c>
      <c r="G1119" s="135" t="s">
        <v>98</v>
      </c>
      <c r="H1119" s="116" t="s">
        <v>23</v>
      </c>
      <c r="I1119" s="252">
        <v>12500</v>
      </c>
      <c r="J1119" s="139">
        <v>5000</v>
      </c>
      <c r="K1119" s="252">
        <f t="shared" si="77"/>
        <v>7500</v>
      </c>
      <c r="L1119" s="139">
        <v>7500</v>
      </c>
      <c r="M1119" s="139"/>
      <c r="N1119" s="131">
        <f t="shared" si="76"/>
        <v>0</v>
      </c>
      <c r="O1119" s="114" t="s">
        <v>827</v>
      </c>
      <c r="P1119" s="262"/>
    </row>
    <row r="1120" s="99" customFormat="1" spans="1:16">
      <c r="A1120" s="122">
        <v>45992</v>
      </c>
      <c r="B1120" s="135" t="s">
        <v>816</v>
      </c>
      <c r="C1120" s="256" t="s">
        <v>817</v>
      </c>
      <c r="D1120" s="135" t="s">
        <v>818</v>
      </c>
      <c r="E1120" s="135" t="s">
        <v>819</v>
      </c>
      <c r="F1120" s="117">
        <v>46007</v>
      </c>
      <c r="G1120" s="135" t="s">
        <v>98</v>
      </c>
      <c r="H1120" s="116" t="s">
        <v>21</v>
      </c>
      <c r="I1120" s="252">
        <v>15000</v>
      </c>
      <c r="J1120" s="139">
        <v>7500</v>
      </c>
      <c r="K1120" s="252">
        <f t="shared" si="77"/>
        <v>7500</v>
      </c>
      <c r="L1120" s="139">
        <v>7500</v>
      </c>
      <c r="M1120" s="139"/>
      <c r="N1120" s="131">
        <f t="shared" si="76"/>
        <v>0</v>
      </c>
      <c r="O1120" s="114" t="s">
        <v>827</v>
      </c>
      <c r="P1120" s="262"/>
    </row>
    <row r="1121" s="99" customFormat="1" spans="1:16">
      <c r="A1121" s="122">
        <v>45992</v>
      </c>
      <c r="B1121" s="135" t="s">
        <v>1127</v>
      </c>
      <c r="C1121" s="256" t="s">
        <v>991</v>
      </c>
      <c r="D1121" s="135" t="s">
        <v>307</v>
      </c>
      <c r="E1121" s="135" t="s">
        <v>308</v>
      </c>
      <c r="F1121" s="117">
        <v>46007</v>
      </c>
      <c r="G1121" s="135" t="s">
        <v>1019</v>
      </c>
      <c r="H1121" s="116" t="s">
        <v>833</v>
      </c>
      <c r="I1121" s="252">
        <v>1200</v>
      </c>
      <c r="J1121" s="139">
        <v>0</v>
      </c>
      <c r="K1121" s="252">
        <f t="shared" si="77"/>
        <v>1200</v>
      </c>
      <c r="L1121" s="156">
        <f>300+900</f>
        <v>1200</v>
      </c>
      <c r="M1121" s="139"/>
      <c r="N1121" s="131">
        <f t="shared" si="76"/>
        <v>0</v>
      </c>
      <c r="O1121" s="143" t="s">
        <v>1128</v>
      </c>
      <c r="P1121" s="262"/>
    </row>
    <row r="1122" s="99" customFormat="1" spans="1:16">
      <c r="A1122" s="122">
        <v>45992</v>
      </c>
      <c r="B1122" s="116" t="s">
        <v>854</v>
      </c>
      <c r="C1122" s="256" t="s">
        <v>851</v>
      </c>
      <c r="D1122" s="135" t="s">
        <v>287</v>
      </c>
      <c r="E1122" s="135" t="s">
        <v>852</v>
      </c>
      <c r="F1122" s="117">
        <v>46007</v>
      </c>
      <c r="G1122" s="135" t="s">
        <v>98</v>
      </c>
      <c r="H1122" s="116" t="s">
        <v>833</v>
      </c>
      <c r="I1122" s="252">
        <v>800</v>
      </c>
      <c r="J1122" s="139">
        <v>0</v>
      </c>
      <c r="K1122" s="252">
        <f t="shared" si="77"/>
        <v>800</v>
      </c>
      <c r="L1122" s="139">
        <v>800</v>
      </c>
      <c r="M1122" s="139"/>
      <c r="N1122" s="131">
        <f t="shared" si="76"/>
        <v>0</v>
      </c>
      <c r="O1122" s="143" t="s">
        <v>1030</v>
      </c>
      <c r="P1122" s="262"/>
    </row>
    <row r="1123" s="99" customFormat="1" spans="1:16">
      <c r="A1123" s="122">
        <v>45931</v>
      </c>
      <c r="B1123" s="116" t="s">
        <v>285</v>
      </c>
      <c r="C1123" s="256" t="s">
        <v>1129</v>
      </c>
      <c r="D1123" s="135" t="s">
        <v>406</v>
      </c>
      <c r="E1123" s="135" t="s">
        <v>1130</v>
      </c>
      <c r="F1123" s="117">
        <v>46007</v>
      </c>
      <c r="G1123" s="135" t="s">
        <v>1131</v>
      </c>
      <c r="H1123" s="116" t="s">
        <v>21</v>
      </c>
      <c r="I1123" s="252">
        <v>12000</v>
      </c>
      <c r="J1123" s="139">
        <v>0</v>
      </c>
      <c r="K1123" s="252">
        <f t="shared" si="77"/>
        <v>12000</v>
      </c>
      <c r="L1123" s="139">
        <v>12000</v>
      </c>
      <c r="M1123" s="139"/>
      <c r="N1123" s="131">
        <f t="shared" si="76"/>
        <v>0</v>
      </c>
      <c r="O1123" s="143" t="s">
        <v>1132</v>
      </c>
      <c r="P1123" s="262"/>
    </row>
    <row r="1124" s="99" customFormat="1" spans="1:16">
      <c r="A1124" s="122">
        <v>45992</v>
      </c>
      <c r="B1124" s="116" t="s">
        <v>630</v>
      </c>
      <c r="C1124" s="256" t="s">
        <v>1133</v>
      </c>
      <c r="D1124" s="135" t="s">
        <v>1134</v>
      </c>
      <c r="E1124" s="135" t="s">
        <v>1135</v>
      </c>
      <c r="F1124" s="117">
        <v>46007</v>
      </c>
      <c r="G1124" s="135" t="s">
        <v>1136</v>
      </c>
      <c r="H1124" s="116" t="s">
        <v>21</v>
      </c>
      <c r="I1124" s="252">
        <v>52542</v>
      </c>
      <c r="J1124" s="139"/>
      <c r="K1124" s="252">
        <v>52542</v>
      </c>
      <c r="L1124" s="139">
        <v>52542</v>
      </c>
      <c r="M1124" s="139"/>
      <c r="N1124" s="131">
        <f t="shared" si="76"/>
        <v>0</v>
      </c>
      <c r="O1124" s="143" t="s">
        <v>1137</v>
      </c>
      <c r="P1124" s="262"/>
    </row>
    <row r="1125" s="99" customFormat="1" spans="1:16">
      <c r="A1125" s="122">
        <v>45992</v>
      </c>
      <c r="B1125" s="116" t="s">
        <v>630</v>
      </c>
      <c r="C1125" s="256" t="s">
        <v>1133</v>
      </c>
      <c r="D1125" s="135" t="s">
        <v>1134</v>
      </c>
      <c r="E1125" s="135" t="s">
        <v>1135</v>
      </c>
      <c r="F1125" s="117">
        <v>46007</v>
      </c>
      <c r="G1125" s="135" t="s">
        <v>1136</v>
      </c>
      <c r="H1125" s="116" t="s">
        <v>23</v>
      </c>
      <c r="I1125" s="252">
        <v>8757</v>
      </c>
      <c r="J1125" s="139"/>
      <c r="K1125" s="252">
        <v>8757</v>
      </c>
      <c r="L1125" s="139">
        <v>8757</v>
      </c>
      <c r="M1125" s="139"/>
      <c r="N1125" s="131">
        <f t="shared" si="76"/>
        <v>0</v>
      </c>
      <c r="O1125" s="143" t="s">
        <v>1137</v>
      </c>
      <c r="P1125" s="262"/>
    </row>
    <row r="1126" s="99" customFormat="1" spans="1:16">
      <c r="A1126" s="122">
        <v>45962</v>
      </c>
      <c r="B1126" s="116" t="s">
        <v>16</v>
      </c>
      <c r="C1126" s="256" t="s">
        <v>221</v>
      </c>
      <c r="D1126" s="135" t="s">
        <v>1138</v>
      </c>
      <c r="E1126" s="135" t="s">
        <v>223</v>
      </c>
      <c r="F1126" s="117">
        <v>45976</v>
      </c>
      <c r="G1126" s="135" t="s">
        <v>1139</v>
      </c>
      <c r="H1126" s="116" t="s">
        <v>21</v>
      </c>
      <c r="I1126" s="252">
        <v>21624</v>
      </c>
      <c r="J1126" s="139">
        <v>0</v>
      </c>
      <c r="K1126" s="252">
        <v>21624</v>
      </c>
      <c r="L1126" s="139">
        <v>21624</v>
      </c>
      <c r="M1126" s="139"/>
      <c r="N1126" s="131">
        <f t="shared" si="76"/>
        <v>0</v>
      </c>
      <c r="O1126" s="143" t="s">
        <v>1054</v>
      </c>
      <c r="P1126" s="262" t="s">
        <v>1140</v>
      </c>
    </row>
    <row r="1127" s="99" customFormat="1" spans="1:17">
      <c r="A1127" s="122">
        <v>45962</v>
      </c>
      <c r="B1127" s="116" t="s">
        <v>16</v>
      </c>
      <c r="C1127" s="256" t="s">
        <v>221</v>
      </c>
      <c r="D1127" s="135" t="s">
        <v>1138</v>
      </c>
      <c r="E1127" s="135" t="s">
        <v>223</v>
      </c>
      <c r="F1127" s="117">
        <v>45976</v>
      </c>
      <c r="G1127" s="135" t="s">
        <v>1139</v>
      </c>
      <c r="H1127" s="116" t="s">
        <v>23</v>
      </c>
      <c r="I1127" s="252">
        <v>8976</v>
      </c>
      <c r="J1127" s="139">
        <v>0</v>
      </c>
      <c r="K1127" s="252">
        <v>8976</v>
      </c>
      <c r="L1127" s="139">
        <v>8976</v>
      </c>
      <c r="M1127" s="139"/>
      <c r="N1127" s="131">
        <f t="shared" si="76"/>
        <v>0</v>
      </c>
      <c r="O1127" s="143" t="s">
        <v>1054</v>
      </c>
      <c r="P1127" s="262" t="s">
        <v>1140</v>
      </c>
      <c r="Q1127" s="99" t="s">
        <v>51</v>
      </c>
    </row>
    <row r="1128" s="99" customFormat="1" ht="14.25" spans="1:16">
      <c r="A1128" s="122">
        <v>45962</v>
      </c>
      <c r="B1128" s="116" t="s">
        <v>16</v>
      </c>
      <c r="C1128" s="256" t="s">
        <v>221</v>
      </c>
      <c r="D1128" s="135" t="s">
        <v>1138</v>
      </c>
      <c r="E1128" s="135" t="s">
        <v>223</v>
      </c>
      <c r="F1128" s="117">
        <v>45976</v>
      </c>
      <c r="G1128" s="135" t="s">
        <v>1141</v>
      </c>
      <c r="H1128" s="116" t="s">
        <v>1142</v>
      </c>
      <c r="I1128" s="252">
        <v>3000</v>
      </c>
      <c r="J1128" s="139"/>
      <c r="K1128" s="252">
        <v>3000</v>
      </c>
      <c r="L1128" s="139">
        <v>3000</v>
      </c>
      <c r="M1128" s="139"/>
      <c r="N1128" s="131">
        <f t="shared" si="76"/>
        <v>0</v>
      </c>
      <c r="O1128" s="143" t="s">
        <v>1054</v>
      </c>
      <c r="P1128" s="262" t="s">
        <v>1140</v>
      </c>
    </row>
    <row r="1129" s="99" customFormat="1" spans="1:16">
      <c r="A1129" s="122" t="s">
        <v>1143</v>
      </c>
      <c r="B1129" s="116" t="s">
        <v>679</v>
      </c>
      <c r="C1129" s="256" t="s">
        <v>1144</v>
      </c>
      <c r="D1129" s="135" t="s">
        <v>695</v>
      </c>
      <c r="E1129" s="135" t="s">
        <v>1145</v>
      </c>
      <c r="F1129" s="117">
        <v>45976</v>
      </c>
      <c r="G1129" s="135" t="s">
        <v>1017</v>
      </c>
      <c r="H1129" s="116" t="s">
        <v>21</v>
      </c>
      <c r="I1129" s="252">
        <v>8910</v>
      </c>
      <c r="J1129" s="139">
        <v>0</v>
      </c>
      <c r="K1129" s="252">
        <f>4455*2</f>
        <v>8910</v>
      </c>
      <c r="L1129" s="139">
        <v>8910</v>
      </c>
      <c r="M1129" s="139"/>
      <c r="N1129" s="131">
        <f t="shared" si="76"/>
        <v>0</v>
      </c>
      <c r="O1129" s="143" t="s">
        <v>1146</v>
      </c>
      <c r="P1129" s="262"/>
    </row>
    <row r="1130" s="99" customFormat="1" spans="1:17">
      <c r="A1130" s="122" t="s">
        <v>1143</v>
      </c>
      <c r="B1130" s="116" t="s">
        <v>679</v>
      </c>
      <c r="C1130" s="256" t="s">
        <v>1144</v>
      </c>
      <c r="D1130" s="135" t="s">
        <v>695</v>
      </c>
      <c r="E1130" s="135" t="s">
        <v>1145</v>
      </c>
      <c r="F1130" s="117">
        <v>45976</v>
      </c>
      <c r="G1130" s="135" t="s">
        <v>1017</v>
      </c>
      <c r="H1130" s="116" t="s">
        <v>23</v>
      </c>
      <c r="I1130" s="252">
        <v>8910</v>
      </c>
      <c r="J1130" s="139">
        <v>0</v>
      </c>
      <c r="K1130" s="252">
        <f>4455*2</f>
        <v>8910</v>
      </c>
      <c r="L1130" s="139">
        <v>8910</v>
      </c>
      <c r="M1130" s="139"/>
      <c r="N1130" s="131">
        <f t="shared" si="76"/>
        <v>0</v>
      </c>
      <c r="O1130" s="143" t="s">
        <v>1147</v>
      </c>
      <c r="P1130" s="262"/>
      <c r="Q1130" s="99" t="s">
        <v>51</v>
      </c>
    </row>
    <row r="1131" s="99" customFormat="1" spans="1:16">
      <c r="A1131" s="122">
        <v>45992</v>
      </c>
      <c r="B1131" s="116" t="s">
        <v>16</v>
      </c>
      <c r="C1131" s="256" t="s">
        <v>890</v>
      </c>
      <c r="D1131" s="135" t="s">
        <v>891</v>
      </c>
      <c r="E1131" s="135" t="s">
        <v>892</v>
      </c>
      <c r="F1131" s="117">
        <v>46010</v>
      </c>
      <c r="G1131" s="135" t="s">
        <v>1019</v>
      </c>
      <c r="H1131" s="116" t="s">
        <v>833</v>
      </c>
      <c r="I1131" s="252">
        <v>18900</v>
      </c>
      <c r="J1131" s="139">
        <v>0</v>
      </c>
      <c r="K1131" s="252">
        <f>I1131-J1131</f>
        <v>18900</v>
      </c>
      <c r="L1131" s="139">
        <v>18900</v>
      </c>
      <c r="M1131" s="139"/>
      <c r="N1131" s="131">
        <f t="shared" si="76"/>
        <v>0</v>
      </c>
      <c r="O1131" s="143" t="s">
        <v>1051</v>
      </c>
      <c r="P1131" s="262" t="s">
        <v>1148</v>
      </c>
    </row>
    <row r="1132" s="99" customFormat="1" spans="1:17">
      <c r="A1132" s="122">
        <v>45962</v>
      </c>
      <c r="B1132" s="116" t="s">
        <v>491</v>
      </c>
      <c r="C1132" s="256" t="s">
        <v>993</v>
      </c>
      <c r="D1132" s="135" t="s">
        <v>1149</v>
      </c>
      <c r="E1132" s="135" t="s">
        <v>994</v>
      </c>
      <c r="F1132" s="117">
        <v>45976</v>
      </c>
      <c r="G1132" s="135" t="s">
        <v>1150</v>
      </c>
      <c r="H1132" s="116" t="s">
        <v>833</v>
      </c>
      <c r="I1132" s="252">
        <v>10350.9</v>
      </c>
      <c r="J1132" s="139">
        <v>0</v>
      </c>
      <c r="K1132" s="252">
        <v>10350.9</v>
      </c>
      <c r="L1132" s="139">
        <v>10350.9</v>
      </c>
      <c r="M1132" s="139"/>
      <c r="N1132" s="131">
        <f t="shared" si="76"/>
        <v>0</v>
      </c>
      <c r="O1132" s="143" t="s">
        <v>263</v>
      </c>
      <c r="P1132" s="262" t="s">
        <v>1140</v>
      </c>
      <c r="Q1132" s="99" t="s">
        <v>51</v>
      </c>
    </row>
    <row r="1133" s="99" customFormat="1" spans="1:17">
      <c r="A1133" s="122">
        <v>45992</v>
      </c>
      <c r="B1133" s="269" t="s">
        <v>1044</v>
      </c>
      <c r="C1133" s="256" t="s">
        <v>1151</v>
      </c>
      <c r="D1133" s="135" t="s">
        <v>1152</v>
      </c>
      <c r="E1133" s="135" t="s">
        <v>1153</v>
      </c>
      <c r="F1133" s="117">
        <v>46010</v>
      </c>
      <c r="G1133" s="135" t="s">
        <v>1154</v>
      </c>
      <c r="H1133" s="116" t="s">
        <v>833</v>
      </c>
      <c r="I1133" s="252">
        <v>2460</v>
      </c>
      <c r="J1133" s="139">
        <v>0</v>
      </c>
      <c r="K1133" s="252">
        <f>I1133-J1133</f>
        <v>2460</v>
      </c>
      <c r="L1133" s="139">
        <v>2460</v>
      </c>
      <c r="M1133" s="139"/>
      <c r="N1133" s="131">
        <f t="shared" si="76"/>
        <v>0</v>
      </c>
      <c r="O1133" s="143" t="s">
        <v>1155</v>
      </c>
      <c r="P1133" s="262"/>
      <c r="Q1133" s="99" t="s">
        <v>51</v>
      </c>
    </row>
    <row r="1134" s="99" customFormat="1" spans="1:16">
      <c r="A1134" s="122">
        <v>45962</v>
      </c>
      <c r="B1134" s="269" t="s">
        <v>909</v>
      </c>
      <c r="C1134" s="256" t="s">
        <v>1156</v>
      </c>
      <c r="D1134" s="135" t="s">
        <v>1157</v>
      </c>
      <c r="E1134" s="135" t="s">
        <v>1158</v>
      </c>
      <c r="F1134" s="117">
        <v>45976</v>
      </c>
      <c r="G1134" s="135" t="s">
        <v>317</v>
      </c>
      <c r="H1134" s="116" t="s">
        <v>833</v>
      </c>
      <c r="I1134" s="252">
        <v>15000</v>
      </c>
      <c r="J1134" s="139"/>
      <c r="K1134" s="252">
        <v>15000</v>
      </c>
      <c r="L1134" s="139">
        <v>15000</v>
      </c>
      <c r="M1134" s="139"/>
      <c r="N1134" s="131">
        <f t="shared" si="76"/>
        <v>0</v>
      </c>
      <c r="O1134" s="143" t="s">
        <v>1159</v>
      </c>
      <c r="P1134" s="262"/>
    </row>
    <row r="1135" s="99" customFormat="1" spans="1:16">
      <c r="A1135" s="122">
        <v>45931</v>
      </c>
      <c r="B1135" s="116" t="s">
        <v>16</v>
      </c>
      <c r="C1135" s="256" t="s">
        <v>107</v>
      </c>
      <c r="D1135" s="135" t="s">
        <v>108</v>
      </c>
      <c r="E1135" s="135" t="s">
        <v>109</v>
      </c>
      <c r="F1135" s="117">
        <v>45947</v>
      </c>
      <c r="G1135" s="135" t="s">
        <v>1160</v>
      </c>
      <c r="H1135" s="116" t="s">
        <v>21</v>
      </c>
      <c r="I1135" s="252">
        <v>95620.2</v>
      </c>
      <c r="J1135" s="139">
        <v>0</v>
      </c>
      <c r="K1135" s="252">
        <v>95620.2</v>
      </c>
      <c r="L1135" s="139">
        <v>95620.2</v>
      </c>
      <c r="M1135" s="139"/>
      <c r="N1135" s="131">
        <f t="shared" si="76"/>
        <v>0</v>
      </c>
      <c r="O1135" s="143" t="s">
        <v>1161</v>
      </c>
      <c r="P1135" s="262"/>
    </row>
    <row r="1136" s="99" customFormat="1" spans="1:16">
      <c r="A1136" s="122">
        <v>45931</v>
      </c>
      <c r="B1136" s="116" t="s">
        <v>16</v>
      </c>
      <c r="C1136" s="256" t="s">
        <v>107</v>
      </c>
      <c r="D1136" s="135" t="s">
        <v>108</v>
      </c>
      <c r="E1136" s="135" t="s">
        <v>109</v>
      </c>
      <c r="F1136" s="117">
        <v>45947</v>
      </c>
      <c r="G1136" s="135" t="s">
        <v>1160</v>
      </c>
      <c r="H1136" s="116" t="s">
        <v>23</v>
      </c>
      <c r="I1136" s="252">
        <v>25300</v>
      </c>
      <c r="J1136" s="139">
        <v>0</v>
      </c>
      <c r="K1136" s="252">
        <v>25300</v>
      </c>
      <c r="L1136" s="139">
        <v>25300</v>
      </c>
      <c r="M1136" s="139"/>
      <c r="N1136" s="131">
        <f t="shared" si="76"/>
        <v>0</v>
      </c>
      <c r="O1136" s="143" t="s">
        <v>1161</v>
      </c>
      <c r="P1136" s="262"/>
    </row>
    <row r="1137" s="99" customFormat="1" spans="1:16">
      <c r="A1137" s="122">
        <v>45931</v>
      </c>
      <c r="B1137" s="116" t="s">
        <v>16</v>
      </c>
      <c r="C1137" s="256" t="s">
        <v>107</v>
      </c>
      <c r="D1137" s="135" t="s">
        <v>108</v>
      </c>
      <c r="E1137" s="135" t="s">
        <v>109</v>
      </c>
      <c r="F1137" s="117">
        <v>45947</v>
      </c>
      <c r="G1137" s="135" t="s">
        <v>1162</v>
      </c>
      <c r="H1137" s="116" t="s">
        <v>30</v>
      </c>
      <c r="I1137" s="252">
        <v>3000</v>
      </c>
      <c r="J1137" s="139"/>
      <c r="K1137" s="252">
        <v>3000</v>
      </c>
      <c r="L1137" s="139">
        <v>3000</v>
      </c>
      <c r="M1137" s="139"/>
      <c r="N1137" s="131">
        <f t="shared" si="76"/>
        <v>0</v>
      </c>
      <c r="O1137" s="143" t="s">
        <v>1161</v>
      </c>
      <c r="P1137" s="262"/>
    </row>
    <row r="1138" s="99" customFormat="1" spans="1:16">
      <c r="A1138" s="122">
        <v>45992</v>
      </c>
      <c r="B1138" s="116" t="s">
        <v>285</v>
      </c>
      <c r="C1138" s="256" t="s">
        <v>468</v>
      </c>
      <c r="D1138" s="135" t="s">
        <v>469</v>
      </c>
      <c r="E1138" s="135" t="s">
        <v>470</v>
      </c>
      <c r="F1138" s="117">
        <v>46007</v>
      </c>
      <c r="G1138" s="135" t="s">
        <v>56</v>
      </c>
      <c r="H1138" s="116" t="s">
        <v>23</v>
      </c>
      <c r="I1138" s="252">
        <v>2740</v>
      </c>
      <c r="J1138" s="139">
        <v>0</v>
      </c>
      <c r="K1138" s="252">
        <v>2740</v>
      </c>
      <c r="L1138" s="139">
        <v>2740</v>
      </c>
      <c r="M1138" s="139"/>
      <c r="N1138" s="131">
        <f t="shared" si="76"/>
        <v>0</v>
      </c>
      <c r="O1138" s="143" t="s">
        <v>1163</v>
      </c>
      <c r="P1138" s="262"/>
    </row>
    <row r="1139" s="99" customFormat="1" spans="1:16">
      <c r="A1139" s="122">
        <v>45992</v>
      </c>
      <c r="B1139" s="116" t="s">
        <v>285</v>
      </c>
      <c r="C1139" s="256" t="s">
        <v>468</v>
      </c>
      <c r="D1139" s="135" t="s">
        <v>469</v>
      </c>
      <c r="E1139" s="135" t="s">
        <v>470</v>
      </c>
      <c r="F1139" s="117">
        <v>46007</v>
      </c>
      <c r="G1139" s="135" t="s">
        <v>56</v>
      </c>
      <c r="H1139" s="116" t="s">
        <v>21</v>
      </c>
      <c r="I1139" s="252">
        <v>4110</v>
      </c>
      <c r="J1139" s="139">
        <v>0</v>
      </c>
      <c r="K1139" s="252">
        <v>4110</v>
      </c>
      <c r="L1139" s="139">
        <v>4110</v>
      </c>
      <c r="M1139" s="139"/>
      <c r="N1139" s="131">
        <f t="shared" si="76"/>
        <v>0</v>
      </c>
      <c r="O1139" s="143" t="s">
        <v>1163</v>
      </c>
      <c r="P1139" s="262"/>
    </row>
    <row r="1140" s="99" customFormat="1" spans="1:16">
      <c r="A1140" s="122">
        <v>45992</v>
      </c>
      <c r="B1140" s="116" t="s">
        <v>285</v>
      </c>
      <c r="C1140" s="256" t="s">
        <v>468</v>
      </c>
      <c r="D1140" s="135" t="s">
        <v>469</v>
      </c>
      <c r="E1140" s="135" t="s">
        <v>470</v>
      </c>
      <c r="F1140" s="117">
        <v>46007</v>
      </c>
      <c r="G1140" s="135" t="s">
        <v>58</v>
      </c>
      <c r="H1140" s="116" t="s">
        <v>23</v>
      </c>
      <c r="I1140" s="252">
        <v>2740</v>
      </c>
      <c r="J1140" s="139">
        <v>0</v>
      </c>
      <c r="K1140" s="252">
        <v>2740</v>
      </c>
      <c r="L1140" s="139">
        <v>2740</v>
      </c>
      <c r="M1140" s="139"/>
      <c r="N1140" s="131">
        <f t="shared" si="76"/>
        <v>0</v>
      </c>
      <c r="O1140" s="143" t="s">
        <v>1163</v>
      </c>
      <c r="P1140" s="262"/>
    </row>
    <row r="1141" s="99" customFormat="1" spans="1:16">
      <c r="A1141" s="122">
        <v>45992</v>
      </c>
      <c r="B1141" s="116" t="s">
        <v>285</v>
      </c>
      <c r="C1141" s="256" t="s">
        <v>468</v>
      </c>
      <c r="D1141" s="135" t="s">
        <v>469</v>
      </c>
      <c r="E1141" s="135" t="s">
        <v>470</v>
      </c>
      <c r="F1141" s="117">
        <v>46007</v>
      </c>
      <c r="G1141" s="135" t="s">
        <v>58</v>
      </c>
      <c r="H1141" s="116" t="s">
        <v>21</v>
      </c>
      <c r="I1141" s="252">
        <v>4110</v>
      </c>
      <c r="J1141" s="139">
        <v>0</v>
      </c>
      <c r="K1141" s="252">
        <v>4110</v>
      </c>
      <c r="L1141" s="139">
        <v>4110</v>
      </c>
      <c r="M1141" s="139"/>
      <c r="N1141" s="131">
        <f t="shared" si="76"/>
        <v>0</v>
      </c>
      <c r="O1141" s="143" t="s">
        <v>1163</v>
      </c>
      <c r="P1141" s="262"/>
    </row>
    <row r="1142" s="99" customFormat="1" spans="1:16">
      <c r="A1142" s="122">
        <v>45992</v>
      </c>
      <c r="B1142" s="116" t="s">
        <v>285</v>
      </c>
      <c r="C1142" s="256" t="s">
        <v>468</v>
      </c>
      <c r="D1142" s="135" t="s">
        <v>469</v>
      </c>
      <c r="E1142" s="135" t="s">
        <v>470</v>
      </c>
      <c r="F1142" s="117">
        <v>46007</v>
      </c>
      <c r="G1142" s="135" t="s">
        <v>60</v>
      </c>
      <c r="H1142" s="116" t="s">
        <v>23</v>
      </c>
      <c r="I1142" s="252">
        <v>2740</v>
      </c>
      <c r="J1142" s="139">
        <v>0</v>
      </c>
      <c r="K1142" s="252">
        <v>2740</v>
      </c>
      <c r="L1142" s="139">
        <v>2740</v>
      </c>
      <c r="M1142" s="139"/>
      <c r="N1142" s="131">
        <f t="shared" si="76"/>
        <v>0</v>
      </c>
      <c r="O1142" s="143" t="s">
        <v>1163</v>
      </c>
      <c r="P1142" s="262"/>
    </row>
    <row r="1143" s="99" customFormat="1" spans="1:16">
      <c r="A1143" s="122">
        <v>45992</v>
      </c>
      <c r="B1143" s="116" t="s">
        <v>285</v>
      </c>
      <c r="C1143" s="256" t="s">
        <v>468</v>
      </c>
      <c r="D1143" s="135" t="s">
        <v>469</v>
      </c>
      <c r="E1143" s="135" t="s">
        <v>470</v>
      </c>
      <c r="F1143" s="117">
        <v>46007</v>
      </c>
      <c r="G1143" s="135" t="s">
        <v>60</v>
      </c>
      <c r="H1143" s="116" t="s">
        <v>21</v>
      </c>
      <c r="I1143" s="252">
        <v>4110</v>
      </c>
      <c r="J1143" s="139">
        <v>0</v>
      </c>
      <c r="K1143" s="252">
        <v>4110</v>
      </c>
      <c r="L1143" s="139">
        <v>4110</v>
      </c>
      <c r="M1143" s="139"/>
      <c r="N1143" s="131">
        <f t="shared" si="76"/>
        <v>0</v>
      </c>
      <c r="O1143" s="143" t="s">
        <v>1163</v>
      </c>
      <c r="P1143" s="262"/>
    </row>
    <row r="1144" s="99" customFormat="1" spans="1:16">
      <c r="A1144" s="122">
        <v>45992</v>
      </c>
      <c r="B1144" s="116" t="s">
        <v>285</v>
      </c>
      <c r="C1144" s="256" t="s">
        <v>468</v>
      </c>
      <c r="D1144" s="135" t="s">
        <v>469</v>
      </c>
      <c r="E1144" s="135" t="s">
        <v>470</v>
      </c>
      <c r="F1144" s="117">
        <v>46007</v>
      </c>
      <c r="G1144" s="135" t="s">
        <v>28</v>
      </c>
      <c r="H1144" s="116" t="s">
        <v>23</v>
      </c>
      <c r="I1144" s="252">
        <v>2740</v>
      </c>
      <c r="J1144" s="139">
        <v>0</v>
      </c>
      <c r="K1144" s="252">
        <v>2740</v>
      </c>
      <c r="L1144" s="139">
        <v>2740</v>
      </c>
      <c r="M1144" s="139"/>
      <c r="N1144" s="131">
        <f t="shared" si="76"/>
        <v>0</v>
      </c>
      <c r="O1144" s="143" t="s">
        <v>1163</v>
      </c>
      <c r="P1144" s="262"/>
    </row>
    <row r="1145" s="99" customFormat="1" spans="1:16">
      <c r="A1145" s="122">
        <v>45992</v>
      </c>
      <c r="B1145" s="116" t="s">
        <v>285</v>
      </c>
      <c r="C1145" s="256" t="s">
        <v>468</v>
      </c>
      <c r="D1145" s="135" t="s">
        <v>469</v>
      </c>
      <c r="E1145" s="135" t="s">
        <v>470</v>
      </c>
      <c r="F1145" s="117">
        <v>46007</v>
      </c>
      <c r="G1145" s="135" t="s">
        <v>28</v>
      </c>
      <c r="H1145" s="116" t="s">
        <v>21</v>
      </c>
      <c r="I1145" s="252">
        <v>4110</v>
      </c>
      <c r="J1145" s="139">
        <v>0</v>
      </c>
      <c r="K1145" s="252">
        <v>4110</v>
      </c>
      <c r="L1145" s="139">
        <v>4110</v>
      </c>
      <c r="M1145" s="139"/>
      <c r="N1145" s="131">
        <f t="shared" si="76"/>
        <v>0</v>
      </c>
      <c r="O1145" s="143" t="s">
        <v>1163</v>
      </c>
      <c r="P1145" s="262"/>
    </row>
    <row r="1146" s="99" customFormat="1" spans="1:16">
      <c r="A1146" s="122">
        <v>45992</v>
      </c>
      <c r="B1146" s="116" t="s">
        <v>285</v>
      </c>
      <c r="C1146" s="256" t="s">
        <v>468</v>
      </c>
      <c r="D1146" s="135" t="s">
        <v>469</v>
      </c>
      <c r="E1146" s="135" t="s">
        <v>470</v>
      </c>
      <c r="F1146" s="117">
        <v>46007</v>
      </c>
      <c r="G1146" s="135" t="s">
        <v>26</v>
      </c>
      <c r="H1146" s="116" t="s">
        <v>23</v>
      </c>
      <c r="I1146" s="252">
        <v>2740</v>
      </c>
      <c r="J1146" s="139">
        <v>0</v>
      </c>
      <c r="K1146" s="252">
        <v>2740</v>
      </c>
      <c r="L1146" s="139">
        <v>2740</v>
      </c>
      <c r="M1146" s="139"/>
      <c r="N1146" s="131">
        <f t="shared" si="76"/>
        <v>0</v>
      </c>
      <c r="O1146" s="143" t="s">
        <v>1164</v>
      </c>
      <c r="P1146" s="262"/>
    </row>
    <row r="1147" s="99" customFormat="1" spans="1:16">
      <c r="A1147" s="122">
        <v>45992</v>
      </c>
      <c r="B1147" s="116" t="s">
        <v>285</v>
      </c>
      <c r="C1147" s="256" t="s">
        <v>468</v>
      </c>
      <c r="D1147" s="135" t="s">
        <v>469</v>
      </c>
      <c r="E1147" s="135" t="s">
        <v>470</v>
      </c>
      <c r="F1147" s="117">
        <v>46007</v>
      </c>
      <c r="G1147" s="135" t="s">
        <v>26</v>
      </c>
      <c r="H1147" s="116" t="s">
        <v>21</v>
      </c>
      <c r="I1147" s="252">
        <v>4110</v>
      </c>
      <c r="J1147" s="139">
        <v>0</v>
      </c>
      <c r="K1147" s="252">
        <v>4110</v>
      </c>
      <c r="L1147" s="139">
        <v>4110</v>
      </c>
      <c r="M1147" s="139"/>
      <c r="N1147" s="131">
        <f t="shared" si="76"/>
        <v>0</v>
      </c>
      <c r="O1147" s="143" t="s">
        <v>1164</v>
      </c>
      <c r="P1147" s="262"/>
    </row>
    <row r="1148" s="99" customFormat="1" spans="1:16">
      <c r="A1148" s="122">
        <v>45992</v>
      </c>
      <c r="B1148" s="116" t="s">
        <v>285</v>
      </c>
      <c r="C1148" s="256" t="s">
        <v>468</v>
      </c>
      <c r="D1148" s="135" t="s">
        <v>469</v>
      </c>
      <c r="E1148" s="135" t="s">
        <v>470</v>
      </c>
      <c r="F1148" s="117">
        <v>46007</v>
      </c>
      <c r="G1148" s="135" t="s">
        <v>98</v>
      </c>
      <c r="H1148" s="116" t="s">
        <v>23</v>
      </c>
      <c r="I1148" s="252">
        <v>2740</v>
      </c>
      <c r="J1148" s="139">
        <v>0</v>
      </c>
      <c r="K1148" s="252">
        <v>2740</v>
      </c>
      <c r="L1148" s="139">
        <v>2740</v>
      </c>
      <c r="M1148" s="139"/>
      <c r="N1148" s="131">
        <f t="shared" si="76"/>
        <v>0</v>
      </c>
      <c r="O1148" s="143" t="s">
        <v>1165</v>
      </c>
      <c r="P1148" s="262" t="s">
        <v>1140</v>
      </c>
    </row>
    <row r="1149" s="99" customFormat="1" spans="1:16">
      <c r="A1149" s="122">
        <v>45992</v>
      </c>
      <c r="B1149" s="116" t="s">
        <v>285</v>
      </c>
      <c r="C1149" s="256" t="s">
        <v>468</v>
      </c>
      <c r="D1149" s="135" t="s">
        <v>469</v>
      </c>
      <c r="E1149" s="135" t="s">
        <v>470</v>
      </c>
      <c r="F1149" s="117">
        <v>46007</v>
      </c>
      <c r="G1149" s="135" t="s">
        <v>98</v>
      </c>
      <c r="H1149" s="116" t="s">
        <v>21</v>
      </c>
      <c r="I1149" s="252">
        <v>4110</v>
      </c>
      <c r="J1149" s="139">
        <v>0</v>
      </c>
      <c r="K1149" s="252">
        <v>4110</v>
      </c>
      <c r="L1149" s="139">
        <v>4110</v>
      </c>
      <c r="M1149" s="139"/>
      <c r="N1149" s="131">
        <f t="shared" si="76"/>
        <v>0</v>
      </c>
      <c r="O1149" s="143" t="s">
        <v>1165</v>
      </c>
      <c r="P1149" s="262" t="s">
        <v>1140</v>
      </c>
    </row>
    <row r="1150" s="99" customFormat="1" spans="1:16">
      <c r="A1150" s="122">
        <v>46023</v>
      </c>
      <c r="B1150" s="116" t="s">
        <v>16</v>
      </c>
      <c r="C1150" s="256" t="s">
        <v>52</v>
      </c>
      <c r="D1150" s="135" t="s">
        <v>53</v>
      </c>
      <c r="E1150" s="135" t="s">
        <v>54</v>
      </c>
      <c r="F1150" s="117" t="s">
        <v>1166</v>
      </c>
      <c r="G1150" s="135" t="s">
        <v>96</v>
      </c>
      <c r="H1150" s="116" t="s">
        <v>23</v>
      </c>
      <c r="I1150" s="252">
        <v>7315</v>
      </c>
      <c r="J1150" s="139">
        <f>I1150-K1150</f>
        <v>0</v>
      </c>
      <c r="K1150" s="252">
        <v>7315</v>
      </c>
      <c r="L1150" s="139">
        <v>7315</v>
      </c>
      <c r="M1150" s="139"/>
      <c r="N1150" s="131">
        <f t="shared" si="76"/>
        <v>0</v>
      </c>
      <c r="O1150" s="143" t="s">
        <v>1167</v>
      </c>
      <c r="P1150" s="262"/>
    </row>
    <row r="1151" s="99" customFormat="1" spans="1:16">
      <c r="A1151" s="122">
        <v>46023</v>
      </c>
      <c r="B1151" s="116" t="s">
        <v>16</v>
      </c>
      <c r="C1151" s="256" t="s">
        <v>52</v>
      </c>
      <c r="D1151" s="135" t="s">
        <v>53</v>
      </c>
      <c r="E1151" s="135" t="s">
        <v>54</v>
      </c>
      <c r="F1151" s="117" t="s">
        <v>1166</v>
      </c>
      <c r="G1151" s="135" t="s">
        <v>96</v>
      </c>
      <c r="H1151" s="116" t="s">
        <v>21</v>
      </c>
      <c r="I1151" s="252">
        <v>8360</v>
      </c>
      <c r="J1151" s="139"/>
      <c r="K1151" s="252">
        <v>8360</v>
      </c>
      <c r="L1151" s="139">
        <v>8360</v>
      </c>
      <c r="M1151" s="139"/>
      <c r="N1151" s="131">
        <f t="shared" si="76"/>
        <v>0</v>
      </c>
      <c r="O1151" s="143" t="s">
        <v>1168</v>
      </c>
      <c r="P1151" s="262"/>
    </row>
    <row r="1152" s="99" customFormat="1" spans="1:16">
      <c r="A1152" s="122">
        <v>46023</v>
      </c>
      <c r="B1152" s="116" t="s">
        <v>16</v>
      </c>
      <c r="C1152" s="256" t="s">
        <v>99</v>
      </c>
      <c r="D1152" s="135" t="s">
        <v>100</v>
      </c>
      <c r="E1152" s="135" t="s">
        <v>101</v>
      </c>
      <c r="F1152" s="117" t="s">
        <v>1169</v>
      </c>
      <c r="G1152" s="135" t="s">
        <v>26</v>
      </c>
      <c r="H1152" s="116" t="s">
        <v>21</v>
      </c>
      <c r="I1152" s="252">
        <v>22647.88</v>
      </c>
      <c r="J1152" s="139"/>
      <c r="K1152" s="252">
        <v>22647.88</v>
      </c>
      <c r="L1152" s="139">
        <v>22647.88</v>
      </c>
      <c r="M1152" s="139"/>
      <c r="N1152" s="131">
        <f t="shared" si="76"/>
        <v>0</v>
      </c>
      <c r="O1152" s="143" t="s">
        <v>1170</v>
      </c>
      <c r="P1152" s="262" t="s">
        <v>1171</v>
      </c>
    </row>
    <row r="1153" s="87" customFormat="1" spans="1:15">
      <c r="A1153" s="122">
        <v>46023</v>
      </c>
      <c r="B1153" s="135" t="s">
        <v>16</v>
      </c>
      <c r="C1153" s="256" t="s">
        <v>99</v>
      </c>
      <c r="D1153" s="135" t="s">
        <v>100</v>
      </c>
      <c r="E1153" s="135" t="s">
        <v>101</v>
      </c>
      <c r="F1153" s="117" t="s">
        <v>1169</v>
      </c>
      <c r="G1153" s="135" t="s">
        <v>26</v>
      </c>
      <c r="H1153" s="116" t="s">
        <v>23</v>
      </c>
      <c r="I1153" s="252">
        <v>2860</v>
      </c>
      <c r="J1153" s="139"/>
      <c r="K1153" s="252">
        <v>2860</v>
      </c>
      <c r="L1153" s="139">
        <v>2860</v>
      </c>
      <c r="M1153" s="139"/>
      <c r="N1153" s="131">
        <f t="shared" si="76"/>
        <v>0</v>
      </c>
      <c r="O1153" s="143" t="s">
        <v>1170</v>
      </c>
    </row>
    <row r="1154" s="87" customFormat="1" spans="1:16">
      <c r="A1154" s="122">
        <v>46023</v>
      </c>
      <c r="B1154" s="135" t="s">
        <v>16</v>
      </c>
      <c r="C1154" s="256" t="s">
        <v>112</v>
      </c>
      <c r="D1154" s="135" t="s">
        <v>113</v>
      </c>
      <c r="E1154" s="135" t="s">
        <v>114</v>
      </c>
      <c r="F1154" s="117">
        <v>46038</v>
      </c>
      <c r="G1154" s="135" t="s">
        <v>26</v>
      </c>
      <c r="H1154" s="112" t="s">
        <v>21</v>
      </c>
      <c r="I1154" s="130">
        <v>23582.67</v>
      </c>
      <c r="J1154" s="139"/>
      <c r="K1154" s="252">
        <v>23582.67</v>
      </c>
      <c r="L1154" s="139">
        <v>23582.67</v>
      </c>
      <c r="M1154" s="139"/>
      <c r="N1154" s="131">
        <f t="shared" si="76"/>
        <v>0</v>
      </c>
      <c r="O1154" s="143" t="s">
        <v>1172</v>
      </c>
      <c r="P1154" s="143" t="s">
        <v>1173</v>
      </c>
    </row>
    <row r="1155" s="87" customFormat="1" spans="1:16">
      <c r="A1155" s="122">
        <v>46023</v>
      </c>
      <c r="B1155" s="135" t="s">
        <v>16</v>
      </c>
      <c r="C1155" s="256" t="s">
        <v>112</v>
      </c>
      <c r="D1155" s="135" t="s">
        <v>113</v>
      </c>
      <c r="E1155" s="135" t="s">
        <v>114</v>
      </c>
      <c r="F1155" s="117">
        <v>46038</v>
      </c>
      <c r="G1155" s="135" t="s">
        <v>98</v>
      </c>
      <c r="H1155" s="116" t="s">
        <v>23</v>
      </c>
      <c r="I1155" s="252">
        <v>2760</v>
      </c>
      <c r="J1155" s="139"/>
      <c r="K1155" s="252">
        <v>2760</v>
      </c>
      <c r="L1155" s="139">
        <v>2760</v>
      </c>
      <c r="M1155" s="139"/>
      <c r="N1155" s="131">
        <f t="shared" ref="N1155:N1181" si="78">K1155-L1155</f>
        <v>0</v>
      </c>
      <c r="O1155" s="143" t="s">
        <v>1172</v>
      </c>
      <c r="P1155" s="135"/>
    </row>
    <row r="1156" s="87" customFormat="1" spans="1:16">
      <c r="A1156" s="122">
        <v>46023</v>
      </c>
      <c r="B1156" s="135" t="s">
        <v>16</v>
      </c>
      <c r="C1156" s="256" t="s">
        <v>141</v>
      </c>
      <c r="D1156" s="135" t="s">
        <v>142</v>
      </c>
      <c r="E1156" s="135" t="s">
        <v>143</v>
      </c>
      <c r="F1156" s="117" t="s">
        <v>1166</v>
      </c>
      <c r="G1156" s="135" t="s">
        <v>1174</v>
      </c>
      <c r="H1156" s="116" t="s">
        <v>23</v>
      </c>
      <c r="I1156" s="252">
        <v>4785</v>
      </c>
      <c r="J1156" s="139"/>
      <c r="K1156" s="252">
        <v>4785</v>
      </c>
      <c r="L1156" s="139">
        <v>4785</v>
      </c>
      <c r="M1156" s="139"/>
      <c r="N1156" s="131">
        <f t="shared" si="78"/>
        <v>0</v>
      </c>
      <c r="O1156" s="276" t="s">
        <v>1175</v>
      </c>
      <c r="P1156" s="135"/>
    </row>
    <row r="1157" s="87" customFormat="1" spans="1:16">
      <c r="A1157" s="122">
        <v>46023</v>
      </c>
      <c r="B1157" s="135" t="s">
        <v>16</v>
      </c>
      <c r="C1157" s="256" t="s">
        <v>141</v>
      </c>
      <c r="D1157" s="135" t="s">
        <v>142</v>
      </c>
      <c r="E1157" s="135" t="s">
        <v>143</v>
      </c>
      <c r="F1157" s="117" t="s">
        <v>1166</v>
      </c>
      <c r="G1157" s="135" t="s">
        <v>1176</v>
      </c>
      <c r="H1157" s="116" t="s">
        <v>23</v>
      </c>
      <c r="I1157" s="252">
        <v>4785</v>
      </c>
      <c r="J1157" s="139"/>
      <c r="K1157" s="252">
        <v>4785</v>
      </c>
      <c r="L1157" s="139">
        <v>4785</v>
      </c>
      <c r="M1157" s="139"/>
      <c r="N1157" s="131">
        <f t="shared" si="78"/>
        <v>0</v>
      </c>
      <c r="O1157" s="143" t="s">
        <v>1175</v>
      </c>
      <c r="P1157" s="135"/>
    </row>
    <row r="1158" s="87" customFormat="1" spans="1:16">
      <c r="A1158" s="122">
        <v>46023</v>
      </c>
      <c r="B1158" s="135" t="s">
        <v>16</v>
      </c>
      <c r="C1158" s="256" t="s">
        <v>141</v>
      </c>
      <c r="D1158" s="135" t="s">
        <v>142</v>
      </c>
      <c r="E1158" s="135" t="s">
        <v>143</v>
      </c>
      <c r="F1158" s="117" t="s">
        <v>1166</v>
      </c>
      <c r="G1158" s="135" t="s">
        <v>96</v>
      </c>
      <c r="H1158" s="116" t="s">
        <v>23</v>
      </c>
      <c r="I1158" s="252">
        <v>4785</v>
      </c>
      <c r="J1158" s="139"/>
      <c r="K1158" s="252">
        <v>4785</v>
      </c>
      <c r="L1158" s="139">
        <v>4785</v>
      </c>
      <c r="M1158" s="139"/>
      <c r="N1158" s="131">
        <f t="shared" si="78"/>
        <v>0</v>
      </c>
      <c r="O1158" s="143" t="s">
        <v>1175</v>
      </c>
      <c r="P1158" s="135"/>
    </row>
    <row r="1159" s="87" customFormat="1" spans="1:16">
      <c r="A1159" s="122">
        <v>46023</v>
      </c>
      <c r="B1159" s="135" t="s">
        <v>16</v>
      </c>
      <c r="C1159" s="256" t="s">
        <v>141</v>
      </c>
      <c r="D1159" s="135" t="s">
        <v>142</v>
      </c>
      <c r="E1159" s="135" t="s">
        <v>143</v>
      </c>
      <c r="F1159" s="117" t="s">
        <v>1166</v>
      </c>
      <c r="G1159" s="135" t="s">
        <v>1174</v>
      </c>
      <c r="H1159" s="116" t="s">
        <v>21</v>
      </c>
      <c r="I1159" s="252">
        <v>18705</v>
      </c>
      <c r="J1159" s="139"/>
      <c r="K1159" s="252">
        <v>18705</v>
      </c>
      <c r="L1159" s="139">
        <v>18705</v>
      </c>
      <c r="M1159" s="139"/>
      <c r="N1159" s="131">
        <f t="shared" si="78"/>
        <v>0</v>
      </c>
      <c r="O1159" s="143" t="s">
        <v>1175</v>
      </c>
      <c r="P1159" s="135"/>
    </row>
    <row r="1160" s="87" customFormat="1" spans="1:16">
      <c r="A1160" s="122">
        <v>46023</v>
      </c>
      <c r="B1160" s="135" t="s">
        <v>16</v>
      </c>
      <c r="C1160" s="256" t="s">
        <v>141</v>
      </c>
      <c r="D1160" s="135" t="s">
        <v>142</v>
      </c>
      <c r="E1160" s="135" t="s">
        <v>143</v>
      </c>
      <c r="F1160" s="117" t="s">
        <v>1166</v>
      </c>
      <c r="G1160" s="135" t="s">
        <v>1176</v>
      </c>
      <c r="H1160" s="116" t="s">
        <v>21</v>
      </c>
      <c r="I1160" s="252">
        <v>18705</v>
      </c>
      <c r="J1160" s="139"/>
      <c r="K1160" s="252">
        <v>18705</v>
      </c>
      <c r="L1160" s="139">
        <v>18705</v>
      </c>
      <c r="M1160" s="139"/>
      <c r="N1160" s="131">
        <f t="shared" si="78"/>
        <v>0</v>
      </c>
      <c r="O1160" s="143" t="s">
        <v>1175</v>
      </c>
      <c r="P1160" s="135"/>
    </row>
    <row r="1161" s="87" customFormat="1" spans="1:16">
      <c r="A1161" s="122">
        <v>46023</v>
      </c>
      <c r="B1161" s="135" t="s">
        <v>16</v>
      </c>
      <c r="C1161" s="256" t="s">
        <v>141</v>
      </c>
      <c r="D1161" s="135" t="s">
        <v>142</v>
      </c>
      <c r="E1161" s="135" t="s">
        <v>143</v>
      </c>
      <c r="F1161" s="117" t="s">
        <v>1166</v>
      </c>
      <c r="G1161" s="135" t="s">
        <v>96</v>
      </c>
      <c r="H1161" s="116" t="s">
        <v>21</v>
      </c>
      <c r="I1161" s="252">
        <v>18705</v>
      </c>
      <c r="J1161" s="139"/>
      <c r="K1161" s="252">
        <v>18705</v>
      </c>
      <c r="L1161" s="139">
        <v>18705</v>
      </c>
      <c r="M1161" s="139"/>
      <c r="N1161" s="131">
        <f t="shared" si="78"/>
        <v>0</v>
      </c>
      <c r="O1161" s="143" t="s">
        <v>1175</v>
      </c>
      <c r="P1161" s="135"/>
    </row>
    <row r="1162" s="87" customFormat="1" spans="1:16">
      <c r="A1162" s="122">
        <v>46023</v>
      </c>
      <c r="B1162" s="135" t="s">
        <v>16</v>
      </c>
      <c r="C1162" s="256" t="s">
        <v>148</v>
      </c>
      <c r="D1162" s="135" t="s">
        <v>149</v>
      </c>
      <c r="E1162" s="114" t="s">
        <v>150</v>
      </c>
      <c r="F1162" s="117" t="s">
        <v>1166</v>
      </c>
      <c r="G1162" s="135" t="s">
        <v>98</v>
      </c>
      <c r="H1162" s="116" t="s">
        <v>23</v>
      </c>
      <c r="I1162" s="252">
        <v>4155</v>
      </c>
      <c r="J1162" s="139"/>
      <c r="K1162" s="252">
        <v>4155</v>
      </c>
      <c r="L1162" s="139">
        <v>4155</v>
      </c>
      <c r="M1162" s="139"/>
      <c r="N1162" s="131">
        <f t="shared" si="78"/>
        <v>0</v>
      </c>
      <c r="O1162" s="143" t="s">
        <v>1172</v>
      </c>
      <c r="P1162" s="135"/>
    </row>
    <row r="1163" s="87" customFormat="1" spans="1:15">
      <c r="A1163" s="122">
        <v>46023</v>
      </c>
      <c r="B1163" s="135" t="s">
        <v>16</v>
      </c>
      <c r="C1163" s="256" t="s">
        <v>179</v>
      </c>
      <c r="D1163" s="135" t="s">
        <v>180</v>
      </c>
      <c r="E1163" s="135" t="s">
        <v>181</v>
      </c>
      <c r="F1163" s="117" t="s">
        <v>1166</v>
      </c>
      <c r="G1163" s="135" t="s">
        <v>96</v>
      </c>
      <c r="H1163" s="116" t="s">
        <v>23</v>
      </c>
      <c r="I1163" s="252">
        <v>2600</v>
      </c>
      <c r="J1163" s="139"/>
      <c r="K1163" s="252">
        <v>2600</v>
      </c>
      <c r="L1163" s="139">
        <v>2600</v>
      </c>
      <c r="M1163" s="139"/>
      <c r="N1163" s="131">
        <f t="shared" si="78"/>
        <v>0</v>
      </c>
      <c r="O1163" s="276" t="s">
        <v>1175</v>
      </c>
    </row>
    <row r="1164" s="87" customFormat="1" spans="1:15">
      <c r="A1164" s="122">
        <v>46023</v>
      </c>
      <c r="B1164" s="135" t="s">
        <v>16</v>
      </c>
      <c r="C1164" s="256" t="s">
        <v>179</v>
      </c>
      <c r="D1164" s="135" t="s">
        <v>180</v>
      </c>
      <c r="E1164" s="135" t="s">
        <v>181</v>
      </c>
      <c r="F1164" s="117" t="s">
        <v>1166</v>
      </c>
      <c r="G1164" s="135" t="s">
        <v>96</v>
      </c>
      <c r="H1164" s="116" t="s">
        <v>21</v>
      </c>
      <c r="I1164" s="252">
        <v>2600</v>
      </c>
      <c r="J1164" s="139"/>
      <c r="K1164" s="252">
        <v>2600</v>
      </c>
      <c r="L1164" s="139">
        <v>2600</v>
      </c>
      <c r="M1164" s="139"/>
      <c r="N1164" s="131">
        <f t="shared" si="78"/>
        <v>0</v>
      </c>
      <c r="O1164" s="143" t="s">
        <v>1175</v>
      </c>
    </row>
    <row r="1165" s="87" customFormat="1" spans="1:15">
      <c r="A1165" s="122">
        <v>46023</v>
      </c>
      <c r="B1165" s="135" t="s">
        <v>16</v>
      </c>
      <c r="C1165" s="256" t="s">
        <v>186</v>
      </c>
      <c r="D1165" s="135" t="s">
        <v>187</v>
      </c>
      <c r="E1165" s="135" t="s">
        <v>188</v>
      </c>
      <c r="F1165" s="117" t="s">
        <v>1166</v>
      </c>
      <c r="G1165" s="135" t="s">
        <v>96</v>
      </c>
      <c r="H1165" s="116" t="s">
        <v>23</v>
      </c>
      <c r="I1165" s="252">
        <v>11880</v>
      </c>
      <c r="J1165" s="139"/>
      <c r="K1165" s="252">
        <v>11880</v>
      </c>
      <c r="L1165" s="139">
        <v>11880</v>
      </c>
      <c r="M1165" s="139"/>
      <c r="N1165" s="131">
        <f t="shared" si="78"/>
        <v>0</v>
      </c>
      <c r="O1165" s="143" t="s">
        <v>1177</v>
      </c>
    </row>
    <row r="1166" s="87" customFormat="1" spans="1:15">
      <c r="A1166" s="122">
        <v>46023</v>
      </c>
      <c r="B1166" s="135" t="s">
        <v>16</v>
      </c>
      <c r="C1166" s="256" t="s">
        <v>186</v>
      </c>
      <c r="D1166" s="135" t="s">
        <v>187</v>
      </c>
      <c r="E1166" s="135" t="s">
        <v>188</v>
      </c>
      <c r="F1166" s="117" t="s">
        <v>1166</v>
      </c>
      <c r="G1166" s="135" t="s">
        <v>96</v>
      </c>
      <c r="H1166" s="116" t="s">
        <v>21</v>
      </c>
      <c r="I1166" s="252">
        <v>5400</v>
      </c>
      <c r="J1166" s="139"/>
      <c r="K1166" s="252">
        <v>5400</v>
      </c>
      <c r="L1166" s="139">
        <v>5400</v>
      </c>
      <c r="M1166" s="139"/>
      <c r="N1166" s="131">
        <f t="shared" si="78"/>
        <v>0</v>
      </c>
      <c r="O1166" s="143" t="s">
        <v>1177</v>
      </c>
    </row>
    <row r="1167" s="87" customFormat="1" spans="1:16">
      <c r="A1167" s="122">
        <v>46023</v>
      </c>
      <c r="B1167" s="135" t="s">
        <v>16</v>
      </c>
      <c r="C1167" s="256" t="s">
        <v>226</v>
      </c>
      <c r="D1167" s="135" t="s">
        <v>227</v>
      </c>
      <c r="E1167" s="135" t="s">
        <v>228</v>
      </c>
      <c r="F1167" s="117" t="s">
        <v>1166</v>
      </c>
      <c r="G1167" s="135" t="s">
        <v>96</v>
      </c>
      <c r="H1167" s="116" t="s">
        <v>23</v>
      </c>
      <c r="I1167" s="252">
        <v>3905</v>
      </c>
      <c r="J1167" s="139"/>
      <c r="K1167" s="252">
        <v>3905</v>
      </c>
      <c r="L1167" s="139">
        <v>3905</v>
      </c>
      <c r="M1167" s="139"/>
      <c r="N1167" s="131">
        <f t="shared" si="78"/>
        <v>0</v>
      </c>
      <c r="O1167" s="143" t="s">
        <v>1178</v>
      </c>
      <c r="P1167" s="135"/>
    </row>
    <row r="1168" s="87" customFormat="1" spans="1:16">
      <c r="A1168" s="122">
        <v>46023</v>
      </c>
      <c r="B1168" s="135" t="s">
        <v>16</v>
      </c>
      <c r="C1168" s="256" t="s">
        <v>226</v>
      </c>
      <c r="D1168" s="135" t="s">
        <v>227</v>
      </c>
      <c r="E1168" s="135" t="s">
        <v>228</v>
      </c>
      <c r="F1168" s="117" t="s">
        <v>1166</v>
      </c>
      <c r="G1168" s="135" t="s">
        <v>96</v>
      </c>
      <c r="H1168" s="116" t="s">
        <v>21</v>
      </c>
      <c r="I1168" s="252">
        <v>18264.75</v>
      </c>
      <c r="J1168" s="139"/>
      <c r="K1168" s="252">
        <v>18264.75</v>
      </c>
      <c r="L1168" s="139">
        <v>18264.75</v>
      </c>
      <c r="M1168" s="139"/>
      <c r="N1168" s="131">
        <f t="shared" si="78"/>
        <v>0</v>
      </c>
      <c r="O1168" s="143" t="s">
        <v>1178</v>
      </c>
      <c r="P1168" s="135"/>
    </row>
    <row r="1169" s="87" customFormat="1" spans="1:16">
      <c r="A1169" s="122">
        <v>46023</v>
      </c>
      <c r="B1169" s="135" t="s">
        <v>16</v>
      </c>
      <c r="C1169" s="256" t="s">
        <v>245</v>
      </c>
      <c r="D1169" s="135" t="s">
        <v>246</v>
      </c>
      <c r="E1169" s="135" t="s">
        <v>247</v>
      </c>
      <c r="F1169" s="117" t="s">
        <v>1166</v>
      </c>
      <c r="G1169" s="135" t="s">
        <v>1174</v>
      </c>
      <c r="H1169" s="116" t="s">
        <v>23</v>
      </c>
      <c r="I1169" s="252">
        <v>3520</v>
      </c>
      <c r="J1169" s="139"/>
      <c r="K1169" s="252">
        <v>3520</v>
      </c>
      <c r="L1169" s="139">
        <v>3520</v>
      </c>
      <c r="M1169" s="139"/>
      <c r="N1169" s="131">
        <f t="shared" si="78"/>
        <v>0</v>
      </c>
      <c r="O1169" s="143" t="s">
        <v>1179</v>
      </c>
      <c r="P1169" s="135"/>
    </row>
    <row r="1170" s="87" customFormat="1" spans="1:16">
      <c r="A1170" s="122">
        <v>46023</v>
      </c>
      <c r="B1170" s="135" t="s">
        <v>16</v>
      </c>
      <c r="C1170" s="256" t="s">
        <v>245</v>
      </c>
      <c r="D1170" s="135" t="s">
        <v>246</v>
      </c>
      <c r="E1170" s="135" t="s">
        <v>247</v>
      </c>
      <c r="F1170" s="117" t="s">
        <v>1166</v>
      </c>
      <c r="G1170" s="135" t="s">
        <v>1176</v>
      </c>
      <c r="H1170" s="116" t="s">
        <v>23</v>
      </c>
      <c r="I1170" s="252">
        <v>3520</v>
      </c>
      <c r="J1170" s="139"/>
      <c r="K1170" s="252">
        <v>3520</v>
      </c>
      <c r="L1170" s="139">
        <v>3520</v>
      </c>
      <c r="M1170" s="139"/>
      <c r="N1170" s="131">
        <f t="shared" si="78"/>
        <v>0</v>
      </c>
      <c r="O1170" s="143" t="s">
        <v>1179</v>
      </c>
      <c r="P1170" s="135"/>
    </row>
    <row r="1171" s="87" customFormat="1" spans="1:16">
      <c r="A1171" s="122">
        <v>46023</v>
      </c>
      <c r="B1171" s="135" t="s">
        <v>16</v>
      </c>
      <c r="C1171" s="256" t="s">
        <v>245</v>
      </c>
      <c r="D1171" s="135" t="s">
        <v>246</v>
      </c>
      <c r="E1171" s="135" t="s">
        <v>247</v>
      </c>
      <c r="F1171" s="117" t="s">
        <v>1166</v>
      </c>
      <c r="G1171" s="135" t="s">
        <v>96</v>
      </c>
      <c r="H1171" s="116" t="s">
        <v>23</v>
      </c>
      <c r="I1171" s="252">
        <v>3520</v>
      </c>
      <c r="J1171" s="139"/>
      <c r="K1171" s="252">
        <v>3520</v>
      </c>
      <c r="L1171" s="139">
        <v>3520</v>
      </c>
      <c r="M1171" s="139"/>
      <c r="N1171" s="131">
        <f t="shared" si="78"/>
        <v>0</v>
      </c>
      <c r="O1171" s="143" t="s">
        <v>1179</v>
      </c>
      <c r="P1171" s="135"/>
    </row>
    <row r="1172" s="87" customFormat="1" spans="1:16">
      <c r="A1172" s="122">
        <v>46023</v>
      </c>
      <c r="B1172" s="135" t="s">
        <v>16</v>
      </c>
      <c r="C1172" s="256" t="s">
        <v>245</v>
      </c>
      <c r="D1172" s="135" t="s">
        <v>246</v>
      </c>
      <c r="E1172" s="135" t="s">
        <v>247</v>
      </c>
      <c r="F1172" s="117" t="s">
        <v>1166</v>
      </c>
      <c r="G1172" s="135" t="s">
        <v>1174</v>
      </c>
      <c r="H1172" s="116" t="s">
        <v>21</v>
      </c>
      <c r="I1172" s="252">
        <v>7969.28</v>
      </c>
      <c r="J1172" s="139"/>
      <c r="K1172" s="252">
        <v>7969.28</v>
      </c>
      <c r="L1172" s="139">
        <v>7969.28</v>
      </c>
      <c r="M1172" s="139"/>
      <c r="N1172" s="131">
        <f t="shared" si="78"/>
        <v>0</v>
      </c>
      <c r="O1172" s="143" t="s">
        <v>1179</v>
      </c>
      <c r="P1172" s="135"/>
    </row>
    <row r="1173" s="87" customFormat="1" spans="1:16">
      <c r="A1173" s="122">
        <v>46023</v>
      </c>
      <c r="B1173" s="135" t="s">
        <v>16</v>
      </c>
      <c r="C1173" s="256" t="s">
        <v>245</v>
      </c>
      <c r="D1173" s="135" t="s">
        <v>246</v>
      </c>
      <c r="E1173" s="135" t="s">
        <v>247</v>
      </c>
      <c r="F1173" s="117" t="s">
        <v>1166</v>
      </c>
      <c r="G1173" s="135" t="s">
        <v>1176</v>
      </c>
      <c r="H1173" s="116" t="s">
        <v>21</v>
      </c>
      <c r="I1173" s="252">
        <v>7969.28</v>
      </c>
      <c r="J1173" s="139"/>
      <c r="K1173" s="252">
        <v>7969.28</v>
      </c>
      <c r="L1173" s="139">
        <v>7969.28</v>
      </c>
      <c r="M1173" s="139"/>
      <c r="N1173" s="131">
        <f t="shared" si="78"/>
        <v>0</v>
      </c>
      <c r="O1173" s="143" t="s">
        <v>1179</v>
      </c>
      <c r="P1173" s="135"/>
    </row>
    <row r="1174" s="87" customFormat="1" spans="1:16">
      <c r="A1174" s="122">
        <v>46023</v>
      </c>
      <c r="B1174" s="135" t="s">
        <v>16</v>
      </c>
      <c r="C1174" s="256" t="s">
        <v>245</v>
      </c>
      <c r="D1174" s="135" t="s">
        <v>246</v>
      </c>
      <c r="E1174" s="135" t="s">
        <v>247</v>
      </c>
      <c r="F1174" s="117" t="s">
        <v>1166</v>
      </c>
      <c r="G1174" s="135" t="s">
        <v>96</v>
      </c>
      <c r="H1174" s="116" t="s">
        <v>21</v>
      </c>
      <c r="I1174" s="252">
        <v>7969.28</v>
      </c>
      <c r="J1174" s="139"/>
      <c r="K1174" s="252">
        <v>7969.28</v>
      </c>
      <c r="L1174" s="139">
        <v>7969.28</v>
      </c>
      <c r="M1174" s="139"/>
      <c r="N1174" s="131">
        <f t="shared" si="78"/>
        <v>0</v>
      </c>
      <c r="O1174" s="143" t="s">
        <v>1179</v>
      </c>
      <c r="P1174" s="135"/>
    </row>
    <row r="1175" s="99" customFormat="1" spans="1:16">
      <c r="A1175" s="122">
        <v>46023</v>
      </c>
      <c r="B1175" s="135" t="s">
        <v>16</v>
      </c>
      <c r="C1175" s="256" t="s">
        <v>253</v>
      </c>
      <c r="D1175" s="135" t="s">
        <v>258</v>
      </c>
      <c r="E1175" s="135" t="s">
        <v>259</v>
      </c>
      <c r="F1175" s="117" t="s">
        <v>1166</v>
      </c>
      <c r="G1175" s="135" t="s">
        <v>96</v>
      </c>
      <c r="H1175" s="116" t="s">
        <v>23</v>
      </c>
      <c r="I1175" s="252">
        <v>8195</v>
      </c>
      <c r="J1175" s="139"/>
      <c r="K1175" s="252">
        <v>8195</v>
      </c>
      <c r="L1175" s="139">
        <v>8195</v>
      </c>
      <c r="M1175" s="139"/>
      <c r="N1175" s="131">
        <f t="shared" si="78"/>
        <v>0</v>
      </c>
      <c r="O1175" s="143" t="s">
        <v>1039</v>
      </c>
      <c r="P1175" s="262"/>
    </row>
    <row r="1176" s="99" customFormat="1" spans="1:16">
      <c r="A1176" s="122">
        <v>46023</v>
      </c>
      <c r="B1176" s="135" t="s">
        <v>16</v>
      </c>
      <c r="C1176" s="256" t="s">
        <v>253</v>
      </c>
      <c r="D1176" s="135" t="s">
        <v>258</v>
      </c>
      <c r="E1176" s="135" t="s">
        <v>259</v>
      </c>
      <c r="F1176" s="117" t="s">
        <v>1166</v>
      </c>
      <c r="G1176" s="135" t="s">
        <v>96</v>
      </c>
      <c r="H1176" s="116" t="s">
        <v>21</v>
      </c>
      <c r="I1176" s="252">
        <v>5960</v>
      </c>
      <c r="J1176" s="139"/>
      <c r="K1176" s="252">
        <v>5960</v>
      </c>
      <c r="L1176" s="139">
        <v>5960</v>
      </c>
      <c r="M1176" s="139"/>
      <c r="N1176" s="131">
        <f t="shared" si="78"/>
        <v>0</v>
      </c>
      <c r="O1176" s="143" t="s">
        <v>1039</v>
      </c>
      <c r="P1176" s="262"/>
    </row>
    <row r="1177" s="87" customFormat="1" spans="1:15">
      <c r="A1177" s="122">
        <v>46023</v>
      </c>
      <c r="B1177" s="135" t="s">
        <v>285</v>
      </c>
      <c r="C1177" s="256" t="s">
        <v>372</v>
      </c>
      <c r="D1177" s="135" t="s">
        <v>373</v>
      </c>
      <c r="E1177" s="135" t="s">
        <v>374</v>
      </c>
      <c r="F1177" s="117" t="s">
        <v>1166</v>
      </c>
      <c r="G1177" s="135" t="s">
        <v>1176</v>
      </c>
      <c r="H1177" s="116" t="s">
        <v>23</v>
      </c>
      <c r="I1177" s="252">
        <v>3960</v>
      </c>
      <c r="J1177" s="139"/>
      <c r="K1177" s="252">
        <v>3960</v>
      </c>
      <c r="L1177" s="139">
        <v>3960</v>
      </c>
      <c r="M1177" s="139"/>
      <c r="N1177" s="131">
        <f t="shared" si="78"/>
        <v>0</v>
      </c>
      <c r="O1177" s="143" t="s">
        <v>1180</v>
      </c>
    </row>
    <row r="1178" s="87" customFormat="1" spans="1:15">
      <c r="A1178" s="122">
        <v>46023</v>
      </c>
      <c r="B1178" s="135" t="s">
        <v>285</v>
      </c>
      <c r="C1178" s="256" t="s">
        <v>372</v>
      </c>
      <c r="D1178" s="135" t="s">
        <v>373</v>
      </c>
      <c r="E1178" s="135" t="s">
        <v>374</v>
      </c>
      <c r="F1178" s="117" t="s">
        <v>1166</v>
      </c>
      <c r="G1178" s="135" t="s">
        <v>96</v>
      </c>
      <c r="H1178" s="116" t="s">
        <v>23</v>
      </c>
      <c r="I1178" s="252">
        <v>3960</v>
      </c>
      <c r="J1178" s="139"/>
      <c r="K1178" s="252">
        <v>3960</v>
      </c>
      <c r="L1178" s="139">
        <v>3960</v>
      </c>
      <c r="M1178" s="139"/>
      <c r="N1178" s="131">
        <f t="shared" si="78"/>
        <v>0</v>
      </c>
      <c r="O1178" s="143" t="s">
        <v>1180</v>
      </c>
    </row>
    <row r="1179" s="87" customFormat="1" spans="1:15">
      <c r="A1179" s="122">
        <v>46023</v>
      </c>
      <c r="B1179" s="135" t="s">
        <v>285</v>
      </c>
      <c r="C1179" s="256" t="s">
        <v>372</v>
      </c>
      <c r="D1179" s="135" t="s">
        <v>373</v>
      </c>
      <c r="E1179" s="135" t="s">
        <v>374</v>
      </c>
      <c r="F1179" s="117" t="s">
        <v>1166</v>
      </c>
      <c r="G1179" s="135" t="s">
        <v>1176</v>
      </c>
      <c r="H1179" s="116" t="s">
        <v>21</v>
      </c>
      <c r="I1179" s="252">
        <v>1800</v>
      </c>
      <c r="J1179" s="139"/>
      <c r="K1179" s="252">
        <v>1800</v>
      </c>
      <c r="L1179" s="139">
        <v>1800</v>
      </c>
      <c r="M1179" s="139"/>
      <c r="N1179" s="131">
        <f t="shared" si="78"/>
        <v>0</v>
      </c>
      <c r="O1179" s="143" t="s">
        <v>1180</v>
      </c>
    </row>
    <row r="1180" s="87" customFormat="1" spans="1:15">
      <c r="A1180" s="122">
        <v>46023</v>
      </c>
      <c r="B1180" s="135" t="s">
        <v>285</v>
      </c>
      <c r="C1180" s="256" t="s">
        <v>372</v>
      </c>
      <c r="D1180" s="135" t="s">
        <v>373</v>
      </c>
      <c r="E1180" s="135" t="s">
        <v>374</v>
      </c>
      <c r="F1180" s="117" t="s">
        <v>1166</v>
      </c>
      <c r="G1180" s="135" t="s">
        <v>96</v>
      </c>
      <c r="H1180" s="116" t="s">
        <v>21</v>
      </c>
      <c r="I1180" s="252">
        <v>1800</v>
      </c>
      <c r="J1180" s="139"/>
      <c r="K1180" s="252">
        <v>1800</v>
      </c>
      <c r="L1180" s="139">
        <v>1800</v>
      </c>
      <c r="M1180" s="139"/>
      <c r="N1180" s="131">
        <f t="shared" si="78"/>
        <v>0</v>
      </c>
      <c r="O1180" s="143" t="s">
        <v>1180</v>
      </c>
    </row>
    <row r="1181" s="87" customFormat="1" spans="1:16">
      <c r="A1181" s="122">
        <v>46023</v>
      </c>
      <c r="B1181" s="135" t="s">
        <v>285</v>
      </c>
      <c r="C1181" s="256" t="s">
        <v>383</v>
      </c>
      <c r="D1181" s="135" t="s">
        <v>384</v>
      </c>
      <c r="E1181" s="135" t="s">
        <v>391</v>
      </c>
      <c r="F1181" s="117" t="s">
        <v>1166</v>
      </c>
      <c r="G1181" s="135" t="s">
        <v>96</v>
      </c>
      <c r="H1181" s="116" t="s">
        <v>23</v>
      </c>
      <c r="I1181" s="252">
        <v>9170</v>
      </c>
      <c r="J1181" s="139"/>
      <c r="K1181" s="252">
        <v>9170</v>
      </c>
      <c r="L1181" s="139">
        <v>9170</v>
      </c>
      <c r="M1181" s="139"/>
      <c r="N1181" s="131">
        <f t="shared" si="78"/>
        <v>0</v>
      </c>
      <c r="O1181" s="143" t="s">
        <v>1181</v>
      </c>
      <c r="P1181" s="135"/>
    </row>
    <row r="1182" s="87" customFormat="1" spans="1:16">
      <c r="A1182" s="122">
        <v>46023</v>
      </c>
      <c r="B1182" s="135" t="s">
        <v>285</v>
      </c>
      <c r="C1182" s="256" t="s">
        <v>383</v>
      </c>
      <c r="D1182" s="135" t="s">
        <v>384</v>
      </c>
      <c r="E1182" s="135" t="s">
        <v>391</v>
      </c>
      <c r="F1182" s="117" t="s">
        <v>1166</v>
      </c>
      <c r="G1182" s="135" t="s">
        <v>96</v>
      </c>
      <c r="H1182" s="116" t="s">
        <v>21</v>
      </c>
      <c r="I1182" s="252">
        <v>9170</v>
      </c>
      <c r="J1182" s="139"/>
      <c r="K1182" s="252">
        <v>9170</v>
      </c>
      <c r="L1182" s="139">
        <v>9170</v>
      </c>
      <c r="M1182" s="139"/>
      <c r="N1182" s="131"/>
      <c r="O1182" s="143" t="s">
        <v>1181</v>
      </c>
      <c r="P1182" s="135"/>
    </row>
    <row r="1183" s="87" customFormat="1" spans="1:16">
      <c r="A1183" s="122">
        <v>46023</v>
      </c>
      <c r="B1183" s="135" t="s">
        <v>285</v>
      </c>
      <c r="C1183" s="256" t="s">
        <v>444</v>
      </c>
      <c r="D1183" s="135" t="s">
        <v>445</v>
      </c>
      <c r="E1183" s="135" t="s">
        <v>446</v>
      </c>
      <c r="F1183" s="117" t="s">
        <v>1166</v>
      </c>
      <c r="G1183" s="135" t="s">
        <v>1174</v>
      </c>
      <c r="H1183" s="116" t="s">
        <v>23</v>
      </c>
      <c r="I1183" s="252">
        <v>8820</v>
      </c>
      <c r="J1183" s="139"/>
      <c r="K1183" s="252">
        <v>8820</v>
      </c>
      <c r="L1183" s="139">
        <f>8470+350</f>
        <v>8820</v>
      </c>
      <c r="M1183" s="139"/>
      <c r="N1183" s="131">
        <f t="shared" ref="N1183:N1246" si="79">K1183-L1183</f>
        <v>0</v>
      </c>
      <c r="O1183" s="143" t="s">
        <v>1182</v>
      </c>
      <c r="P1183" s="135"/>
    </row>
    <row r="1184" s="87" customFormat="1" spans="1:16">
      <c r="A1184" s="122">
        <v>46023</v>
      </c>
      <c r="B1184" s="135" t="s">
        <v>285</v>
      </c>
      <c r="C1184" s="256" t="s">
        <v>444</v>
      </c>
      <c r="D1184" s="135" t="s">
        <v>445</v>
      </c>
      <c r="E1184" s="135" t="s">
        <v>446</v>
      </c>
      <c r="F1184" s="117" t="s">
        <v>1166</v>
      </c>
      <c r="G1184" s="135" t="s">
        <v>1176</v>
      </c>
      <c r="H1184" s="116" t="s">
        <v>23</v>
      </c>
      <c r="I1184" s="252">
        <v>8820</v>
      </c>
      <c r="J1184" s="139"/>
      <c r="K1184" s="252">
        <v>8820</v>
      </c>
      <c r="L1184" s="139">
        <v>8820</v>
      </c>
      <c r="M1184" s="139"/>
      <c r="N1184" s="131">
        <f t="shared" si="79"/>
        <v>0</v>
      </c>
      <c r="O1184" s="143" t="s">
        <v>1183</v>
      </c>
      <c r="P1184" s="135"/>
    </row>
    <row r="1185" s="87" customFormat="1" spans="1:16">
      <c r="A1185" s="122">
        <v>46023</v>
      </c>
      <c r="B1185" s="135" t="s">
        <v>285</v>
      </c>
      <c r="C1185" s="256" t="s">
        <v>444</v>
      </c>
      <c r="D1185" s="135" t="s">
        <v>445</v>
      </c>
      <c r="E1185" s="135" t="s">
        <v>446</v>
      </c>
      <c r="F1185" s="117" t="s">
        <v>1166</v>
      </c>
      <c r="G1185" s="135" t="s">
        <v>96</v>
      </c>
      <c r="H1185" s="116" t="s">
        <v>23</v>
      </c>
      <c r="I1185" s="252">
        <v>8820</v>
      </c>
      <c r="J1185" s="139"/>
      <c r="K1185" s="252">
        <v>8820</v>
      </c>
      <c r="L1185" s="139">
        <v>8820</v>
      </c>
      <c r="M1185" s="139"/>
      <c r="N1185" s="131">
        <f t="shared" si="79"/>
        <v>0</v>
      </c>
      <c r="O1185" s="143" t="s">
        <v>1183</v>
      </c>
      <c r="P1185" s="135"/>
    </row>
    <row r="1186" s="87" customFormat="1" spans="1:16">
      <c r="A1186" s="122">
        <v>46023</v>
      </c>
      <c r="B1186" s="135" t="s">
        <v>285</v>
      </c>
      <c r="C1186" s="256" t="s">
        <v>444</v>
      </c>
      <c r="D1186" s="135" t="s">
        <v>445</v>
      </c>
      <c r="E1186" s="135" t="s">
        <v>446</v>
      </c>
      <c r="F1186" s="117" t="s">
        <v>1166</v>
      </c>
      <c r="G1186" s="135" t="s">
        <v>1174</v>
      </c>
      <c r="H1186" s="116" t="s">
        <v>21</v>
      </c>
      <c r="I1186" s="252">
        <v>3920</v>
      </c>
      <c r="J1186" s="139"/>
      <c r="K1186" s="252">
        <v>3920</v>
      </c>
      <c r="L1186" s="139">
        <v>3920</v>
      </c>
      <c r="M1186" s="139"/>
      <c r="N1186" s="131">
        <f t="shared" si="79"/>
        <v>0</v>
      </c>
      <c r="O1186" s="143" t="s">
        <v>1183</v>
      </c>
      <c r="P1186" s="135"/>
    </row>
    <row r="1187" s="87" customFormat="1" spans="1:16">
      <c r="A1187" s="122">
        <v>46023</v>
      </c>
      <c r="B1187" s="135" t="s">
        <v>285</v>
      </c>
      <c r="C1187" s="256" t="s">
        <v>444</v>
      </c>
      <c r="D1187" s="135" t="s">
        <v>445</v>
      </c>
      <c r="E1187" s="135" t="s">
        <v>446</v>
      </c>
      <c r="F1187" s="117" t="s">
        <v>1166</v>
      </c>
      <c r="G1187" s="135" t="s">
        <v>1176</v>
      </c>
      <c r="H1187" s="116" t="s">
        <v>21</v>
      </c>
      <c r="I1187" s="252">
        <v>3920</v>
      </c>
      <c r="J1187" s="139"/>
      <c r="K1187" s="252">
        <v>3920</v>
      </c>
      <c r="L1187" s="139">
        <v>3920</v>
      </c>
      <c r="M1187" s="139"/>
      <c r="N1187" s="131">
        <f t="shared" si="79"/>
        <v>0</v>
      </c>
      <c r="O1187" s="143" t="s">
        <v>1183</v>
      </c>
      <c r="P1187" s="135"/>
    </row>
    <row r="1188" s="87" customFormat="1" spans="1:16">
      <c r="A1188" s="122">
        <v>46023</v>
      </c>
      <c r="B1188" s="135" t="s">
        <v>285</v>
      </c>
      <c r="C1188" s="256" t="s">
        <v>444</v>
      </c>
      <c r="D1188" s="135" t="s">
        <v>445</v>
      </c>
      <c r="E1188" s="135" t="s">
        <v>446</v>
      </c>
      <c r="F1188" s="117" t="s">
        <v>1166</v>
      </c>
      <c r="G1188" s="135" t="s">
        <v>96</v>
      </c>
      <c r="H1188" s="116" t="s">
        <v>21</v>
      </c>
      <c r="I1188" s="252">
        <v>3920</v>
      </c>
      <c r="J1188" s="139"/>
      <c r="K1188" s="252">
        <v>3920</v>
      </c>
      <c r="L1188" s="139">
        <v>3920</v>
      </c>
      <c r="M1188" s="139"/>
      <c r="N1188" s="131">
        <f t="shared" si="79"/>
        <v>0</v>
      </c>
      <c r="O1188" s="143" t="s">
        <v>1183</v>
      </c>
      <c r="P1188" s="135"/>
    </row>
    <row r="1189" s="87" customFormat="1" spans="1:15">
      <c r="A1189" s="122">
        <v>46023</v>
      </c>
      <c r="B1189" s="135" t="s">
        <v>285</v>
      </c>
      <c r="C1189" s="256" t="s">
        <v>447</v>
      </c>
      <c r="D1189" s="135" t="s">
        <v>448</v>
      </c>
      <c r="E1189" s="135" t="s">
        <v>449</v>
      </c>
      <c r="F1189" s="117" t="s">
        <v>1166</v>
      </c>
      <c r="G1189" s="135" t="s">
        <v>1174</v>
      </c>
      <c r="H1189" s="116" t="s">
        <v>23</v>
      </c>
      <c r="I1189" s="252">
        <v>3030</v>
      </c>
      <c r="J1189" s="139"/>
      <c r="K1189" s="252">
        <v>3030</v>
      </c>
      <c r="L1189" s="139">
        <v>3030</v>
      </c>
      <c r="M1189" s="139"/>
      <c r="N1189" s="131">
        <f t="shared" si="79"/>
        <v>0</v>
      </c>
      <c r="O1189" s="143" t="s">
        <v>1184</v>
      </c>
    </row>
    <row r="1190" s="87" customFormat="1" spans="1:15">
      <c r="A1190" s="122">
        <v>46023</v>
      </c>
      <c r="B1190" s="135" t="s">
        <v>285</v>
      </c>
      <c r="C1190" s="256" t="s">
        <v>447</v>
      </c>
      <c r="D1190" s="135" t="s">
        <v>448</v>
      </c>
      <c r="E1190" s="135" t="s">
        <v>449</v>
      </c>
      <c r="F1190" s="117" t="s">
        <v>1166</v>
      </c>
      <c r="G1190" s="135" t="s">
        <v>1176</v>
      </c>
      <c r="H1190" s="116" t="s">
        <v>23</v>
      </c>
      <c r="I1190" s="252">
        <v>3030</v>
      </c>
      <c r="J1190" s="139"/>
      <c r="K1190" s="252">
        <v>3030</v>
      </c>
      <c r="L1190" s="139">
        <v>3030</v>
      </c>
      <c r="M1190" s="139"/>
      <c r="N1190" s="131">
        <f t="shared" si="79"/>
        <v>0</v>
      </c>
      <c r="O1190" s="143" t="s">
        <v>1185</v>
      </c>
    </row>
    <row r="1191" s="87" customFormat="1" spans="1:15">
      <c r="A1191" s="122">
        <v>46023</v>
      </c>
      <c r="B1191" s="135" t="s">
        <v>285</v>
      </c>
      <c r="C1191" s="256" t="s">
        <v>447</v>
      </c>
      <c r="D1191" s="135" t="s">
        <v>448</v>
      </c>
      <c r="E1191" s="135" t="s">
        <v>449</v>
      </c>
      <c r="F1191" s="117" t="s">
        <v>1166</v>
      </c>
      <c r="G1191" s="135" t="s">
        <v>96</v>
      </c>
      <c r="H1191" s="116" t="s">
        <v>23</v>
      </c>
      <c r="I1191" s="252">
        <v>3030</v>
      </c>
      <c r="J1191" s="139"/>
      <c r="K1191" s="252">
        <v>3030</v>
      </c>
      <c r="L1191" s="139">
        <v>3030</v>
      </c>
      <c r="M1191" s="139"/>
      <c r="N1191" s="131">
        <f t="shared" si="79"/>
        <v>0</v>
      </c>
      <c r="O1191" s="143" t="s">
        <v>1186</v>
      </c>
    </row>
    <row r="1192" s="87" customFormat="1" spans="1:15">
      <c r="A1192" s="122">
        <v>46023</v>
      </c>
      <c r="B1192" s="135" t="s">
        <v>285</v>
      </c>
      <c r="C1192" s="256" t="s">
        <v>447</v>
      </c>
      <c r="D1192" s="135" t="s">
        <v>448</v>
      </c>
      <c r="E1192" s="135" t="s">
        <v>449</v>
      </c>
      <c r="F1192" s="117" t="s">
        <v>1166</v>
      </c>
      <c r="G1192" s="135" t="s">
        <v>1174</v>
      </c>
      <c r="H1192" s="116" t="s">
        <v>21</v>
      </c>
      <c r="I1192" s="252">
        <v>5555</v>
      </c>
      <c r="J1192" s="139"/>
      <c r="K1192" s="252">
        <v>5555</v>
      </c>
      <c r="L1192" s="139">
        <v>5555</v>
      </c>
      <c r="M1192" s="139"/>
      <c r="N1192" s="131">
        <f t="shared" si="79"/>
        <v>0</v>
      </c>
      <c r="O1192" s="143" t="s">
        <v>1184</v>
      </c>
    </row>
    <row r="1193" s="87" customFormat="1" spans="1:15">
      <c r="A1193" s="122">
        <v>46023</v>
      </c>
      <c r="B1193" s="135" t="s">
        <v>285</v>
      </c>
      <c r="C1193" s="256" t="s">
        <v>447</v>
      </c>
      <c r="D1193" s="135" t="s">
        <v>448</v>
      </c>
      <c r="E1193" s="135" t="s">
        <v>449</v>
      </c>
      <c r="F1193" s="117" t="s">
        <v>1166</v>
      </c>
      <c r="G1193" s="135" t="s">
        <v>1176</v>
      </c>
      <c r="H1193" s="116" t="s">
        <v>21</v>
      </c>
      <c r="I1193" s="252">
        <v>5555</v>
      </c>
      <c r="J1193" s="139"/>
      <c r="K1193" s="252">
        <v>5555</v>
      </c>
      <c r="L1193" s="139">
        <v>5555</v>
      </c>
      <c r="M1193" s="139"/>
      <c r="N1193" s="131">
        <f t="shared" si="79"/>
        <v>0</v>
      </c>
      <c r="O1193" s="143" t="s">
        <v>1185</v>
      </c>
    </row>
    <row r="1194" s="87" customFormat="1" spans="1:15">
      <c r="A1194" s="122">
        <v>46023</v>
      </c>
      <c r="B1194" s="135" t="s">
        <v>285</v>
      </c>
      <c r="C1194" s="256" t="s">
        <v>447</v>
      </c>
      <c r="D1194" s="135" t="s">
        <v>448</v>
      </c>
      <c r="E1194" s="135" t="s">
        <v>449</v>
      </c>
      <c r="F1194" s="117" t="s">
        <v>1166</v>
      </c>
      <c r="G1194" s="135" t="s">
        <v>96</v>
      </c>
      <c r="H1194" s="116" t="s">
        <v>21</v>
      </c>
      <c r="I1194" s="252">
        <v>5555</v>
      </c>
      <c r="J1194" s="139"/>
      <c r="K1194" s="252">
        <v>5555</v>
      </c>
      <c r="L1194" s="139">
        <v>5555</v>
      </c>
      <c r="M1194" s="139"/>
      <c r="N1194" s="131">
        <f t="shared" si="79"/>
        <v>0</v>
      </c>
      <c r="O1194" s="143" t="s">
        <v>1186</v>
      </c>
    </row>
    <row r="1195" s="87" customFormat="1" spans="1:15">
      <c r="A1195" s="122">
        <v>45962</v>
      </c>
      <c r="B1195" s="135" t="s">
        <v>285</v>
      </c>
      <c r="C1195" s="256" t="s">
        <v>1187</v>
      </c>
      <c r="D1195" s="135" t="s">
        <v>460</v>
      </c>
      <c r="E1195" s="135" t="s">
        <v>1188</v>
      </c>
      <c r="F1195" s="117" t="s">
        <v>1166</v>
      </c>
      <c r="G1195" s="135" t="s">
        <v>98</v>
      </c>
      <c r="H1195" s="116" t="s">
        <v>23</v>
      </c>
      <c r="I1195" s="252">
        <v>2300</v>
      </c>
      <c r="J1195" s="139"/>
      <c r="K1195" s="252">
        <v>2300</v>
      </c>
      <c r="L1195" s="252">
        <v>2300</v>
      </c>
      <c r="M1195" s="139"/>
      <c r="N1195" s="131">
        <f t="shared" si="79"/>
        <v>0</v>
      </c>
      <c r="O1195" s="143" t="s">
        <v>1189</v>
      </c>
    </row>
    <row r="1196" s="87" customFormat="1" spans="1:15">
      <c r="A1196" s="122">
        <v>45962</v>
      </c>
      <c r="B1196" s="135" t="s">
        <v>285</v>
      </c>
      <c r="C1196" s="256" t="s">
        <v>1187</v>
      </c>
      <c r="D1196" s="135" t="s">
        <v>460</v>
      </c>
      <c r="E1196" s="135" t="s">
        <v>1188</v>
      </c>
      <c r="F1196" s="117" t="s">
        <v>1166</v>
      </c>
      <c r="G1196" s="135" t="s">
        <v>26</v>
      </c>
      <c r="H1196" s="116" t="s">
        <v>23</v>
      </c>
      <c r="I1196" s="252">
        <v>2300</v>
      </c>
      <c r="J1196" s="139"/>
      <c r="K1196" s="252">
        <v>2300</v>
      </c>
      <c r="L1196" s="252">
        <v>2300</v>
      </c>
      <c r="M1196" s="139"/>
      <c r="N1196" s="131">
        <f t="shared" si="79"/>
        <v>0</v>
      </c>
      <c r="O1196" s="143" t="s">
        <v>1189</v>
      </c>
    </row>
    <row r="1197" s="87" customFormat="1" spans="1:15">
      <c r="A1197" s="122">
        <v>45962</v>
      </c>
      <c r="B1197" s="135" t="s">
        <v>285</v>
      </c>
      <c r="C1197" s="256" t="s">
        <v>1187</v>
      </c>
      <c r="D1197" s="135" t="s">
        <v>460</v>
      </c>
      <c r="E1197" s="135" t="s">
        <v>1188</v>
      </c>
      <c r="F1197" s="117" t="s">
        <v>1166</v>
      </c>
      <c r="G1197" s="135" t="s">
        <v>98</v>
      </c>
      <c r="H1197" s="116" t="s">
        <v>21</v>
      </c>
      <c r="I1197" s="252">
        <v>1700</v>
      </c>
      <c r="J1197" s="139"/>
      <c r="K1197" s="252">
        <v>1700</v>
      </c>
      <c r="L1197" s="252">
        <v>1700</v>
      </c>
      <c r="M1197" s="139"/>
      <c r="N1197" s="131">
        <f t="shared" si="79"/>
        <v>0</v>
      </c>
      <c r="O1197" s="143" t="s">
        <v>1189</v>
      </c>
    </row>
    <row r="1198" s="87" customFormat="1" spans="1:15">
      <c r="A1198" s="122">
        <v>45962</v>
      </c>
      <c r="B1198" s="135" t="s">
        <v>285</v>
      </c>
      <c r="C1198" s="256" t="s">
        <v>1187</v>
      </c>
      <c r="D1198" s="135" t="s">
        <v>460</v>
      </c>
      <c r="E1198" s="135" t="s">
        <v>1188</v>
      </c>
      <c r="F1198" s="117" t="s">
        <v>1166</v>
      </c>
      <c r="G1198" s="135" t="s">
        <v>26</v>
      </c>
      <c r="H1198" s="116" t="s">
        <v>21</v>
      </c>
      <c r="I1198" s="252">
        <v>1700</v>
      </c>
      <c r="J1198" s="139"/>
      <c r="K1198" s="252">
        <v>1700</v>
      </c>
      <c r="L1198" s="252">
        <v>1700</v>
      </c>
      <c r="M1198" s="139"/>
      <c r="N1198" s="131">
        <f t="shared" si="79"/>
        <v>0</v>
      </c>
      <c r="O1198" s="143" t="s">
        <v>1189</v>
      </c>
    </row>
    <row r="1199" s="87" customFormat="1" spans="1:15">
      <c r="A1199" s="122">
        <v>46023</v>
      </c>
      <c r="B1199" s="135" t="s">
        <v>285</v>
      </c>
      <c r="C1199" s="256" t="s">
        <v>1187</v>
      </c>
      <c r="D1199" s="135" t="s">
        <v>460</v>
      </c>
      <c r="E1199" s="135" t="s">
        <v>1188</v>
      </c>
      <c r="F1199" s="117" t="s">
        <v>1166</v>
      </c>
      <c r="G1199" s="135" t="s">
        <v>1176</v>
      </c>
      <c r="H1199" s="116" t="s">
        <v>23</v>
      </c>
      <c r="I1199" s="252">
        <v>2300</v>
      </c>
      <c r="J1199" s="139"/>
      <c r="K1199" s="252">
        <v>2300</v>
      </c>
      <c r="L1199" s="139">
        <v>2300</v>
      </c>
      <c r="M1199" s="139"/>
      <c r="N1199" s="131">
        <f t="shared" si="79"/>
        <v>0</v>
      </c>
      <c r="O1199" s="143" t="s">
        <v>1190</v>
      </c>
    </row>
    <row r="1200" s="87" customFormat="1" spans="1:15">
      <c r="A1200" s="122">
        <v>46023</v>
      </c>
      <c r="B1200" s="135" t="s">
        <v>285</v>
      </c>
      <c r="C1200" s="256" t="s">
        <v>1187</v>
      </c>
      <c r="D1200" s="135" t="s">
        <v>460</v>
      </c>
      <c r="E1200" s="135" t="s">
        <v>1188</v>
      </c>
      <c r="F1200" s="117" t="s">
        <v>1166</v>
      </c>
      <c r="G1200" s="135" t="s">
        <v>96</v>
      </c>
      <c r="H1200" s="116" t="s">
        <v>23</v>
      </c>
      <c r="I1200" s="252">
        <v>2300</v>
      </c>
      <c r="J1200" s="139"/>
      <c r="K1200" s="252">
        <v>2300</v>
      </c>
      <c r="L1200" s="139">
        <f>2000+300</f>
        <v>2300</v>
      </c>
      <c r="M1200" s="139"/>
      <c r="N1200" s="131">
        <f t="shared" si="79"/>
        <v>0</v>
      </c>
      <c r="O1200" s="143" t="s">
        <v>1191</v>
      </c>
    </row>
    <row r="1201" s="87" customFormat="1" spans="1:15">
      <c r="A1201" s="122">
        <v>46023</v>
      </c>
      <c r="B1201" s="135" t="s">
        <v>285</v>
      </c>
      <c r="C1201" s="256" t="s">
        <v>1187</v>
      </c>
      <c r="D1201" s="135" t="s">
        <v>460</v>
      </c>
      <c r="E1201" s="135" t="s">
        <v>1188</v>
      </c>
      <c r="F1201" s="117" t="s">
        <v>1166</v>
      </c>
      <c r="G1201" s="135" t="s">
        <v>1176</v>
      </c>
      <c r="H1201" s="116" t="s">
        <v>21</v>
      </c>
      <c r="I1201" s="252">
        <v>1700</v>
      </c>
      <c r="J1201" s="139"/>
      <c r="K1201" s="252">
        <v>1700</v>
      </c>
      <c r="L1201" s="139">
        <v>1700</v>
      </c>
      <c r="M1201" s="139"/>
      <c r="N1201" s="131">
        <f t="shared" si="79"/>
        <v>0</v>
      </c>
      <c r="O1201" s="143" t="s">
        <v>1190</v>
      </c>
    </row>
    <row r="1202" s="87" customFormat="1" spans="1:15">
      <c r="A1202" s="122">
        <v>46023</v>
      </c>
      <c r="B1202" s="135" t="s">
        <v>285</v>
      </c>
      <c r="C1202" s="256" t="s">
        <v>1187</v>
      </c>
      <c r="D1202" s="135" t="s">
        <v>460</v>
      </c>
      <c r="E1202" s="135" t="s">
        <v>1188</v>
      </c>
      <c r="F1202" s="117" t="s">
        <v>1166</v>
      </c>
      <c r="G1202" s="135" t="s">
        <v>96</v>
      </c>
      <c r="H1202" s="116" t="s">
        <v>21</v>
      </c>
      <c r="I1202" s="252">
        <v>1700</v>
      </c>
      <c r="J1202" s="139"/>
      <c r="K1202" s="252">
        <v>1700</v>
      </c>
      <c r="L1202" s="139">
        <v>1700</v>
      </c>
      <c r="M1202" s="139"/>
      <c r="N1202" s="131">
        <f t="shared" si="79"/>
        <v>0</v>
      </c>
      <c r="O1202" s="143" t="s">
        <v>1190</v>
      </c>
    </row>
    <row r="1203" s="87" customFormat="1" spans="1:15">
      <c r="A1203" s="122">
        <v>46023</v>
      </c>
      <c r="B1203" s="135" t="s">
        <v>491</v>
      </c>
      <c r="C1203" s="256" t="s">
        <v>502</v>
      </c>
      <c r="D1203" s="135" t="s">
        <v>503</v>
      </c>
      <c r="E1203" s="135" t="s">
        <v>504</v>
      </c>
      <c r="F1203" s="117" t="s">
        <v>1166</v>
      </c>
      <c r="G1203" s="135" t="s">
        <v>1174</v>
      </c>
      <c r="H1203" s="116" t="s">
        <v>23</v>
      </c>
      <c r="I1203" s="252">
        <v>1045</v>
      </c>
      <c r="J1203" s="139"/>
      <c r="K1203" s="252">
        <v>1045</v>
      </c>
      <c r="L1203" s="139">
        <v>1045</v>
      </c>
      <c r="M1203" s="139"/>
      <c r="N1203" s="131">
        <f t="shared" si="79"/>
        <v>0</v>
      </c>
      <c r="O1203" s="143" t="s">
        <v>1179</v>
      </c>
    </row>
    <row r="1204" s="87" customFormat="1" spans="1:15">
      <c r="A1204" s="122">
        <v>46023</v>
      </c>
      <c r="B1204" s="135" t="s">
        <v>491</v>
      </c>
      <c r="C1204" s="256" t="s">
        <v>502</v>
      </c>
      <c r="D1204" s="135" t="s">
        <v>503</v>
      </c>
      <c r="E1204" s="135" t="s">
        <v>504</v>
      </c>
      <c r="F1204" s="117" t="s">
        <v>1166</v>
      </c>
      <c r="G1204" s="135" t="s">
        <v>1176</v>
      </c>
      <c r="H1204" s="116" t="s">
        <v>23</v>
      </c>
      <c r="I1204" s="252">
        <v>1045</v>
      </c>
      <c r="J1204" s="139"/>
      <c r="K1204" s="252">
        <v>1045</v>
      </c>
      <c r="L1204" s="139">
        <v>1045</v>
      </c>
      <c r="M1204" s="139"/>
      <c r="N1204" s="131">
        <f t="shared" si="79"/>
        <v>0</v>
      </c>
      <c r="O1204" s="143" t="s">
        <v>1179</v>
      </c>
    </row>
    <row r="1205" s="87" customFormat="1" spans="1:15">
      <c r="A1205" s="122">
        <v>46023</v>
      </c>
      <c r="B1205" s="135" t="s">
        <v>491</v>
      </c>
      <c r="C1205" s="256" t="s">
        <v>502</v>
      </c>
      <c r="D1205" s="135" t="s">
        <v>503</v>
      </c>
      <c r="E1205" s="135" t="s">
        <v>504</v>
      </c>
      <c r="F1205" s="117" t="s">
        <v>1166</v>
      </c>
      <c r="G1205" s="135" t="s">
        <v>96</v>
      </c>
      <c r="H1205" s="116" t="s">
        <v>23</v>
      </c>
      <c r="I1205" s="252">
        <v>1045</v>
      </c>
      <c r="J1205" s="139"/>
      <c r="K1205" s="252">
        <v>1045</v>
      </c>
      <c r="L1205" s="139">
        <v>1045</v>
      </c>
      <c r="M1205" s="139"/>
      <c r="N1205" s="131">
        <f t="shared" si="79"/>
        <v>0</v>
      </c>
      <c r="O1205" s="143" t="s">
        <v>1179</v>
      </c>
    </row>
    <row r="1206" s="87" customFormat="1" spans="1:15">
      <c r="A1206" s="122">
        <v>46023</v>
      </c>
      <c r="B1206" s="135" t="s">
        <v>491</v>
      </c>
      <c r="C1206" s="256" t="s">
        <v>502</v>
      </c>
      <c r="D1206" s="135" t="s">
        <v>503</v>
      </c>
      <c r="E1206" s="135" t="s">
        <v>504</v>
      </c>
      <c r="F1206" s="117" t="s">
        <v>1166</v>
      </c>
      <c r="G1206" s="135" t="s">
        <v>1174</v>
      </c>
      <c r="H1206" s="116" t="s">
        <v>21</v>
      </c>
      <c r="I1206" s="252">
        <v>1520</v>
      </c>
      <c r="J1206" s="139"/>
      <c r="K1206" s="252">
        <v>1520</v>
      </c>
      <c r="L1206" s="139">
        <v>1520</v>
      </c>
      <c r="M1206" s="139"/>
      <c r="N1206" s="131">
        <f t="shared" si="79"/>
        <v>0</v>
      </c>
      <c r="O1206" s="143" t="s">
        <v>1179</v>
      </c>
    </row>
    <row r="1207" s="87" customFormat="1" spans="1:15">
      <c r="A1207" s="122">
        <v>46023</v>
      </c>
      <c r="B1207" s="135" t="s">
        <v>491</v>
      </c>
      <c r="C1207" s="256" t="s">
        <v>502</v>
      </c>
      <c r="D1207" s="135" t="s">
        <v>503</v>
      </c>
      <c r="E1207" s="135" t="s">
        <v>504</v>
      </c>
      <c r="F1207" s="117" t="s">
        <v>1166</v>
      </c>
      <c r="G1207" s="135" t="s">
        <v>1176</v>
      </c>
      <c r="H1207" s="116" t="s">
        <v>21</v>
      </c>
      <c r="I1207" s="252">
        <v>1520</v>
      </c>
      <c r="J1207" s="139"/>
      <c r="K1207" s="252">
        <v>1520</v>
      </c>
      <c r="L1207" s="139">
        <v>1520</v>
      </c>
      <c r="M1207" s="139"/>
      <c r="N1207" s="131">
        <f t="shared" si="79"/>
        <v>0</v>
      </c>
      <c r="O1207" s="143" t="s">
        <v>1179</v>
      </c>
    </row>
    <row r="1208" s="87" customFormat="1" spans="1:15">
      <c r="A1208" s="122">
        <v>46023</v>
      </c>
      <c r="B1208" s="135" t="s">
        <v>491</v>
      </c>
      <c r="C1208" s="256" t="s">
        <v>502</v>
      </c>
      <c r="D1208" s="135" t="s">
        <v>503</v>
      </c>
      <c r="E1208" s="135" t="s">
        <v>504</v>
      </c>
      <c r="F1208" s="117" t="s">
        <v>1166</v>
      </c>
      <c r="G1208" s="135" t="s">
        <v>96</v>
      </c>
      <c r="H1208" s="116" t="s">
        <v>21</v>
      </c>
      <c r="I1208" s="252">
        <v>1520</v>
      </c>
      <c r="J1208" s="139"/>
      <c r="K1208" s="252">
        <v>1520</v>
      </c>
      <c r="L1208" s="139">
        <v>1520</v>
      </c>
      <c r="M1208" s="139"/>
      <c r="N1208" s="131">
        <f t="shared" si="79"/>
        <v>0</v>
      </c>
      <c r="O1208" s="143" t="s">
        <v>1179</v>
      </c>
    </row>
    <row r="1209" s="99" customFormat="1" spans="1:16">
      <c r="A1209" s="122">
        <v>46023</v>
      </c>
      <c r="B1209" s="135" t="s">
        <v>491</v>
      </c>
      <c r="C1209" s="256" t="s">
        <v>533</v>
      </c>
      <c r="D1209" s="135" t="s">
        <v>534</v>
      </c>
      <c r="E1209" s="112" t="s">
        <v>535</v>
      </c>
      <c r="F1209" s="117" t="s">
        <v>1166</v>
      </c>
      <c r="G1209" s="135" t="s">
        <v>96</v>
      </c>
      <c r="H1209" s="116" t="s">
        <v>21</v>
      </c>
      <c r="I1209" s="252">
        <v>2000</v>
      </c>
      <c r="J1209" s="139"/>
      <c r="K1209" s="252">
        <f>I1209-J1209</f>
        <v>2000</v>
      </c>
      <c r="L1209" s="139">
        <v>2000</v>
      </c>
      <c r="M1209" s="139"/>
      <c r="N1209" s="131">
        <f t="shared" si="79"/>
        <v>0</v>
      </c>
      <c r="O1209" s="143" t="s">
        <v>1192</v>
      </c>
      <c r="P1209" s="262"/>
    </row>
    <row r="1210" s="99" customFormat="1" spans="1:16">
      <c r="A1210" s="122">
        <v>46023</v>
      </c>
      <c r="B1210" s="135" t="s">
        <v>491</v>
      </c>
      <c r="C1210" s="256" t="s">
        <v>533</v>
      </c>
      <c r="D1210" s="135" t="s">
        <v>534</v>
      </c>
      <c r="E1210" s="112" t="s">
        <v>535</v>
      </c>
      <c r="F1210" s="117" t="s">
        <v>1166</v>
      </c>
      <c r="G1210" s="135" t="s">
        <v>96</v>
      </c>
      <c r="H1210" s="116" t="s">
        <v>23</v>
      </c>
      <c r="I1210" s="252">
        <v>2000</v>
      </c>
      <c r="J1210" s="139"/>
      <c r="K1210" s="252">
        <f>I1210-J1210</f>
        <v>2000</v>
      </c>
      <c r="L1210" s="139">
        <v>2000</v>
      </c>
      <c r="M1210" s="139"/>
      <c r="N1210" s="131">
        <f t="shared" si="79"/>
        <v>0</v>
      </c>
      <c r="O1210" s="143" t="s">
        <v>1083</v>
      </c>
      <c r="P1210" s="262"/>
    </row>
    <row r="1211" s="87" customFormat="1" spans="1:15">
      <c r="A1211" s="122">
        <v>46023</v>
      </c>
      <c r="B1211" s="135" t="s">
        <v>491</v>
      </c>
      <c r="C1211" s="256" t="s">
        <v>552</v>
      </c>
      <c r="D1211" s="135" t="s">
        <v>553</v>
      </c>
      <c r="E1211" s="135" t="s">
        <v>554</v>
      </c>
      <c r="F1211" s="117" t="s">
        <v>1166</v>
      </c>
      <c r="G1211" s="135" t="s">
        <v>96</v>
      </c>
      <c r="H1211" s="116" t="s">
        <v>23</v>
      </c>
      <c r="I1211" s="252">
        <v>11030</v>
      </c>
      <c r="J1211" s="139"/>
      <c r="K1211" s="252">
        <v>11030</v>
      </c>
      <c r="L1211" s="139">
        <v>11030</v>
      </c>
      <c r="M1211" s="139"/>
      <c r="N1211" s="131">
        <f t="shared" si="79"/>
        <v>0</v>
      </c>
      <c r="O1211" s="143" t="s">
        <v>914</v>
      </c>
    </row>
    <row r="1212" s="87" customFormat="1" spans="1:15">
      <c r="A1212" s="122">
        <v>46023</v>
      </c>
      <c r="B1212" s="135" t="s">
        <v>491</v>
      </c>
      <c r="C1212" s="256" t="s">
        <v>552</v>
      </c>
      <c r="D1212" s="135" t="s">
        <v>553</v>
      </c>
      <c r="E1212" s="135" t="s">
        <v>554</v>
      </c>
      <c r="F1212" s="117" t="s">
        <v>1166</v>
      </c>
      <c r="G1212" s="135" t="s">
        <v>96</v>
      </c>
      <c r="H1212" s="116" t="s">
        <v>21</v>
      </c>
      <c r="I1212" s="252">
        <v>35296</v>
      </c>
      <c r="J1212" s="139"/>
      <c r="K1212" s="252">
        <v>35296</v>
      </c>
      <c r="L1212" s="139">
        <v>35296</v>
      </c>
      <c r="M1212" s="139"/>
      <c r="N1212" s="131">
        <f t="shared" si="79"/>
        <v>0</v>
      </c>
      <c r="O1212" s="143" t="s">
        <v>914</v>
      </c>
    </row>
    <row r="1213" s="87" customFormat="1" spans="1:16">
      <c r="A1213" s="122">
        <v>46023</v>
      </c>
      <c r="B1213" s="135" t="s">
        <v>491</v>
      </c>
      <c r="C1213" s="256" t="s">
        <v>567</v>
      </c>
      <c r="D1213" s="135" t="s">
        <v>568</v>
      </c>
      <c r="E1213" s="135" t="s">
        <v>569</v>
      </c>
      <c r="F1213" s="117">
        <v>46038</v>
      </c>
      <c r="G1213" s="135" t="s">
        <v>96</v>
      </c>
      <c r="H1213" s="116" t="s">
        <v>23</v>
      </c>
      <c r="I1213" s="252">
        <v>5170.5</v>
      </c>
      <c r="J1213" s="139"/>
      <c r="K1213" s="252">
        <v>5170.5</v>
      </c>
      <c r="L1213" s="139">
        <v>5170.5</v>
      </c>
      <c r="M1213" s="139"/>
      <c r="N1213" s="131">
        <f t="shared" si="79"/>
        <v>0</v>
      </c>
      <c r="O1213" s="143" t="s">
        <v>1193</v>
      </c>
      <c r="P1213" s="135"/>
    </row>
    <row r="1214" s="87" customFormat="1" spans="1:16">
      <c r="A1214" s="122">
        <v>46023</v>
      </c>
      <c r="B1214" s="135" t="s">
        <v>491</v>
      </c>
      <c r="C1214" s="256" t="s">
        <v>567</v>
      </c>
      <c r="D1214" s="135" t="s">
        <v>568</v>
      </c>
      <c r="E1214" s="135" t="s">
        <v>569</v>
      </c>
      <c r="F1214" s="117">
        <v>46038</v>
      </c>
      <c r="G1214" s="135" t="s">
        <v>96</v>
      </c>
      <c r="H1214" s="116" t="s">
        <v>21</v>
      </c>
      <c r="I1214" s="252">
        <v>2700</v>
      </c>
      <c r="J1214" s="139"/>
      <c r="K1214" s="252">
        <v>2700</v>
      </c>
      <c r="L1214" s="139">
        <v>2700</v>
      </c>
      <c r="M1214" s="139"/>
      <c r="N1214" s="131">
        <f t="shared" si="79"/>
        <v>0</v>
      </c>
      <c r="O1214" s="143" t="s">
        <v>1193</v>
      </c>
      <c r="P1214" s="135"/>
    </row>
    <row r="1215" s="87" customFormat="1" spans="1:16">
      <c r="A1215" s="122">
        <v>46023</v>
      </c>
      <c r="B1215" s="135" t="s">
        <v>491</v>
      </c>
      <c r="C1215" s="256" t="s">
        <v>579</v>
      </c>
      <c r="D1215" s="135" t="s">
        <v>277</v>
      </c>
      <c r="E1215" s="135" t="s">
        <v>580</v>
      </c>
      <c r="F1215" s="117" t="s">
        <v>1166</v>
      </c>
      <c r="G1215" s="135" t="s">
        <v>1174</v>
      </c>
      <c r="H1215" s="116" t="s">
        <v>23</v>
      </c>
      <c r="I1215" s="252">
        <v>3000</v>
      </c>
      <c r="J1215" s="139"/>
      <c r="K1215" s="252">
        <v>3000</v>
      </c>
      <c r="L1215" s="139">
        <v>3000</v>
      </c>
      <c r="M1215" s="139"/>
      <c r="N1215" s="131">
        <f t="shared" si="79"/>
        <v>0</v>
      </c>
      <c r="O1215" s="137" t="s">
        <v>582</v>
      </c>
      <c r="P1215" s="135"/>
    </row>
    <row r="1216" s="87" customFormat="1" spans="1:16">
      <c r="A1216" s="122">
        <v>46023</v>
      </c>
      <c r="B1216" s="135" t="s">
        <v>491</v>
      </c>
      <c r="C1216" s="256" t="s">
        <v>579</v>
      </c>
      <c r="D1216" s="135" t="s">
        <v>277</v>
      </c>
      <c r="E1216" s="135" t="s">
        <v>580</v>
      </c>
      <c r="F1216" s="117" t="s">
        <v>1166</v>
      </c>
      <c r="G1216" s="135" t="s">
        <v>1176</v>
      </c>
      <c r="H1216" s="116" t="s">
        <v>23</v>
      </c>
      <c r="I1216" s="252">
        <v>3000</v>
      </c>
      <c r="J1216" s="139"/>
      <c r="K1216" s="252">
        <v>3000</v>
      </c>
      <c r="L1216" s="139">
        <v>3000</v>
      </c>
      <c r="M1216" s="139"/>
      <c r="N1216" s="131">
        <f t="shared" si="79"/>
        <v>0</v>
      </c>
      <c r="O1216" s="143" t="s">
        <v>582</v>
      </c>
      <c r="P1216" s="135"/>
    </row>
    <row r="1217" s="87" customFormat="1" spans="1:16">
      <c r="A1217" s="122">
        <v>46023</v>
      </c>
      <c r="B1217" s="135" t="s">
        <v>491</v>
      </c>
      <c r="C1217" s="256" t="s">
        <v>579</v>
      </c>
      <c r="D1217" s="135" t="s">
        <v>277</v>
      </c>
      <c r="E1217" s="135" t="s">
        <v>580</v>
      </c>
      <c r="F1217" s="117" t="s">
        <v>1166</v>
      </c>
      <c r="G1217" s="135" t="s">
        <v>96</v>
      </c>
      <c r="H1217" s="116" t="s">
        <v>23</v>
      </c>
      <c r="I1217" s="252">
        <v>0</v>
      </c>
      <c r="J1217" s="139"/>
      <c r="K1217" s="252">
        <v>0</v>
      </c>
      <c r="L1217" s="139"/>
      <c r="M1217" s="139"/>
      <c r="N1217" s="131">
        <f t="shared" si="79"/>
        <v>0</v>
      </c>
      <c r="O1217" s="143"/>
      <c r="P1217" s="135"/>
    </row>
    <row r="1218" s="87" customFormat="1" spans="1:16">
      <c r="A1218" s="122">
        <v>46023</v>
      </c>
      <c r="B1218" s="135" t="s">
        <v>491</v>
      </c>
      <c r="C1218" s="256" t="s">
        <v>579</v>
      </c>
      <c r="D1218" s="135" t="s">
        <v>277</v>
      </c>
      <c r="E1218" s="135" t="s">
        <v>580</v>
      </c>
      <c r="F1218" s="117" t="s">
        <v>1166</v>
      </c>
      <c r="G1218" s="135" t="s">
        <v>1174</v>
      </c>
      <c r="H1218" s="116" t="s">
        <v>21</v>
      </c>
      <c r="I1218" s="252">
        <v>7000</v>
      </c>
      <c r="J1218" s="139"/>
      <c r="K1218" s="252">
        <v>7000</v>
      </c>
      <c r="L1218" s="139">
        <v>7000</v>
      </c>
      <c r="M1218" s="139"/>
      <c r="N1218" s="131">
        <f t="shared" si="79"/>
        <v>0</v>
      </c>
      <c r="O1218" s="137" t="s">
        <v>582</v>
      </c>
      <c r="P1218" s="135"/>
    </row>
    <row r="1219" s="87" customFormat="1" spans="1:16">
      <c r="A1219" s="122">
        <v>46023</v>
      </c>
      <c r="B1219" s="135" t="s">
        <v>491</v>
      </c>
      <c r="C1219" s="256" t="s">
        <v>579</v>
      </c>
      <c r="D1219" s="135" t="s">
        <v>277</v>
      </c>
      <c r="E1219" s="135" t="s">
        <v>580</v>
      </c>
      <c r="F1219" s="117" t="s">
        <v>1166</v>
      </c>
      <c r="G1219" s="135" t="s">
        <v>1176</v>
      </c>
      <c r="H1219" s="116" t="s">
        <v>21</v>
      </c>
      <c r="I1219" s="252">
        <v>7000</v>
      </c>
      <c r="J1219" s="139"/>
      <c r="K1219" s="252">
        <v>7000</v>
      </c>
      <c r="L1219" s="139">
        <v>7000</v>
      </c>
      <c r="M1219" s="139"/>
      <c r="N1219" s="131">
        <f t="shared" si="79"/>
        <v>0</v>
      </c>
      <c r="O1219" s="137" t="s">
        <v>582</v>
      </c>
      <c r="P1219" s="135"/>
    </row>
    <row r="1220" s="87" customFormat="1" spans="1:16">
      <c r="A1220" s="122">
        <v>46023</v>
      </c>
      <c r="B1220" s="135" t="s">
        <v>491</v>
      </c>
      <c r="C1220" s="256" t="s">
        <v>579</v>
      </c>
      <c r="D1220" s="135" t="s">
        <v>277</v>
      </c>
      <c r="E1220" s="135" t="s">
        <v>580</v>
      </c>
      <c r="F1220" s="117" t="s">
        <v>1166</v>
      </c>
      <c r="G1220" s="135" t="s">
        <v>96</v>
      </c>
      <c r="H1220" s="116" t="s">
        <v>21</v>
      </c>
      <c r="I1220" s="252">
        <v>0</v>
      </c>
      <c r="J1220" s="139"/>
      <c r="K1220" s="252">
        <v>0</v>
      </c>
      <c r="L1220" s="139"/>
      <c r="M1220" s="139"/>
      <c r="N1220" s="131">
        <f t="shared" si="79"/>
        <v>0</v>
      </c>
      <c r="O1220" s="143"/>
      <c r="P1220" s="135"/>
    </row>
    <row r="1221" s="87" customFormat="1" spans="1:16">
      <c r="A1221" s="122">
        <v>46023</v>
      </c>
      <c r="B1221" s="135" t="s">
        <v>491</v>
      </c>
      <c r="C1221" s="256" t="s">
        <v>626</v>
      </c>
      <c r="D1221" s="135" t="s">
        <v>568</v>
      </c>
      <c r="E1221" s="135" t="s">
        <v>627</v>
      </c>
      <c r="F1221" s="117" t="s">
        <v>1166</v>
      </c>
      <c r="G1221" s="135" t="s">
        <v>96</v>
      </c>
      <c r="H1221" s="116" t="s">
        <v>23</v>
      </c>
      <c r="I1221" s="252">
        <v>4060</v>
      </c>
      <c r="J1221" s="139"/>
      <c r="K1221" s="252">
        <v>4060</v>
      </c>
      <c r="L1221" s="139">
        <f>3128+932</f>
        <v>4060</v>
      </c>
      <c r="M1221" s="139"/>
      <c r="N1221" s="131">
        <f t="shared" si="79"/>
        <v>0</v>
      </c>
      <c r="O1221" s="143" t="s">
        <v>1194</v>
      </c>
      <c r="P1221" s="135"/>
    </row>
    <row r="1222" s="87" customFormat="1" spans="1:16">
      <c r="A1222" s="122">
        <v>46023</v>
      </c>
      <c r="B1222" s="135" t="s">
        <v>491</v>
      </c>
      <c r="C1222" s="256" t="s">
        <v>626</v>
      </c>
      <c r="D1222" s="135" t="s">
        <v>568</v>
      </c>
      <c r="E1222" s="135" t="s">
        <v>627</v>
      </c>
      <c r="F1222" s="117" t="s">
        <v>1166</v>
      </c>
      <c r="G1222" s="135" t="s">
        <v>96</v>
      </c>
      <c r="H1222" s="116" t="s">
        <v>21</v>
      </c>
      <c r="I1222" s="252">
        <v>4872</v>
      </c>
      <c r="J1222" s="139"/>
      <c r="K1222" s="252">
        <v>4872</v>
      </c>
      <c r="L1222" s="139">
        <v>4872</v>
      </c>
      <c r="M1222" s="139"/>
      <c r="N1222" s="131">
        <f t="shared" si="79"/>
        <v>0</v>
      </c>
      <c r="O1222" s="143" t="s">
        <v>1195</v>
      </c>
      <c r="P1222" s="135"/>
    </row>
    <row r="1223" s="87" customFormat="1" spans="1:15">
      <c r="A1223" s="122">
        <v>46023</v>
      </c>
      <c r="B1223" s="135" t="s">
        <v>630</v>
      </c>
      <c r="C1223" s="256" t="s">
        <v>675</v>
      </c>
      <c r="D1223" s="135" t="s">
        <v>676</v>
      </c>
      <c r="E1223" s="135" t="s">
        <v>677</v>
      </c>
      <c r="F1223" s="117">
        <v>46038</v>
      </c>
      <c r="G1223" s="135" t="s">
        <v>1174</v>
      </c>
      <c r="H1223" s="116" t="s">
        <v>23</v>
      </c>
      <c r="I1223" s="252">
        <v>990</v>
      </c>
      <c r="J1223" s="139"/>
      <c r="K1223" s="252">
        <v>990</v>
      </c>
      <c r="L1223" s="139">
        <v>990</v>
      </c>
      <c r="M1223" s="139"/>
      <c r="N1223" s="131">
        <f t="shared" si="79"/>
        <v>0</v>
      </c>
      <c r="O1223" s="143" t="s">
        <v>1196</v>
      </c>
    </row>
    <row r="1224" s="87" customFormat="1" spans="1:15">
      <c r="A1224" s="122">
        <v>46023</v>
      </c>
      <c r="B1224" s="135" t="s">
        <v>630</v>
      </c>
      <c r="C1224" s="256" t="s">
        <v>675</v>
      </c>
      <c r="D1224" s="135" t="s">
        <v>676</v>
      </c>
      <c r="E1224" s="135" t="s">
        <v>677</v>
      </c>
      <c r="F1224" s="117">
        <v>46038</v>
      </c>
      <c r="G1224" s="135" t="s">
        <v>1176</v>
      </c>
      <c r="H1224" s="116" t="s">
        <v>23</v>
      </c>
      <c r="I1224" s="252">
        <v>990</v>
      </c>
      <c r="J1224" s="139"/>
      <c r="K1224" s="252">
        <v>990</v>
      </c>
      <c r="L1224" s="139">
        <v>990</v>
      </c>
      <c r="M1224" s="139"/>
      <c r="N1224" s="131">
        <f t="shared" si="79"/>
        <v>0</v>
      </c>
      <c r="O1224" s="143" t="s">
        <v>1196</v>
      </c>
    </row>
    <row r="1225" s="87" customFormat="1" spans="1:15">
      <c r="A1225" s="122">
        <v>46023</v>
      </c>
      <c r="B1225" s="135" t="s">
        <v>630</v>
      </c>
      <c r="C1225" s="256" t="s">
        <v>675</v>
      </c>
      <c r="D1225" s="135" t="s">
        <v>676</v>
      </c>
      <c r="E1225" s="135" t="s">
        <v>677</v>
      </c>
      <c r="F1225" s="117">
        <v>46038</v>
      </c>
      <c r="G1225" s="135" t="s">
        <v>96</v>
      </c>
      <c r="H1225" s="116" t="s">
        <v>23</v>
      </c>
      <c r="I1225" s="252">
        <v>990</v>
      </c>
      <c r="J1225" s="139"/>
      <c r="K1225" s="252">
        <v>990</v>
      </c>
      <c r="L1225" s="139">
        <v>990</v>
      </c>
      <c r="M1225" s="139"/>
      <c r="N1225" s="131">
        <f t="shared" si="79"/>
        <v>0</v>
      </c>
      <c r="O1225" s="143" t="s">
        <v>1196</v>
      </c>
    </row>
    <row r="1226" s="87" customFormat="1" spans="1:15">
      <c r="A1226" s="122">
        <v>46023</v>
      </c>
      <c r="B1226" s="135" t="s">
        <v>630</v>
      </c>
      <c r="C1226" s="256" t="s">
        <v>675</v>
      </c>
      <c r="D1226" s="135" t="s">
        <v>676</v>
      </c>
      <c r="E1226" s="135" t="s">
        <v>677</v>
      </c>
      <c r="F1226" s="117">
        <v>46038</v>
      </c>
      <c r="G1226" s="135" t="s">
        <v>1174</v>
      </c>
      <c r="H1226" s="116" t="s">
        <v>21</v>
      </c>
      <c r="I1226" s="252">
        <v>1360</v>
      </c>
      <c r="J1226" s="139"/>
      <c r="K1226" s="252">
        <v>1360</v>
      </c>
      <c r="L1226" s="139">
        <v>1360</v>
      </c>
      <c r="M1226" s="139"/>
      <c r="N1226" s="131">
        <f t="shared" si="79"/>
        <v>0</v>
      </c>
      <c r="O1226" s="143" t="s">
        <v>1196</v>
      </c>
    </row>
    <row r="1227" s="87" customFormat="1" spans="1:15">
      <c r="A1227" s="122">
        <v>46023</v>
      </c>
      <c r="B1227" s="135" t="s">
        <v>630</v>
      </c>
      <c r="C1227" s="256" t="s">
        <v>675</v>
      </c>
      <c r="D1227" s="135" t="s">
        <v>676</v>
      </c>
      <c r="E1227" s="135" t="s">
        <v>677</v>
      </c>
      <c r="F1227" s="117">
        <v>46038</v>
      </c>
      <c r="G1227" s="135" t="s">
        <v>1176</v>
      </c>
      <c r="H1227" s="116" t="s">
        <v>21</v>
      </c>
      <c r="I1227" s="252">
        <v>1360</v>
      </c>
      <c r="J1227" s="139"/>
      <c r="K1227" s="252">
        <v>1360</v>
      </c>
      <c r="L1227" s="139">
        <v>1360</v>
      </c>
      <c r="M1227" s="139"/>
      <c r="N1227" s="131">
        <f t="shared" si="79"/>
        <v>0</v>
      </c>
      <c r="O1227" s="143" t="s">
        <v>1196</v>
      </c>
    </row>
    <row r="1228" s="87" customFormat="1" spans="1:15">
      <c r="A1228" s="122">
        <v>46023</v>
      </c>
      <c r="B1228" s="135" t="s">
        <v>630</v>
      </c>
      <c r="C1228" s="256" t="s">
        <v>675</v>
      </c>
      <c r="D1228" s="135" t="s">
        <v>676</v>
      </c>
      <c r="E1228" s="135" t="s">
        <v>677</v>
      </c>
      <c r="F1228" s="117">
        <v>46038</v>
      </c>
      <c r="G1228" s="135" t="s">
        <v>96</v>
      </c>
      <c r="H1228" s="116" t="s">
        <v>21</v>
      </c>
      <c r="I1228" s="252">
        <v>1360</v>
      </c>
      <c r="J1228" s="139"/>
      <c r="K1228" s="252">
        <v>1360</v>
      </c>
      <c r="L1228" s="139">
        <v>1360</v>
      </c>
      <c r="M1228" s="139"/>
      <c r="N1228" s="131">
        <f t="shared" si="79"/>
        <v>0</v>
      </c>
      <c r="O1228" s="143" t="s">
        <v>1196</v>
      </c>
    </row>
    <row r="1229" s="93" customFormat="1" spans="1:16">
      <c r="A1229" s="145">
        <v>46113</v>
      </c>
      <c r="B1229" s="192" t="s">
        <v>679</v>
      </c>
      <c r="C1229" s="257" t="s">
        <v>1197</v>
      </c>
      <c r="D1229" s="192" t="s">
        <v>685</v>
      </c>
      <c r="E1229" s="192" t="s">
        <v>1198</v>
      </c>
      <c r="F1229" s="148" t="s">
        <v>1166</v>
      </c>
      <c r="G1229" s="192" t="s">
        <v>1174</v>
      </c>
      <c r="H1229" s="146" t="s">
        <v>23</v>
      </c>
      <c r="I1229" s="260">
        <v>8580</v>
      </c>
      <c r="J1229" s="156">
        <v>8580</v>
      </c>
      <c r="K1229" s="260">
        <f>I1229-J1229</f>
        <v>0</v>
      </c>
      <c r="L1229" s="156"/>
      <c r="M1229" s="156"/>
      <c r="N1229" s="144">
        <f t="shared" si="79"/>
        <v>0</v>
      </c>
      <c r="O1229" s="158" t="s">
        <v>1199</v>
      </c>
      <c r="P1229" s="192"/>
    </row>
    <row r="1230" s="87" customFormat="1" spans="1:15">
      <c r="A1230" s="122">
        <v>46023</v>
      </c>
      <c r="B1230" s="135" t="s">
        <v>679</v>
      </c>
      <c r="C1230" s="256" t="s">
        <v>1197</v>
      </c>
      <c r="D1230" s="135" t="s">
        <v>685</v>
      </c>
      <c r="E1230" s="135" t="s">
        <v>690</v>
      </c>
      <c r="F1230" s="117" t="s">
        <v>1166</v>
      </c>
      <c r="G1230" s="135" t="s">
        <v>1176</v>
      </c>
      <c r="H1230" s="116" t="s">
        <v>23</v>
      </c>
      <c r="I1230" s="252">
        <v>8580</v>
      </c>
      <c r="J1230" s="139"/>
      <c r="K1230" s="252">
        <v>8580</v>
      </c>
      <c r="L1230" s="139">
        <v>8580</v>
      </c>
      <c r="M1230" s="139"/>
      <c r="N1230" s="131">
        <f t="shared" si="79"/>
        <v>0</v>
      </c>
      <c r="O1230" s="143" t="s">
        <v>1200</v>
      </c>
    </row>
    <row r="1231" s="87" customFormat="1" spans="1:15">
      <c r="A1231" s="122">
        <v>46023</v>
      </c>
      <c r="B1231" s="135" t="s">
        <v>679</v>
      </c>
      <c r="C1231" s="256" t="s">
        <v>1197</v>
      </c>
      <c r="D1231" s="135" t="s">
        <v>685</v>
      </c>
      <c r="E1231" s="135" t="s">
        <v>690</v>
      </c>
      <c r="F1231" s="117" t="s">
        <v>1166</v>
      </c>
      <c r="G1231" s="135" t="s">
        <v>96</v>
      </c>
      <c r="H1231" s="116" t="s">
        <v>23</v>
      </c>
      <c r="I1231" s="252">
        <v>8580</v>
      </c>
      <c r="J1231" s="139"/>
      <c r="K1231" s="252">
        <v>8580</v>
      </c>
      <c r="L1231" s="139">
        <v>8580</v>
      </c>
      <c r="M1231" s="139"/>
      <c r="N1231" s="131">
        <f t="shared" si="79"/>
        <v>0</v>
      </c>
      <c r="O1231" s="143" t="s">
        <v>1200</v>
      </c>
    </row>
    <row r="1232" s="93" customFormat="1" spans="1:16">
      <c r="A1232" s="145">
        <v>46113</v>
      </c>
      <c r="B1232" s="192" t="s">
        <v>679</v>
      </c>
      <c r="C1232" s="257" t="s">
        <v>1197</v>
      </c>
      <c r="D1232" s="192" t="s">
        <v>685</v>
      </c>
      <c r="E1232" s="192" t="s">
        <v>1198</v>
      </c>
      <c r="F1232" s="148" t="s">
        <v>1166</v>
      </c>
      <c r="G1232" s="192" t="s">
        <v>1174</v>
      </c>
      <c r="H1232" s="146" t="s">
        <v>21</v>
      </c>
      <c r="I1232" s="260">
        <v>5444.4</v>
      </c>
      <c r="J1232" s="156">
        <v>5444.4</v>
      </c>
      <c r="K1232" s="260">
        <f>I1232-J1232</f>
        <v>0</v>
      </c>
      <c r="L1232" s="156"/>
      <c r="M1232" s="156"/>
      <c r="N1232" s="144">
        <f t="shared" si="79"/>
        <v>0</v>
      </c>
      <c r="O1232" s="158" t="s">
        <v>1199</v>
      </c>
      <c r="P1232" s="192"/>
    </row>
    <row r="1233" s="87" customFormat="1" spans="1:15">
      <c r="A1233" s="122">
        <v>46023</v>
      </c>
      <c r="B1233" s="135" t="s">
        <v>679</v>
      </c>
      <c r="C1233" s="256" t="s">
        <v>1197</v>
      </c>
      <c r="D1233" s="135" t="s">
        <v>685</v>
      </c>
      <c r="E1233" s="135" t="s">
        <v>690</v>
      </c>
      <c r="F1233" s="117" t="s">
        <v>1166</v>
      </c>
      <c r="G1233" s="135" t="s">
        <v>1176</v>
      </c>
      <c r="H1233" s="116" t="s">
        <v>21</v>
      </c>
      <c r="I1233" s="252">
        <v>5444.4</v>
      </c>
      <c r="J1233" s="139"/>
      <c r="K1233" s="252">
        <v>5444.4</v>
      </c>
      <c r="L1233" s="139">
        <v>5444.4</v>
      </c>
      <c r="M1233" s="139"/>
      <c r="N1233" s="131">
        <f t="shared" si="79"/>
        <v>0</v>
      </c>
      <c r="O1233" s="143" t="s">
        <v>1201</v>
      </c>
    </row>
    <row r="1234" s="87" customFormat="1" spans="1:15">
      <c r="A1234" s="122">
        <v>46023</v>
      </c>
      <c r="B1234" s="135" t="s">
        <v>679</v>
      </c>
      <c r="C1234" s="256" t="s">
        <v>1197</v>
      </c>
      <c r="D1234" s="135" t="s">
        <v>685</v>
      </c>
      <c r="E1234" s="135" t="s">
        <v>690</v>
      </c>
      <c r="F1234" s="117" t="s">
        <v>1166</v>
      </c>
      <c r="G1234" s="135" t="s">
        <v>96</v>
      </c>
      <c r="H1234" s="116" t="s">
        <v>21</v>
      </c>
      <c r="I1234" s="252">
        <v>5444.4</v>
      </c>
      <c r="J1234" s="139"/>
      <c r="K1234" s="252">
        <v>5444.4</v>
      </c>
      <c r="L1234" s="139">
        <v>5444.4</v>
      </c>
      <c r="M1234" s="139"/>
      <c r="N1234" s="131">
        <f t="shared" si="79"/>
        <v>0</v>
      </c>
      <c r="O1234" s="143" t="s">
        <v>1201</v>
      </c>
    </row>
    <row r="1235" s="87" customFormat="1" spans="1:16">
      <c r="A1235" s="122">
        <v>46023</v>
      </c>
      <c r="B1235" s="135" t="s">
        <v>679</v>
      </c>
      <c r="C1235" s="256" t="s">
        <v>711</v>
      </c>
      <c r="D1235" s="135" t="s">
        <v>715</v>
      </c>
      <c r="E1235" s="135" t="s">
        <v>713</v>
      </c>
      <c r="F1235" s="117">
        <v>46038</v>
      </c>
      <c r="G1235" s="135" t="s">
        <v>1176</v>
      </c>
      <c r="H1235" s="116" t="s">
        <v>23</v>
      </c>
      <c r="I1235" s="252">
        <v>13446</v>
      </c>
      <c r="J1235" s="139"/>
      <c r="K1235" s="252">
        <v>13446</v>
      </c>
      <c r="L1235" s="139">
        <v>13446</v>
      </c>
      <c r="M1235" s="139"/>
      <c r="N1235" s="131">
        <f t="shared" si="79"/>
        <v>0</v>
      </c>
      <c r="O1235" s="143" t="s">
        <v>1202</v>
      </c>
      <c r="P1235" s="135" t="s">
        <v>1203</v>
      </c>
    </row>
    <row r="1236" s="87" customFormat="1" spans="1:16">
      <c r="A1236" s="122">
        <v>46023</v>
      </c>
      <c r="B1236" s="135" t="s">
        <v>679</v>
      </c>
      <c r="C1236" s="256" t="s">
        <v>711</v>
      </c>
      <c r="D1236" s="135" t="s">
        <v>715</v>
      </c>
      <c r="E1236" s="135" t="s">
        <v>713</v>
      </c>
      <c r="F1236" s="117">
        <v>46038</v>
      </c>
      <c r="G1236" s="135" t="s">
        <v>96</v>
      </c>
      <c r="H1236" s="116" t="s">
        <v>23</v>
      </c>
      <c r="I1236" s="252">
        <v>13446</v>
      </c>
      <c r="J1236" s="139"/>
      <c r="K1236" s="252">
        <v>13446</v>
      </c>
      <c r="L1236" s="139">
        <v>13446</v>
      </c>
      <c r="M1236" s="139"/>
      <c r="N1236" s="131">
        <f t="shared" si="79"/>
        <v>0</v>
      </c>
      <c r="O1236" s="143" t="s">
        <v>1202</v>
      </c>
      <c r="P1236" s="135" t="s">
        <v>1203</v>
      </c>
    </row>
    <row r="1237" s="87" customFormat="1" spans="1:16">
      <c r="A1237" s="122">
        <v>46023</v>
      </c>
      <c r="B1237" s="135" t="s">
        <v>679</v>
      </c>
      <c r="C1237" s="256" t="s">
        <v>711</v>
      </c>
      <c r="D1237" s="135" t="s">
        <v>715</v>
      </c>
      <c r="E1237" s="135" t="s">
        <v>713</v>
      </c>
      <c r="F1237" s="117">
        <v>46038</v>
      </c>
      <c r="G1237" s="135" t="s">
        <v>1176</v>
      </c>
      <c r="H1237" s="116" t="s">
        <v>21</v>
      </c>
      <c r="I1237" s="252">
        <v>29650.92</v>
      </c>
      <c r="J1237" s="139"/>
      <c r="K1237" s="252">
        <v>29650.92</v>
      </c>
      <c r="L1237" s="139">
        <v>29650.92</v>
      </c>
      <c r="M1237" s="139"/>
      <c r="N1237" s="131">
        <f t="shared" si="79"/>
        <v>0</v>
      </c>
      <c r="O1237" s="143" t="s">
        <v>1202</v>
      </c>
      <c r="P1237" s="135" t="s">
        <v>1203</v>
      </c>
    </row>
    <row r="1238" s="87" customFormat="1" spans="1:16">
      <c r="A1238" s="122">
        <v>46023</v>
      </c>
      <c r="B1238" s="135" t="s">
        <v>679</v>
      </c>
      <c r="C1238" s="256" t="s">
        <v>711</v>
      </c>
      <c r="D1238" s="135" t="s">
        <v>715</v>
      </c>
      <c r="E1238" s="135" t="s">
        <v>713</v>
      </c>
      <c r="F1238" s="117">
        <v>46038</v>
      </c>
      <c r="G1238" s="135" t="s">
        <v>96</v>
      </c>
      <c r="H1238" s="116" t="s">
        <v>21</v>
      </c>
      <c r="I1238" s="252">
        <v>29650.92</v>
      </c>
      <c r="J1238" s="139"/>
      <c r="K1238" s="252">
        <v>29650.92</v>
      </c>
      <c r="L1238" s="139">
        <v>29650.92</v>
      </c>
      <c r="M1238" s="139"/>
      <c r="N1238" s="131">
        <f t="shared" si="79"/>
        <v>0</v>
      </c>
      <c r="O1238" s="143" t="s">
        <v>1202</v>
      </c>
      <c r="P1238" s="135" t="s">
        <v>1203</v>
      </c>
    </row>
    <row r="1239" s="87" customFormat="1" spans="1:16">
      <c r="A1239" s="122">
        <v>46023</v>
      </c>
      <c r="B1239" s="135" t="s">
        <v>679</v>
      </c>
      <c r="C1239" s="256" t="s">
        <v>752</v>
      </c>
      <c r="D1239" s="135" t="s">
        <v>753</v>
      </c>
      <c r="E1239" s="135" t="s">
        <v>754</v>
      </c>
      <c r="F1239" s="117" t="s">
        <v>1166</v>
      </c>
      <c r="G1239" s="135" t="s">
        <v>1174</v>
      </c>
      <c r="H1239" s="116" t="s">
        <v>21</v>
      </c>
      <c r="I1239" s="252">
        <v>6640</v>
      </c>
      <c r="J1239" s="139">
        <v>6640</v>
      </c>
      <c r="K1239" s="252">
        <f>I1239-J1239</f>
        <v>0</v>
      </c>
      <c r="L1239" s="139"/>
      <c r="M1239" s="139"/>
      <c r="N1239" s="131">
        <f t="shared" si="79"/>
        <v>0</v>
      </c>
      <c r="O1239" s="143" t="s">
        <v>1204</v>
      </c>
      <c r="P1239" s="135"/>
    </row>
    <row r="1240" s="87" customFormat="1" spans="1:16">
      <c r="A1240" s="122">
        <v>46023</v>
      </c>
      <c r="B1240" s="135" t="s">
        <v>679</v>
      </c>
      <c r="C1240" s="256" t="s">
        <v>752</v>
      </c>
      <c r="D1240" s="135" t="s">
        <v>753</v>
      </c>
      <c r="E1240" s="135" t="s">
        <v>754</v>
      </c>
      <c r="F1240" s="117" t="s">
        <v>1166</v>
      </c>
      <c r="G1240" s="135" t="s">
        <v>1176</v>
      </c>
      <c r="H1240" s="116" t="s">
        <v>21</v>
      </c>
      <c r="I1240" s="252">
        <v>6640</v>
      </c>
      <c r="J1240" s="139"/>
      <c r="K1240" s="252">
        <v>6640</v>
      </c>
      <c r="L1240" s="139">
        <v>6640</v>
      </c>
      <c r="M1240" s="139"/>
      <c r="N1240" s="131">
        <f t="shared" si="79"/>
        <v>0</v>
      </c>
      <c r="O1240" s="143" t="s">
        <v>1204</v>
      </c>
      <c r="P1240" s="135"/>
    </row>
    <row r="1241" s="87" customFormat="1" spans="1:16">
      <c r="A1241" s="122">
        <v>46023</v>
      </c>
      <c r="B1241" s="135" t="s">
        <v>679</v>
      </c>
      <c r="C1241" s="256" t="s">
        <v>752</v>
      </c>
      <c r="D1241" s="135" t="s">
        <v>753</v>
      </c>
      <c r="E1241" s="135" t="s">
        <v>754</v>
      </c>
      <c r="F1241" s="117" t="s">
        <v>1166</v>
      </c>
      <c r="G1241" s="135" t="s">
        <v>96</v>
      </c>
      <c r="H1241" s="116" t="s">
        <v>21</v>
      </c>
      <c r="I1241" s="252">
        <v>6640</v>
      </c>
      <c r="J1241" s="139"/>
      <c r="K1241" s="252">
        <v>6640</v>
      </c>
      <c r="L1241" s="139">
        <v>6640</v>
      </c>
      <c r="M1241" s="139"/>
      <c r="N1241" s="131">
        <f t="shared" si="79"/>
        <v>0</v>
      </c>
      <c r="O1241" s="143" t="s">
        <v>1204</v>
      </c>
      <c r="P1241" s="135"/>
    </row>
    <row r="1242" s="87" customFormat="1" spans="1:15">
      <c r="A1242" s="122">
        <v>46023</v>
      </c>
      <c r="B1242" s="135" t="s">
        <v>679</v>
      </c>
      <c r="C1242" s="256" t="s">
        <v>763</v>
      </c>
      <c r="D1242" s="135" t="s">
        <v>764</v>
      </c>
      <c r="E1242" s="135" t="s">
        <v>765</v>
      </c>
      <c r="F1242" s="117">
        <v>46033</v>
      </c>
      <c r="G1242" s="135" t="s">
        <v>98</v>
      </c>
      <c r="H1242" s="116" t="s">
        <v>23</v>
      </c>
      <c r="I1242" s="252">
        <v>47910</v>
      </c>
      <c r="J1242" s="139"/>
      <c r="K1242" s="252">
        <v>47910</v>
      </c>
      <c r="L1242" s="139">
        <v>47910</v>
      </c>
      <c r="M1242" s="139"/>
      <c r="N1242" s="131">
        <f t="shared" si="79"/>
        <v>0</v>
      </c>
      <c r="O1242" s="143" t="s">
        <v>1205</v>
      </c>
    </row>
    <row r="1243" s="87" customFormat="1" spans="1:15">
      <c r="A1243" s="122">
        <v>46023</v>
      </c>
      <c r="B1243" s="135" t="s">
        <v>679</v>
      </c>
      <c r="C1243" s="256" t="s">
        <v>763</v>
      </c>
      <c r="D1243" s="135" t="s">
        <v>764</v>
      </c>
      <c r="E1243" s="135" t="s">
        <v>765</v>
      </c>
      <c r="F1243" s="117">
        <v>46033</v>
      </c>
      <c r="G1243" s="135" t="s">
        <v>98</v>
      </c>
      <c r="H1243" s="116" t="s">
        <v>21</v>
      </c>
      <c r="I1243" s="252">
        <v>85423</v>
      </c>
      <c r="J1243" s="139"/>
      <c r="K1243" s="252">
        <v>85423</v>
      </c>
      <c r="L1243" s="139">
        <v>85423</v>
      </c>
      <c r="M1243" s="139"/>
      <c r="N1243" s="131">
        <f t="shared" si="79"/>
        <v>0</v>
      </c>
      <c r="O1243" s="143" t="s">
        <v>1205</v>
      </c>
    </row>
    <row r="1244" s="87" customFormat="1" spans="1:15">
      <c r="A1244" s="122">
        <v>46023</v>
      </c>
      <c r="B1244" s="135" t="s">
        <v>679</v>
      </c>
      <c r="C1244" s="256" t="s">
        <v>773</v>
      </c>
      <c r="D1244" s="135" t="s">
        <v>774</v>
      </c>
      <c r="E1244" s="135" t="s">
        <v>775</v>
      </c>
      <c r="F1244" s="117" t="s">
        <v>1166</v>
      </c>
      <c r="G1244" s="135" t="s">
        <v>96</v>
      </c>
      <c r="H1244" s="116" t="s">
        <v>23</v>
      </c>
      <c r="I1244" s="252">
        <v>4650</v>
      </c>
      <c r="J1244" s="139"/>
      <c r="K1244" s="252">
        <v>4650</v>
      </c>
      <c r="L1244" s="139">
        <v>4650</v>
      </c>
      <c r="M1244" s="139"/>
      <c r="N1244" s="131">
        <f t="shared" si="79"/>
        <v>0</v>
      </c>
      <c r="O1244" s="143" t="s">
        <v>1206</v>
      </c>
    </row>
    <row r="1245" s="87" customFormat="1" spans="1:15">
      <c r="A1245" s="122">
        <v>46023</v>
      </c>
      <c r="B1245" s="135" t="s">
        <v>679</v>
      </c>
      <c r="C1245" s="256" t="s">
        <v>773</v>
      </c>
      <c r="D1245" s="135" t="s">
        <v>774</v>
      </c>
      <c r="E1245" s="135" t="s">
        <v>775</v>
      </c>
      <c r="F1245" s="117" t="s">
        <v>1166</v>
      </c>
      <c r="G1245" s="135" t="s">
        <v>96</v>
      </c>
      <c r="H1245" s="116" t="s">
        <v>21</v>
      </c>
      <c r="I1245" s="252">
        <v>4650</v>
      </c>
      <c r="J1245" s="139"/>
      <c r="K1245" s="252">
        <v>4650</v>
      </c>
      <c r="L1245" s="139">
        <v>4650</v>
      </c>
      <c r="M1245" s="139"/>
      <c r="N1245" s="131">
        <f t="shared" si="79"/>
        <v>0</v>
      </c>
      <c r="O1245" s="143" t="s">
        <v>1206</v>
      </c>
    </row>
    <row r="1246" s="87" customFormat="1" spans="1:16">
      <c r="A1246" s="122">
        <v>46023</v>
      </c>
      <c r="B1246" s="135" t="s">
        <v>679</v>
      </c>
      <c r="C1246" s="256" t="s">
        <v>811</v>
      </c>
      <c r="D1246" s="135" t="s">
        <v>812</v>
      </c>
      <c r="E1246" s="135" t="s">
        <v>813</v>
      </c>
      <c r="F1246" s="117">
        <v>46038</v>
      </c>
      <c r="G1246" s="135" t="s">
        <v>96</v>
      </c>
      <c r="H1246" s="116" t="s">
        <v>23</v>
      </c>
      <c r="I1246" s="130">
        <v>7717.5</v>
      </c>
      <c r="J1246" s="139"/>
      <c r="K1246" s="130">
        <v>7717.5</v>
      </c>
      <c r="L1246" s="130">
        <v>7717.5</v>
      </c>
      <c r="M1246" s="139"/>
      <c r="N1246" s="131">
        <f t="shared" si="79"/>
        <v>0</v>
      </c>
      <c r="O1246" s="143" t="s">
        <v>1092</v>
      </c>
      <c r="P1246" s="87" t="s">
        <v>1207</v>
      </c>
    </row>
    <row r="1247" s="87" customFormat="1" spans="1:16">
      <c r="A1247" s="122">
        <v>46023</v>
      </c>
      <c r="B1247" s="135" t="s">
        <v>679</v>
      </c>
      <c r="C1247" s="256" t="s">
        <v>811</v>
      </c>
      <c r="D1247" s="135" t="s">
        <v>812</v>
      </c>
      <c r="E1247" s="135" t="s">
        <v>813</v>
      </c>
      <c r="F1247" s="117">
        <v>46038</v>
      </c>
      <c r="G1247" s="135" t="s">
        <v>96</v>
      </c>
      <c r="H1247" s="116" t="s">
        <v>21</v>
      </c>
      <c r="I1247" s="130">
        <v>7282.5</v>
      </c>
      <c r="J1247" s="139"/>
      <c r="K1247" s="130">
        <f>15000-7717.5</f>
        <v>7282.5</v>
      </c>
      <c r="L1247" s="130">
        <f>15000-7717.5</f>
        <v>7282.5</v>
      </c>
      <c r="M1247" s="139"/>
      <c r="N1247" s="131">
        <f t="shared" ref="N1247:N1310" si="80">K1247-L1247</f>
        <v>0</v>
      </c>
      <c r="O1247" s="143" t="s">
        <v>1092</v>
      </c>
      <c r="P1247" s="87" t="s">
        <v>1207</v>
      </c>
    </row>
    <row r="1248" s="87" customFormat="1" spans="1:16">
      <c r="A1248" s="122">
        <v>46023</v>
      </c>
      <c r="B1248" s="135" t="s">
        <v>816</v>
      </c>
      <c r="C1248" s="256" t="s">
        <v>817</v>
      </c>
      <c r="D1248" s="135" t="s">
        <v>818</v>
      </c>
      <c r="E1248" s="135" t="s">
        <v>819</v>
      </c>
      <c r="F1248" s="117">
        <v>46038</v>
      </c>
      <c r="G1248" s="135" t="s">
        <v>96</v>
      </c>
      <c r="H1248" s="116" t="s">
        <v>23</v>
      </c>
      <c r="I1248" s="252">
        <v>12500</v>
      </c>
      <c r="J1248" s="139">
        <v>5000</v>
      </c>
      <c r="K1248" s="252">
        <f>I1248-J1248</f>
        <v>7500</v>
      </c>
      <c r="L1248" s="139">
        <f>5000+2500</f>
        <v>7500</v>
      </c>
      <c r="M1248" s="139"/>
      <c r="N1248" s="131">
        <f t="shared" si="80"/>
        <v>0</v>
      </c>
      <c r="O1248" s="114" t="s">
        <v>1208</v>
      </c>
      <c r="P1248" s="135"/>
    </row>
    <row r="1249" s="87" customFormat="1" spans="1:16">
      <c r="A1249" s="122">
        <v>46023</v>
      </c>
      <c r="B1249" s="135" t="s">
        <v>816</v>
      </c>
      <c r="C1249" s="256" t="s">
        <v>817</v>
      </c>
      <c r="D1249" s="135" t="s">
        <v>818</v>
      </c>
      <c r="E1249" s="135" t="s">
        <v>819</v>
      </c>
      <c r="F1249" s="117">
        <v>46038</v>
      </c>
      <c r="G1249" s="135" t="s">
        <v>96</v>
      </c>
      <c r="H1249" s="116" t="s">
        <v>21</v>
      </c>
      <c r="I1249" s="252">
        <v>15000</v>
      </c>
      <c r="J1249" s="139">
        <v>7500</v>
      </c>
      <c r="K1249" s="252">
        <f>I1249-J1249</f>
        <v>7500</v>
      </c>
      <c r="L1249" s="139">
        <v>7500</v>
      </c>
      <c r="M1249" s="139"/>
      <c r="N1249" s="131">
        <f t="shared" si="80"/>
        <v>0</v>
      </c>
      <c r="O1249" s="143" t="s">
        <v>1208</v>
      </c>
      <c r="P1249" s="135"/>
    </row>
    <row r="1250" s="87" customFormat="1" spans="1:16">
      <c r="A1250" s="122">
        <v>46023</v>
      </c>
      <c r="B1250" s="112" t="s">
        <v>953</v>
      </c>
      <c r="C1250" s="256" t="s">
        <v>954</v>
      </c>
      <c r="D1250" s="135" t="s">
        <v>955</v>
      </c>
      <c r="E1250" s="135" t="s">
        <v>956</v>
      </c>
      <c r="F1250" s="117" t="s">
        <v>1166</v>
      </c>
      <c r="G1250" s="135" t="s">
        <v>1209</v>
      </c>
      <c r="H1250" s="116" t="s">
        <v>833</v>
      </c>
      <c r="I1250" s="252">
        <v>4000</v>
      </c>
      <c r="J1250" s="139"/>
      <c r="K1250" s="252">
        <v>4000</v>
      </c>
      <c r="L1250" s="139">
        <v>4000</v>
      </c>
      <c r="M1250" s="139"/>
      <c r="N1250" s="131">
        <f t="shared" si="80"/>
        <v>0</v>
      </c>
      <c r="O1250" s="143" t="s">
        <v>1164</v>
      </c>
      <c r="P1250" s="135"/>
    </row>
    <row r="1251" s="87" customFormat="1" spans="1:16">
      <c r="A1251" s="122">
        <v>46023</v>
      </c>
      <c r="B1251" s="112" t="s">
        <v>953</v>
      </c>
      <c r="C1251" s="256" t="s">
        <v>954</v>
      </c>
      <c r="D1251" s="135" t="s">
        <v>955</v>
      </c>
      <c r="E1251" s="135" t="s">
        <v>956</v>
      </c>
      <c r="F1251" s="117" t="s">
        <v>1166</v>
      </c>
      <c r="G1251" s="135" t="s">
        <v>1210</v>
      </c>
      <c r="H1251" s="116" t="s">
        <v>833</v>
      </c>
      <c r="I1251" s="252">
        <v>4000</v>
      </c>
      <c r="J1251" s="139"/>
      <c r="K1251" s="252">
        <v>4000</v>
      </c>
      <c r="L1251" s="139">
        <v>4000</v>
      </c>
      <c r="M1251" s="139"/>
      <c r="N1251" s="131">
        <f t="shared" si="80"/>
        <v>0</v>
      </c>
      <c r="O1251" s="143" t="s">
        <v>1164</v>
      </c>
      <c r="P1251" s="135"/>
    </row>
    <row r="1252" s="87" customFormat="1" spans="1:16">
      <c r="A1252" s="122">
        <v>46023</v>
      </c>
      <c r="B1252" s="112" t="s">
        <v>953</v>
      </c>
      <c r="C1252" s="256" t="s">
        <v>954</v>
      </c>
      <c r="D1252" s="135" t="s">
        <v>955</v>
      </c>
      <c r="E1252" s="135" t="s">
        <v>956</v>
      </c>
      <c r="F1252" s="117" t="s">
        <v>1166</v>
      </c>
      <c r="G1252" s="135" t="s">
        <v>1211</v>
      </c>
      <c r="H1252" s="116" t="s">
        <v>833</v>
      </c>
      <c r="I1252" s="252">
        <v>4000</v>
      </c>
      <c r="J1252" s="139"/>
      <c r="K1252" s="252">
        <v>4000</v>
      </c>
      <c r="L1252" s="139">
        <v>4000</v>
      </c>
      <c r="M1252" s="139"/>
      <c r="N1252" s="131">
        <f t="shared" si="80"/>
        <v>0</v>
      </c>
      <c r="O1252" s="143" t="s">
        <v>1164</v>
      </c>
      <c r="P1252" s="135"/>
    </row>
    <row r="1253" s="87" customFormat="1" spans="1:15">
      <c r="A1253" s="122">
        <v>46023</v>
      </c>
      <c r="B1253" s="113" t="s">
        <v>854</v>
      </c>
      <c r="C1253" s="256" t="s">
        <v>946</v>
      </c>
      <c r="D1253" s="135" t="s">
        <v>947</v>
      </c>
      <c r="E1253" s="135" t="s">
        <v>948</v>
      </c>
      <c r="F1253" s="117" t="s">
        <v>1212</v>
      </c>
      <c r="G1253" s="135" t="s">
        <v>741</v>
      </c>
      <c r="H1253" s="116" t="s">
        <v>833</v>
      </c>
      <c r="I1253" s="252">
        <v>20000</v>
      </c>
      <c r="J1253" s="139"/>
      <c r="K1253" s="252">
        <v>20000</v>
      </c>
      <c r="L1253" s="139">
        <v>20000</v>
      </c>
      <c r="M1253" s="139"/>
      <c r="N1253" s="131">
        <f t="shared" si="80"/>
        <v>0</v>
      </c>
      <c r="O1253" s="143" t="s">
        <v>1186</v>
      </c>
    </row>
    <row r="1254" s="87" customFormat="1" spans="1:15">
      <c r="A1254" s="122">
        <v>46023</v>
      </c>
      <c r="B1254" s="113" t="s">
        <v>854</v>
      </c>
      <c r="C1254" s="256" t="s">
        <v>946</v>
      </c>
      <c r="D1254" s="135" t="s">
        <v>947</v>
      </c>
      <c r="E1254" s="135" t="s">
        <v>948</v>
      </c>
      <c r="F1254" s="117" t="s">
        <v>1212</v>
      </c>
      <c r="G1254" s="135" t="s">
        <v>742</v>
      </c>
      <c r="H1254" s="116" t="s">
        <v>833</v>
      </c>
      <c r="I1254" s="252">
        <v>20000</v>
      </c>
      <c r="J1254" s="139"/>
      <c r="K1254" s="252">
        <v>20000</v>
      </c>
      <c r="L1254" s="139">
        <v>20000</v>
      </c>
      <c r="M1254" s="139"/>
      <c r="N1254" s="131">
        <f t="shared" si="80"/>
        <v>0</v>
      </c>
      <c r="O1254" s="143" t="s">
        <v>1186</v>
      </c>
    </row>
    <row r="1255" s="87" customFormat="1" spans="1:15">
      <c r="A1255" s="122">
        <v>46023</v>
      </c>
      <c r="B1255" s="113" t="s">
        <v>854</v>
      </c>
      <c r="C1255" s="256" t="s">
        <v>946</v>
      </c>
      <c r="D1255" s="135" t="s">
        <v>947</v>
      </c>
      <c r="E1255" s="135" t="s">
        <v>948</v>
      </c>
      <c r="F1255" s="117" t="s">
        <v>1212</v>
      </c>
      <c r="G1255" s="135" t="s">
        <v>743</v>
      </c>
      <c r="H1255" s="116" t="s">
        <v>833</v>
      </c>
      <c r="I1255" s="252">
        <v>20000</v>
      </c>
      <c r="J1255" s="139"/>
      <c r="K1255" s="252">
        <v>20000</v>
      </c>
      <c r="L1255" s="139">
        <v>20000</v>
      </c>
      <c r="M1255" s="139"/>
      <c r="N1255" s="131">
        <f t="shared" si="80"/>
        <v>0</v>
      </c>
      <c r="O1255" s="143" t="s">
        <v>1186</v>
      </c>
    </row>
    <row r="1256" s="87" customFormat="1" spans="1:16">
      <c r="A1256" s="122">
        <v>46023</v>
      </c>
      <c r="B1256" s="135"/>
      <c r="C1256" s="256" t="s">
        <v>972</v>
      </c>
      <c r="D1256" s="135" t="s">
        <v>973</v>
      </c>
      <c r="E1256" s="135" t="s">
        <v>974</v>
      </c>
      <c r="F1256" s="117" t="s">
        <v>1166</v>
      </c>
      <c r="G1256" s="135" t="s">
        <v>1174</v>
      </c>
      <c r="H1256" s="116" t="s">
        <v>833</v>
      </c>
      <c r="I1256" s="252">
        <v>1000</v>
      </c>
      <c r="J1256" s="139"/>
      <c r="K1256" s="252">
        <v>1000</v>
      </c>
      <c r="L1256" s="139">
        <v>1000</v>
      </c>
      <c r="M1256" s="139"/>
      <c r="N1256" s="131">
        <f t="shared" si="80"/>
        <v>0</v>
      </c>
      <c r="O1256" s="143" t="s">
        <v>1213</v>
      </c>
      <c r="P1256" s="135"/>
    </row>
    <row r="1257" s="87" customFormat="1" spans="1:16">
      <c r="A1257" s="122">
        <v>46023</v>
      </c>
      <c r="B1257" s="135"/>
      <c r="C1257" s="256" t="s">
        <v>972</v>
      </c>
      <c r="D1257" s="135" t="s">
        <v>973</v>
      </c>
      <c r="E1257" s="135" t="s">
        <v>974</v>
      </c>
      <c r="F1257" s="117" t="s">
        <v>1166</v>
      </c>
      <c r="G1257" s="135" t="s">
        <v>1176</v>
      </c>
      <c r="H1257" s="116" t="s">
        <v>833</v>
      </c>
      <c r="I1257" s="252">
        <v>1000</v>
      </c>
      <c r="J1257" s="139"/>
      <c r="K1257" s="252">
        <v>1000</v>
      </c>
      <c r="L1257" s="139">
        <v>1000</v>
      </c>
      <c r="M1257" s="139"/>
      <c r="N1257" s="131">
        <f t="shared" si="80"/>
        <v>0</v>
      </c>
      <c r="O1257" s="143" t="s">
        <v>1213</v>
      </c>
      <c r="P1257" s="135"/>
    </row>
    <row r="1258" s="87" customFormat="1" spans="1:16">
      <c r="A1258" s="122">
        <v>46023</v>
      </c>
      <c r="B1258" s="135"/>
      <c r="C1258" s="256" t="s">
        <v>972</v>
      </c>
      <c r="D1258" s="135" t="s">
        <v>973</v>
      </c>
      <c r="E1258" s="135" t="s">
        <v>974</v>
      </c>
      <c r="F1258" s="117" t="s">
        <v>1166</v>
      </c>
      <c r="G1258" s="135" t="s">
        <v>96</v>
      </c>
      <c r="H1258" s="116" t="s">
        <v>833</v>
      </c>
      <c r="I1258" s="252">
        <v>1000</v>
      </c>
      <c r="J1258" s="139"/>
      <c r="K1258" s="252">
        <v>1000</v>
      </c>
      <c r="L1258" s="139">
        <v>1000</v>
      </c>
      <c r="M1258" s="139"/>
      <c r="N1258" s="131">
        <f t="shared" si="80"/>
        <v>0</v>
      </c>
      <c r="O1258" s="143" t="s">
        <v>1213</v>
      </c>
      <c r="P1258" s="135"/>
    </row>
    <row r="1259" s="87" customFormat="1" spans="1:15">
      <c r="A1259" s="122">
        <v>46023</v>
      </c>
      <c r="B1259" s="165" t="s">
        <v>16</v>
      </c>
      <c r="C1259" s="256" t="s">
        <v>846</v>
      </c>
      <c r="D1259" s="135" t="s">
        <v>847</v>
      </c>
      <c r="E1259" s="135" t="s">
        <v>848</v>
      </c>
      <c r="F1259" s="117">
        <v>46038</v>
      </c>
      <c r="G1259" s="135" t="s">
        <v>1174</v>
      </c>
      <c r="H1259" s="116" t="s">
        <v>833</v>
      </c>
      <c r="I1259" s="252">
        <v>6000</v>
      </c>
      <c r="J1259" s="139"/>
      <c r="K1259" s="252">
        <v>6000</v>
      </c>
      <c r="L1259" s="139">
        <v>6000</v>
      </c>
      <c r="M1259" s="139"/>
      <c r="N1259" s="131">
        <f t="shared" si="80"/>
        <v>0</v>
      </c>
      <c r="O1259" s="143" t="s">
        <v>1186</v>
      </c>
    </row>
    <row r="1260" s="87" customFormat="1" spans="1:15">
      <c r="A1260" s="122">
        <v>46023</v>
      </c>
      <c r="B1260" s="165" t="s">
        <v>16</v>
      </c>
      <c r="C1260" s="256" t="s">
        <v>846</v>
      </c>
      <c r="D1260" s="135" t="s">
        <v>847</v>
      </c>
      <c r="E1260" s="135" t="s">
        <v>848</v>
      </c>
      <c r="F1260" s="117">
        <v>46038</v>
      </c>
      <c r="G1260" s="135" t="s">
        <v>1176</v>
      </c>
      <c r="H1260" s="116" t="s">
        <v>833</v>
      </c>
      <c r="I1260" s="252">
        <v>6000</v>
      </c>
      <c r="J1260" s="139"/>
      <c r="K1260" s="252">
        <v>6000</v>
      </c>
      <c r="L1260" s="139">
        <v>6000</v>
      </c>
      <c r="M1260" s="139"/>
      <c r="N1260" s="131">
        <f t="shared" si="80"/>
        <v>0</v>
      </c>
      <c r="O1260" s="143" t="s">
        <v>1186</v>
      </c>
    </row>
    <row r="1261" s="87" customFormat="1" spans="1:15">
      <c r="A1261" s="122">
        <v>46023</v>
      </c>
      <c r="B1261" s="165" t="s">
        <v>16</v>
      </c>
      <c r="C1261" s="256" t="s">
        <v>846</v>
      </c>
      <c r="D1261" s="135" t="s">
        <v>847</v>
      </c>
      <c r="E1261" s="135" t="s">
        <v>848</v>
      </c>
      <c r="F1261" s="117">
        <v>46038</v>
      </c>
      <c r="G1261" s="135" t="s">
        <v>96</v>
      </c>
      <c r="H1261" s="116" t="s">
        <v>833</v>
      </c>
      <c r="I1261" s="252">
        <v>6000</v>
      </c>
      <c r="J1261" s="139"/>
      <c r="K1261" s="252">
        <v>6000</v>
      </c>
      <c r="L1261" s="139">
        <v>6000</v>
      </c>
      <c r="M1261" s="139"/>
      <c r="N1261" s="131">
        <f t="shared" si="80"/>
        <v>0</v>
      </c>
      <c r="O1261" s="143" t="s">
        <v>1186</v>
      </c>
    </row>
    <row r="1262" s="87" customFormat="1" spans="1:16">
      <c r="A1262" s="122">
        <v>46023</v>
      </c>
      <c r="B1262" s="112" t="s">
        <v>16</v>
      </c>
      <c r="C1262" s="256" t="s">
        <v>858</v>
      </c>
      <c r="D1262" s="135" t="s">
        <v>859</v>
      </c>
      <c r="E1262" s="135" t="s">
        <v>860</v>
      </c>
      <c r="F1262" s="117">
        <v>46046</v>
      </c>
      <c r="G1262" s="135" t="s">
        <v>1214</v>
      </c>
      <c r="H1262" s="116" t="s">
        <v>833</v>
      </c>
      <c r="I1262" s="252">
        <v>17100</v>
      </c>
      <c r="J1262" s="139"/>
      <c r="K1262" s="252">
        <v>17100</v>
      </c>
      <c r="L1262" s="139">
        <v>17100</v>
      </c>
      <c r="M1262" s="139"/>
      <c r="N1262" s="131">
        <f t="shared" si="80"/>
        <v>0</v>
      </c>
      <c r="O1262" s="143" t="s">
        <v>1175</v>
      </c>
      <c r="P1262" s="135"/>
    </row>
    <row r="1263" s="87" customFormat="1" spans="1:15">
      <c r="A1263" s="122">
        <v>46023</v>
      </c>
      <c r="B1263" s="112" t="s">
        <v>16</v>
      </c>
      <c r="C1263" s="256" t="s">
        <v>876</v>
      </c>
      <c r="D1263" s="135" t="s">
        <v>877</v>
      </c>
      <c r="E1263" s="135" t="s">
        <v>878</v>
      </c>
      <c r="F1263" s="117" t="s">
        <v>1166</v>
      </c>
      <c r="G1263" s="135" t="s">
        <v>1174</v>
      </c>
      <c r="H1263" s="116" t="s">
        <v>833</v>
      </c>
      <c r="I1263" s="252">
        <v>5000</v>
      </c>
      <c r="J1263" s="139"/>
      <c r="K1263" s="252">
        <v>5000</v>
      </c>
      <c r="L1263" s="139">
        <v>5000</v>
      </c>
      <c r="M1263" s="139"/>
      <c r="N1263" s="131">
        <f t="shared" si="80"/>
        <v>0</v>
      </c>
      <c r="O1263" s="143" t="s">
        <v>1215</v>
      </c>
    </row>
    <row r="1264" s="87" customFormat="1" spans="1:15">
      <c r="A1264" s="122">
        <v>46023</v>
      </c>
      <c r="B1264" s="112" t="s">
        <v>16</v>
      </c>
      <c r="C1264" s="256" t="s">
        <v>876</v>
      </c>
      <c r="D1264" s="135" t="s">
        <v>877</v>
      </c>
      <c r="E1264" s="135" t="s">
        <v>878</v>
      </c>
      <c r="F1264" s="117" t="s">
        <v>1166</v>
      </c>
      <c r="G1264" s="135" t="s">
        <v>1176</v>
      </c>
      <c r="H1264" s="116" t="s">
        <v>833</v>
      </c>
      <c r="I1264" s="252">
        <v>5000</v>
      </c>
      <c r="J1264" s="139"/>
      <c r="K1264" s="252">
        <v>5000</v>
      </c>
      <c r="L1264" s="139">
        <v>5000</v>
      </c>
      <c r="M1264" s="139"/>
      <c r="N1264" s="131">
        <f t="shared" si="80"/>
        <v>0</v>
      </c>
      <c r="O1264" s="143" t="s">
        <v>1215</v>
      </c>
    </row>
    <row r="1265" s="87" customFormat="1" spans="1:15">
      <c r="A1265" s="122">
        <v>46023</v>
      </c>
      <c r="B1265" s="112" t="s">
        <v>16</v>
      </c>
      <c r="C1265" s="256" t="s">
        <v>876</v>
      </c>
      <c r="D1265" s="135" t="s">
        <v>877</v>
      </c>
      <c r="E1265" s="135" t="s">
        <v>878</v>
      </c>
      <c r="F1265" s="117" t="s">
        <v>1166</v>
      </c>
      <c r="G1265" s="135" t="s">
        <v>96</v>
      </c>
      <c r="H1265" s="116" t="s">
        <v>833</v>
      </c>
      <c r="I1265" s="252">
        <v>5000</v>
      </c>
      <c r="J1265" s="139"/>
      <c r="K1265" s="252">
        <v>5000</v>
      </c>
      <c r="L1265" s="139">
        <v>5000</v>
      </c>
      <c r="M1265" s="139"/>
      <c r="N1265" s="131">
        <f t="shared" si="80"/>
        <v>0</v>
      </c>
      <c r="O1265" s="143" t="s">
        <v>1216</v>
      </c>
    </row>
    <row r="1266" s="87" customFormat="1" spans="1:16">
      <c r="A1266" s="122">
        <v>46023</v>
      </c>
      <c r="B1266" s="135" t="s">
        <v>285</v>
      </c>
      <c r="C1266" s="256" t="s">
        <v>1217</v>
      </c>
      <c r="D1266" s="135" t="s">
        <v>445</v>
      </c>
      <c r="E1266" s="135" t="s">
        <v>446</v>
      </c>
      <c r="F1266" s="117" t="s">
        <v>1166</v>
      </c>
      <c r="G1266" s="135" t="s">
        <v>1176</v>
      </c>
      <c r="H1266" s="116" t="s">
        <v>833</v>
      </c>
      <c r="I1266" s="252">
        <v>10000</v>
      </c>
      <c r="J1266" s="139"/>
      <c r="K1266" s="252">
        <v>10000</v>
      </c>
      <c r="L1266" s="139">
        <v>10000</v>
      </c>
      <c r="M1266" s="139"/>
      <c r="N1266" s="131">
        <f t="shared" si="80"/>
        <v>0</v>
      </c>
      <c r="O1266" s="143" t="s">
        <v>1218</v>
      </c>
      <c r="P1266" s="135"/>
    </row>
    <row r="1267" s="87" customFormat="1" spans="1:16">
      <c r="A1267" s="122">
        <v>46023</v>
      </c>
      <c r="B1267" s="135" t="s">
        <v>285</v>
      </c>
      <c r="C1267" s="256" t="s">
        <v>1217</v>
      </c>
      <c r="D1267" s="135" t="s">
        <v>445</v>
      </c>
      <c r="E1267" s="135" t="s">
        <v>446</v>
      </c>
      <c r="F1267" s="117" t="s">
        <v>1166</v>
      </c>
      <c r="G1267" s="135" t="s">
        <v>96</v>
      </c>
      <c r="H1267" s="116" t="s">
        <v>833</v>
      </c>
      <c r="I1267" s="252">
        <v>10000</v>
      </c>
      <c r="J1267" s="139"/>
      <c r="K1267" s="252">
        <v>10000</v>
      </c>
      <c r="L1267" s="139">
        <v>10000</v>
      </c>
      <c r="M1267" s="139"/>
      <c r="N1267" s="131">
        <f t="shared" si="80"/>
        <v>0</v>
      </c>
      <c r="O1267" s="143" t="s">
        <v>1218</v>
      </c>
      <c r="P1267" s="135"/>
    </row>
    <row r="1268" s="87" customFormat="1" spans="1:16">
      <c r="A1268" s="122">
        <v>46023</v>
      </c>
      <c r="B1268" s="165" t="s">
        <v>285</v>
      </c>
      <c r="C1268" s="256" t="s">
        <v>897</v>
      </c>
      <c r="D1268" s="135" t="s">
        <v>898</v>
      </c>
      <c r="E1268" s="135" t="s">
        <v>899</v>
      </c>
      <c r="F1268" s="117" t="s">
        <v>1166</v>
      </c>
      <c r="G1268" s="135" t="s">
        <v>1174</v>
      </c>
      <c r="H1268" s="116" t="s">
        <v>833</v>
      </c>
      <c r="I1268" s="252">
        <v>4325</v>
      </c>
      <c r="J1268" s="139"/>
      <c r="K1268" s="252">
        <v>4325</v>
      </c>
      <c r="L1268" s="139">
        <v>4325</v>
      </c>
      <c r="M1268" s="139"/>
      <c r="N1268" s="131">
        <f t="shared" si="80"/>
        <v>0</v>
      </c>
      <c r="O1268" s="143" t="s">
        <v>1219</v>
      </c>
      <c r="P1268" s="135"/>
    </row>
    <row r="1269" s="87" customFormat="1" spans="1:16">
      <c r="A1269" s="122">
        <v>46023</v>
      </c>
      <c r="B1269" s="165" t="s">
        <v>285</v>
      </c>
      <c r="C1269" s="256" t="s">
        <v>897</v>
      </c>
      <c r="D1269" s="135" t="s">
        <v>898</v>
      </c>
      <c r="E1269" s="135" t="s">
        <v>899</v>
      </c>
      <c r="F1269" s="117" t="s">
        <v>1166</v>
      </c>
      <c r="G1269" s="135" t="s">
        <v>1176</v>
      </c>
      <c r="H1269" s="116" t="s">
        <v>833</v>
      </c>
      <c r="I1269" s="252">
        <v>4325</v>
      </c>
      <c r="J1269" s="139"/>
      <c r="K1269" s="252">
        <v>4325</v>
      </c>
      <c r="L1269" s="139">
        <v>4325</v>
      </c>
      <c r="M1269" s="139"/>
      <c r="N1269" s="131">
        <f t="shared" si="80"/>
        <v>0</v>
      </c>
      <c r="O1269" s="143" t="s">
        <v>1219</v>
      </c>
      <c r="P1269" s="135"/>
    </row>
    <row r="1270" s="87" customFormat="1" spans="1:16">
      <c r="A1270" s="122">
        <v>46023</v>
      </c>
      <c r="B1270" s="165" t="s">
        <v>285</v>
      </c>
      <c r="C1270" s="256" t="s">
        <v>897</v>
      </c>
      <c r="D1270" s="135" t="s">
        <v>898</v>
      </c>
      <c r="E1270" s="135" t="s">
        <v>899</v>
      </c>
      <c r="F1270" s="117" t="s">
        <v>1166</v>
      </c>
      <c r="G1270" s="135" t="s">
        <v>96</v>
      </c>
      <c r="H1270" s="116" t="s">
        <v>833</v>
      </c>
      <c r="I1270" s="252">
        <v>4325</v>
      </c>
      <c r="J1270" s="139"/>
      <c r="K1270" s="252">
        <v>4325</v>
      </c>
      <c r="L1270" s="139">
        <v>4325</v>
      </c>
      <c r="M1270" s="139"/>
      <c r="N1270" s="131">
        <f t="shared" si="80"/>
        <v>0</v>
      </c>
      <c r="O1270" s="143" t="s">
        <v>1219</v>
      </c>
      <c r="P1270" s="135"/>
    </row>
    <row r="1271" s="87" customFormat="1" spans="1:15">
      <c r="A1271" s="122">
        <v>46023</v>
      </c>
      <c r="B1271" s="135" t="s">
        <v>909</v>
      </c>
      <c r="C1271" s="256" t="s">
        <v>910</v>
      </c>
      <c r="D1271" s="135" t="s">
        <v>553</v>
      </c>
      <c r="E1271" s="135" t="s">
        <v>554</v>
      </c>
      <c r="F1271" s="117" t="s">
        <v>1166</v>
      </c>
      <c r="G1271" s="135" t="s">
        <v>96</v>
      </c>
      <c r="H1271" s="116" t="s">
        <v>833</v>
      </c>
      <c r="I1271" s="252">
        <v>500</v>
      </c>
      <c r="J1271" s="139"/>
      <c r="K1271" s="252">
        <v>500</v>
      </c>
      <c r="L1271" s="139">
        <v>500</v>
      </c>
      <c r="M1271" s="139"/>
      <c r="N1271" s="131">
        <f t="shared" si="80"/>
        <v>0</v>
      </c>
      <c r="O1271" s="143" t="s">
        <v>914</v>
      </c>
    </row>
    <row r="1272" s="87" customFormat="1" spans="1:15">
      <c r="A1272" s="122">
        <v>46023</v>
      </c>
      <c r="B1272" s="135"/>
      <c r="C1272" s="256" t="s">
        <v>915</v>
      </c>
      <c r="D1272" s="135" t="s">
        <v>916</v>
      </c>
      <c r="E1272" s="135" t="s">
        <v>917</v>
      </c>
      <c r="F1272" s="117" t="s">
        <v>1166</v>
      </c>
      <c r="G1272" s="135" t="s">
        <v>1174</v>
      </c>
      <c r="H1272" s="116" t="s">
        <v>833</v>
      </c>
      <c r="I1272" s="252">
        <v>5000</v>
      </c>
      <c r="J1272" s="139"/>
      <c r="K1272" s="252">
        <v>5000</v>
      </c>
      <c r="L1272" s="139">
        <v>5000</v>
      </c>
      <c r="M1272" s="139"/>
      <c r="N1272" s="131">
        <f t="shared" si="80"/>
        <v>0</v>
      </c>
      <c r="O1272" s="143" t="s">
        <v>1220</v>
      </c>
    </row>
    <row r="1273" s="87" customFormat="1" spans="1:15">
      <c r="A1273" s="122">
        <v>46023</v>
      </c>
      <c r="B1273" s="135"/>
      <c r="C1273" s="256" t="s">
        <v>915</v>
      </c>
      <c r="D1273" s="135" t="s">
        <v>916</v>
      </c>
      <c r="E1273" s="135" t="s">
        <v>917</v>
      </c>
      <c r="F1273" s="117" t="s">
        <v>1166</v>
      </c>
      <c r="G1273" s="135" t="s">
        <v>1176</v>
      </c>
      <c r="H1273" s="116" t="s">
        <v>833</v>
      </c>
      <c r="I1273" s="252">
        <v>5000</v>
      </c>
      <c r="J1273" s="139"/>
      <c r="K1273" s="252">
        <v>5000</v>
      </c>
      <c r="L1273" s="139">
        <v>5000</v>
      </c>
      <c r="M1273" s="139"/>
      <c r="N1273" s="131">
        <f t="shared" si="80"/>
        <v>0</v>
      </c>
      <c r="O1273" s="143" t="s">
        <v>1221</v>
      </c>
    </row>
    <row r="1274" s="87" customFormat="1" spans="1:15">
      <c r="A1274" s="122">
        <v>46023</v>
      </c>
      <c r="B1274" s="135"/>
      <c r="C1274" s="256" t="s">
        <v>915</v>
      </c>
      <c r="D1274" s="135" t="s">
        <v>916</v>
      </c>
      <c r="E1274" s="135" t="s">
        <v>917</v>
      </c>
      <c r="F1274" s="117" t="s">
        <v>1166</v>
      </c>
      <c r="G1274" s="135" t="s">
        <v>96</v>
      </c>
      <c r="H1274" s="116" t="s">
        <v>833</v>
      </c>
      <c r="I1274" s="252">
        <v>5000</v>
      </c>
      <c r="J1274" s="139"/>
      <c r="K1274" s="252">
        <v>5000</v>
      </c>
      <c r="L1274" s="139">
        <v>5000</v>
      </c>
      <c r="M1274" s="139"/>
      <c r="N1274" s="131">
        <f t="shared" si="80"/>
        <v>0</v>
      </c>
      <c r="O1274" s="143" t="s">
        <v>1092</v>
      </c>
    </row>
    <row r="1275" s="87" customFormat="1" spans="1:16">
      <c r="A1275" s="122">
        <v>46023</v>
      </c>
      <c r="B1275" s="135"/>
      <c r="C1275" s="256" t="s">
        <v>920</v>
      </c>
      <c r="D1275" s="135" t="s">
        <v>921</v>
      </c>
      <c r="E1275" s="135" t="s">
        <v>922</v>
      </c>
      <c r="F1275" s="117" t="s">
        <v>1166</v>
      </c>
      <c r="G1275" s="135" t="s">
        <v>1174</v>
      </c>
      <c r="H1275" s="116" t="s">
        <v>833</v>
      </c>
      <c r="I1275" s="252">
        <v>6273</v>
      </c>
      <c r="J1275" s="139"/>
      <c r="K1275" s="252">
        <v>6273</v>
      </c>
      <c r="L1275" s="139">
        <v>6273</v>
      </c>
      <c r="M1275" s="139"/>
      <c r="N1275" s="131">
        <f t="shared" si="80"/>
        <v>0</v>
      </c>
      <c r="O1275" s="143" t="s">
        <v>1222</v>
      </c>
      <c r="P1275" s="135"/>
    </row>
    <row r="1276" s="87" customFormat="1" spans="1:16">
      <c r="A1276" s="122">
        <v>46023</v>
      </c>
      <c r="B1276" s="135"/>
      <c r="C1276" s="256" t="s">
        <v>920</v>
      </c>
      <c r="D1276" s="135" t="s">
        <v>921</v>
      </c>
      <c r="E1276" s="135" t="s">
        <v>922</v>
      </c>
      <c r="F1276" s="117" t="s">
        <v>1166</v>
      </c>
      <c r="G1276" s="135" t="s">
        <v>1176</v>
      </c>
      <c r="H1276" s="116" t="s">
        <v>833</v>
      </c>
      <c r="I1276" s="252">
        <v>6273</v>
      </c>
      <c r="J1276" s="139"/>
      <c r="K1276" s="252">
        <v>6273</v>
      </c>
      <c r="L1276" s="139">
        <v>6273</v>
      </c>
      <c r="M1276" s="139"/>
      <c r="N1276" s="131">
        <f t="shared" si="80"/>
        <v>0</v>
      </c>
      <c r="O1276" s="143" t="s">
        <v>1222</v>
      </c>
      <c r="P1276" s="135"/>
    </row>
    <row r="1277" s="87" customFormat="1" spans="1:16">
      <c r="A1277" s="122">
        <v>46023</v>
      </c>
      <c r="B1277" s="135"/>
      <c r="C1277" s="256" t="s">
        <v>920</v>
      </c>
      <c r="D1277" s="135" t="s">
        <v>921</v>
      </c>
      <c r="E1277" s="135" t="s">
        <v>922</v>
      </c>
      <c r="F1277" s="117" t="s">
        <v>1166</v>
      </c>
      <c r="G1277" s="135" t="s">
        <v>96</v>
      </c>
      <c r="H1277" s="116" t="s">
        <v>833</v>
      </c>
      <c r="I1277" s="252">
        <v>6273</v>
      </c>
      <c r="J1277" s="139"/>
      <c r="K1277" s="252">
        <v>6273</v>
      </c>
      <c r="L1277" s="136">
        <f>1362+4911</f>
        <v>6273</v>
      </c>
      <c r="M1277" s="139"/>
      <c r="N1277" s="131">
        <f t="shared" si="80"/>
        <v>0</v>
      </c>
      <c r="O1277" s="114" t="s">
        <v>1223</v>
      </c>
      <c r="P1277" s="135"/>
    </row>
    <row r="1278" s="87" customFormat="1" spans="1:16">
      <c r="A1278" s="122">
        <v>46023</v>
      </c>
      <c r="B1278" s="121" t="s">
        <v>930</v>
      </c>
      <c r="C1278" s="256" t="s">
        <v>931</v>
      </c>
      <c r="D1278" s="135" t="s">
        <v>1224</v>
      </c>
      <c r="E1278" s="135" t="s">
        <v>933</v>
      </c>
      <c r="F1278" s="117" t="s">
        <v>1166</v>
      </c>
      <c r="G1278" s="135" t="s">
        <v>1174</v>
      </c>
      <c r="H1278" s="116" t="s">
        <v>833</v>
      </c>
      <c r="I1278" s="252">
        <v>1300</v>
      </c>
      <c r="J1278" s="139"/>
      <c r="K1278" s="252">
        <v>1300</v>
      </c>
      <c r="L1278" s="139">
        <v>1300</v>
      </c>
      <c r="M1278" s="139"/>
      <c r="N1278" s="131">
        <f t="shared" si="80"/>
        <v>0</v>
      </c>
      <c r="O1278" s="143" t="s">
        <v>1175</v>
      </c>
      <c r="P1278" s="135"/>
    </row>
    <row r="1279" s="87" customFormat="1" spans="1:16">
      <c r="A1279" s="122">
        <v>46023</v>
      </c>
      <c r="B1279" s="121" t="s">
        <v>930</v>
      </c>
      <c r="C1279" s="256" t="s">
        <v>931</v>
      </c>
      <c r="D1279" s="135" t="s">
        <v>1224</v>
      </c>
      <c r="E1279" s="135" t="s">
        <v>933</v>
      </c>
      <c r="F1279" s="117" t="s">
        <v>1166</v>
      </c>
      <c r="G1279" s="135" t="s">
        <v>1176</v>
      </c>
      <c r="H1279" s="116" t="s">
        <v>833</v>
      </c>
      <c r="I1279" s="252">
        <v>1300</v>
      </c>
      <c r="J1279" s="139"/>
      <c r="K1279" s="252">
        <v>1300</v>
      </c>
      <c r="L1279" s="139">
        <v>1300</v>
      </c>
      <c r="M1279" s="139"/>
      <c r="N1279" s="131">
        <f t="shared" si="80"/>
        <v>0</v>
      </c>
      <c r="O1279" s="143" t="s">
        <v>1175</v>
      </c>
      <c r="P1279" s="135"/>
    </row>
    <row r="1280" s="87" customFormat="1" spans="1:16">
      <c r="A1280" s="122">
        <v>46023</v>
      </c>
      <c r="B1280" s="121" t="s">
        <v>930</v>
      </c>
      <c r="C1280" s="256" t="s">
        <v>931</v>
      </c>
      <c r="D1280" s="135" t="s">
        <v>1224</v>
      </c>
      <c r="E1280" s="135" t="s">
        <v>933</v>
      </c>
      <c r="F1280" s="117" t="s">
        <v>1166</v>
      </c>
      <c r="G1280" s="135" t="s">
        <v>96</v>
      </c>
      <c r="H1280" s="116" t="s">
        <v>833</v>
      </c>
      <c r="I1280" s="252">
        <v>1300</v>
      </c>
      <c r="J1280" s="139"/>
      <c r="K1280" s="252">
        <v>1300</v>
      </c>
      <c r="L1280" s="139">
        <v>1300</v>
      </c>
      <c r="M1280" s="139"/>
      <c r="N1280" s="131">
        <f t="shared" si="80"/>
        <v>0</v>
      </c>
      <c r="O1280" s="143" t="s">
        <v>1175</v>
      </c>
      <c r="P1280" s="135"/>
    </row>
    <row r="1281" s="87" customFormat="1" spans="1:15">
      <c r="A1281" s="122">
        <v>46023</v>
      </c>
      <c r="B1281" s="135"/>
      <c r="C1281" s="256" t="s">
        <v>963</v>
      </c>
      <c r="D1281" s="135" t="s">
        <v>964</v>
      </c>
      <c r="E1281" s="135" t="s">
        <v>965</v>
      </c>
      <c r="F1281" s="117" t="s">
        <v>1166</v>
      </c>
      <c r="G1281" s="135" t="s">
        <v>1174</v>
      </c>
      <c r="H1281" s="116" t="s">
        <v>833</v>
      </c>
      <c r="I1281" s="252">
        <v>6250</v>
      </c>
      <c r="J1281" s="139"/>
      <c r="K1281" s="252">
        <v>6250</v>
      </c>
      <c r="L1281" s="139">
        <v>6250</v>
      </c>
      <c r="M1281" s="139"/>
      <c r="N1281" s="131">
        <f t="shared" si="80"/>
        <v>0</v>
      </c>
      <c r="O1281" s="143" t="s">
        <v>573</v>
      </c>
    </row>
    <row r="1282" s="87" customFormat="1" spans="1:15">
      <c r="A1282" s="122">
        <v>46023</v>
      </c>
      <c r="B1282" s="135"/>
      <c r="C1282" s="256" t="s">
        <v>963</v>
      </c>
      <c r="D1282" s="135" t="s">
        <v>964</v>
      </c>
      <c r="E1282" s="135" t="s">
        <v>965</v>
      </c>
      <c r="F1282" s="117" t="s">
        <v>1166</v>
      </c>
      <c r="G1282" s="135" t="s">
        <v>1176</v>
      </c>
      <c r="H1282" s="116" t="s">
        <v>833</v>
      </c>
      <c r="I1282" s="252">
        <v>6250</v>
      </c>
      <c r="J1282" s="139"/>
      <c r="K1282" s="252">
        <v>6250</v>
      </c>
      <c r="L1282" s="139">
        <v>6250</v>
      </c>
      <c r="M1282" s="139"/>
      <c r="N1282" s="131">
        <f t="shared" si="80"/>
        <v>0</v>
      </c>
      <c r="O1282" s="143" t="s">
        <v>573</v>
      </c>
    </row>
    <row r="1283" s="87" customFormat="1" spans="1:15">
      <c r="A1283" s="122">
        <v>46023</v>
      </c>
      <c r="B1283" s="135"/>
      <c r="C1283" s="256" t="s">
        <v>963</v>
      </c>
      <c r="D1283" s="135" t="s">
        <v>964</v>
      </c>
      <c r="E1283" s="135" t="s">
        <v>965</v>
      </c>
      <c r="F1283" s="117" t="s">
        <v>1166</v>
      </c>
      <c r="G1283" s="135" t="s">
        <v>96</v>
      </c>
      <c r="H1283" s="116" t="s">
        <v>833</v>
      </c>
      <c r="I1283" s="252">
        <v>6250</v>
      </c>
      <c r="J1283" s="139"/>
      <c r="K1283" s="252">
        <v>6250</v>
      </c>
      <c r="L1283" s="139">
        <v>6250</v>
      </c>
      <c r="M1283" s="139"/>
      <c r="N1283" s="131">
        <f t="shared" si="80"/>
        <v>0</v>
      </c>
      <c r="O1283" s="143" t="s">
        <v>573</v>
      </c>
    </row>
    <row r="1284" s="87" customFormat="1" spans="1:15">
      <c r="A1284" s="122">
        <v>46023</v>
      </c>
      <c r="B1284" s="112" t="s">
        <v>491</v>
      </c>
      <c r="C1284" s="256" t="s">
        <v>997</v>
      </c>
      <c r="D1284" s="135" t="s">
        <v>998</v>
      </c>
      <c r="E1284" s="135" t="s">
        <v>895</v>
      </c>
      <c r="F1284" s="117" t="s">
        <v>1225</v>
      </c>
      <c r="G1284" s="135" t="s">
        <v>38</v>
      </c>
      <c r="H1284" s="116" t="s">
        <v>833</v>
      </c>
      <c r="I1284" s="252">
        <v>1200</v>
      </c>
      <c r="J1284" s="139"/>
      <c r="K1284" s="252">
        <v>1200</v>
      </c>
      <c r="L1284" s="139">
        <v>1200</v>
      </c>
      <c r="M1284" s="139"/>
      <c r="N1284" s="131">
        <f t="shared" si="80"/>
        <v>0</v>
      </c>
      <c r="O1284" s="143" t="s">
        <v>1226</v>
      </c>
    </row>
    <row r="1285" s="87" customFormat="1" spans="1:15">
      <c r="A1285" s="122">
        <v>46023</v>
      </c>
      <c r="B1285" s="112" t="s">
        <v>491</v>
      </c>
      <c r="C1285" s="256" t="s">
        <v>997</v>
      </c>
      <c r="D1285" s="135" t="s">
        <v>998</v>
      </c>
      <c r="E1285" s="135" t="s">
        <v>895</v>
      </c>
      <c r="F1285" s="117" t="s">
        <v>1225</v>
      </c>
      <c r="G1285" s="135" t="s">
        <v>39</v>
      </c>
      <c r="H1285" s="116" t="s">
        <v>833</v>
      </c>
      <c r="I1285" s="252">
        <v>1200</v>
      </c>
      <c r="J1285" s="139"/>
      <c r="K1285" s="252">
        <v>1200</v>
      </c>
      <c r="L1285" s="139">
        <v>1200</v>
      </c>
      <c r="M1285" s="139"/>
      <c r="N1285" s="131">
        <f t="shared" si="80"/>
        <v>0</v>
      </c>
      <c r="O1285" s="143" t="s">
        <v>1226</v>
      </c>
    </row>
    <row r="1286" s="87" customFormat="1" spans="1:15">
      <c r="A1286" s="122">
        <v>46023</v>
      </c>
      <c r="B1286" s="112" t="s">
        <v>491</v>
      </c>
      <c r="C1286" s="256" t="s">
        <v>997</v>
      </c>
      <c r="D1286" s="135" t="s">
        <v>998</v>
      </c>
      <c r="E1286" s="135" t="s">
        <v>895</v>
      </c>
      <c r="F1286" s="117" t="s">
        <v>1225</v>
      </c>
      <c r="G1286" s="135" t="s">
        <v>40</v>
      </c>
      <c r="H1286" s="116" t="s">
        <v>833</v>
      </c>
      <c r="I1286" s="252">
        <v>1200</v>
      </c>
      <c r="J1286" s="139"/>
      <c r="K1286" s="252">
        <v>1200</v>
      </c>
      <c r="L1286" s="139">
        <v>1200</v>
      </c>
      <c r="M1286" s="139"/>
      <c r="N1286" s="131">
        <f t="shared" si="80"/>
        <v>0</v>
      </c>
      <c r="O1286" s="143" t="s">
        <v>1226</v>
      </c>
    </row>
    <row r="1287" s="87" customFormat="1" spans="1:15">
      <c r="A1287" s="122">
        <v>46023</v>
      </c>
      <c r="B1287" s="135"/>
      <c r="C1287" s="256" t="s">
        <v>1003</v>
      </c>
      <c r="D1287" s="135" t="s">
        <v>1004</v>
      </c>
      <c r="E1287" s="135" t="s">
        <v>1005</v>
      </c>
      <c r="F1287" s="117">
        <v>46038</v>
      </c>
      <c r="G1287" s="135" t="s">
        <v>96</v>
      </c>
      <c r="H1287" s="116" t="s">
        <v>833</v>
      </c>
      <c r="I1287" s="252">
        <v>2500</v>
      </c>
      <c r="J1287" s="139"/>
      <c r="K1287" s="252">
        <v>2500</v>
      </c>
      <c r="L1287" s="139">
        <v>2500</v>
      </c>
      <c r="M1287" s="139"/>
      <c r="N1287" s="131">
        <f t="shared" si="80"/>
        <v>0</v>
      </c>
      <c r="O1287" s="143" t="s">
        <v>1175</v>
      </c>
    </row>
    <row r="1288" s="87" customFormat="1" spans="1:15">
      <c r="A1288" s="122">
        <v>46023</v>
      </c>
      <c r="B1288" s="116" t="s">
        <v>854</v>
      </c>
      <c r="C1288" s="256" t="s">
        <v>851</v>
      </c>
      <c r="D1288" s="135" t="s">
        <v>287</v>
      </c>
      <c r="E1288" s="135" t="s">
        <v>852</v>
      </c>
      <c r="F1288" s="117">
        <v>46038</v>
      </c>
      <c r="G1288" s="135" t="s">
        <v>96</v>
      </c>
      <c r="H1288" s="116" t="s">
        <v>833</v>
      </c>
      <c r="I1288" s="252">
        <v>800</v>
      </c>
      <c r="J1288" s="139"/>
      <c r="K1288" s="252">
        <v>800</v>
      </c>
      <c r="L1288" s="139">
        <v>800</v>
      </c>
      <c r="M1288" s="139"/>
      <c r="N1288" s="131">
        <f t="shared" si="80"/>
        <v>0</v>
      </c>
      <c r="O1288" s="143" t="s">
        <v>1170</v>
      </c>
    </row>
    <row r="1289" s="89" customFormat="1" spans="1:17">
      <c r="A1289" s="122">
        <v>45931</v>
      </c>
      <c r="B1289" s="116" t="s">
        <v>16</v>
      </c>
      <c r="C1289" s="78" t="s">
        <v>264</v>
      </c>
      <c r="D1289" s="116" t="s">
        <v>265</v>
      </c>
      <c r="E1289" s="116" t="s">
        <v>266</v>
      </c>
      <c r="F1289" s="117">
        <v>46007</v>
      </c>
      <c r="G1289" s="116" t="s">
        <v>1227</v>
      </c>
      <c r="H1289" s="116" t="s">
        <v>21</v>
      </c>
      <c r="I1289" s="139">
        <v>49028.93</v>
      </c>
      <c r="J1289" s="139">
        <v>0</v>
      </c>
      <c r="K1289" s="139">
        <f t="shared" ref="K1289:K1294" si="81">I1289-J1289</f>
        <v>49028.93</v>
      </c>
      <c r="L1289" s="139">
        <v>49028.93</v>
      </c>
      <c r="M1289" s="139"/>
      <c r="N1289" s="131">
        <f t="shared" si="80"/>
        <v>0</v>
      </c>
      <c r="O1289" s="143" t="s">
        <v>1054</v>
      </c>
      <c r="P1289" s="280"/>
      <c r="Q1289" s="89" t="s">
        <v>51</v>
      </c>
    </row>
    <row r="1290" s="89" customFormat="1" spans="1:17">
      <c r="A1290" s="122">
        <v>45931</v>
      </c>
      <c r="B1290" s="116" t="s">
        <v>16</v>
      </c>
      <c r="C1290" s="78" t="s">
        <v>264</v>
      </c>
      <c r="D1290" s="116" t="s">
        <v>265</v>
      </c>
      <c r="E1290" s="116" t="s">
        <v>266</v>
      </c>
      <c r="F1290" s="117">
        <v>46007</v>
      </c>
      <c r="G1290" s="116" t="s">
        <v>1227</v>
      </c>
      <c r="H1290" s="116" t="s">
        <v>23</v>
      </c>
      <c r="I1290" s="139">
        <v>24016.67</v>
      </c>
      <c r="J1290" s="139">
        <v>0</v>
      </c>
      <c r="K1290" s="139">
        <f t="shared" si="81"/>
        <v>24016.67</v>
      </c>
      <c r="L1290" s="139">
        <v>24016.67</v>
      </c>
      <c r="M1290" s="139"/>
      <c r="N1290" s="131">
        <f t="shared" si="80"/>
        <v>0</v>
      </c>
      <c r="O1290" s="143" t="s">
        <v>1054</v>
      </c>
      <c r="P1290" s="280"/>
      <c r="Q1290" s="89" t="s">
        <v>51</v>
      </c>
    </row>
    <row r="1291" s="89" customFormat="1" spans="1:16">
      <c r="A1291" s="122">
        <v>45931</v>
      </c>
      <c r="B1291" s="116" t="s">
        <v>16</v>
      </c>
      <c r="C1291" s="78" t="s">
        <v>264</v>
      </c>
      <c r="D1291" s="116" t="s">
        <v>265</v>
      </c>
      <c r="E1291" s="116" t="s">
        <v>266</v>
      </c>
      <c r="F1291" s="117">
        <v>46007</v>
      </c>
      <c r="G1291" s="116" t="s">
        <v>1162</v>
      </c>
      <c r="H1291" s="116" t="s">
        <v>30</v>
      </c>
      <c r="I1291" s="139">
        <v>3000</v>
      </c>
      <c r="J1291" s="139"/>
      <c r="K1291" s="139">
        <f t="shared" si="81"/>
        <v>3000</v>
      </c>
      <c r="L1291" s="139">
        <v>3000</v>
      </c>
      <c r="M1291" s="139"/>
      <c r="N1291" s="131">
        <f t="shared" si="80"/>
        <v>0</v>
      </c>
      <c r="O1291" s="143" t="s">
        <v>1054</v>
      </c>
      <c r="P1291" s="280"/>
    </row>
    <row r="1292" s="89" customFormat="1" spans="1:17">
      <c r="A1292" s="122">
        <v>46023</v>
      </c>
      <c r="B1292" s="116" t="s">
        <v>491</v>
      </c>
      <c r="C1292" s="78" t="s">
        <v>1007</v>
      </c>
      <c r="D1292" s="116" t="s">
        <v>550</v>
      </c>
      <c r="E1292" s="116" t="s">
        <v>551</v>
      </c>
      <c r="F1292" s="117">
        <v>46038</v>
      </c>
      <c r="G1292" s="116" t="s">
        <v>1228</v>
      </c>
      <c r="H1292" s="116" t="s">
        <v>833</v>
      </c>
      <c r="I1292" s="139">
        <v>6000</v>
      </c>
      <c r="J1292" s="139">
        <v>0</v>
      </c>
      <c r="K1292" s="139">
        <f t="shared" si="81"/>
        <v>6000</v>
      </c>
      <c r="L1292" s="139">
        <v>6000</v>
      </c>
      <c r="M1292" s="139"/>
      <c r="N1292" s="131">
        <f t="shared" si="80"/>
        <v>0</v>
      </c>
      <c r="O1292" s="143" t="s">
        <v>1229</v>
      </c>
      <c r="P1292" s="280" t="s">
        <v>1143</v>
      </c>
      <c r="Q1292" s="89" t="s">
        <v>51</v>
      </c>
    </row>
    <row r="1293" s="89" customFormat="1" spans="1:17">
      <c r="A1293" s="122">
        <v>45992</v>
      </c>
      <c r="B1293" s="116" t="s">
        <v>16</v>
      </c>
      <c r="C1293" s="78" t="s">
        <v>881</v>
      </c>
      <c r="D1293" s="116" t="s">
        <v>1230</v>
      </c>
      <c r="E1293" s="116" t="s">
        <v>1231</v>
      </c>
      <c r="F1293" s="117">
        <v>46038</v>
      </c>
      <c r="G1293" s="116" t="s">
        <v>1232</v>
      </c>
      <c r="H1293" s="116" t="s">
        <v>833</v>
      </c>
      <c r="I1293" s="139">
        <v>40800</v>
      </c>
      <c r="J1293" s="139">
        <v>0</v>
      </c>
      <c r="K1293" s="139">
        <f t="shared" si="81"/>
        <v>40800</v>
      </c>
      <c r="L1293" s="139">
        <v>40800</v>
      </c>
      <c r="M1293" s="139"/>
      <c r="N1293" s="131">
        <f t="shared" si="80"/>
        <v>0</v>
      </c>
      <c r="O1293" s="143" t="s">
        <v>1233</v>
      </c>
      <c r="P1293" s="280"/>
      <c r="Q1293" s="89" t="s">
        <v>51</v>
      </c>
    </row>
    <row r="1294" s="89" customFormat="1" spans="1:17">
      <c r="A1294" s="122">
        <v>45992</v>
      </c>
      <c r="B1294" s="116" t="s">
        <v>16</v>
      </c>
      <c r="C1294" s="78" t="s">
        <v>881</v>
      </c>
      <c r="D1294" s="116" t="s">
        <v>1230</v>
      </c>
      <c r="E1294" s="116" t="s">
        <v>1231</v>
      </c>
      <c r="F1294" s="117">
        <v>46038</v>
      </c>
      <c r="G1294" s="116" t="s">
        <v>1234</v>
      </c>
      <c r="H1294" s="116" t="s">
        <v>30</v>
      </c>
      <c r="I1294" s="139">
        <v>3000</v>
      </c>
      <c r="J1294" s="139">
        <v>0</v>
      </c>
      <c r="K1294" s="139">
        <f t="shared" si="81"/>
        <v>3000</v>
      </c>
      <c r="L1294" s="139">
        <v>3000</v>
      </c>
      <c r="M1294" s="139"/>
      <c r="N1294" s="131">
        <f t="shared" si="80"/>
        <v>0</v>
      </c>
      <c r="O1294" s="143" t="s">
        <v>1235</v>
      </c>
      <c r="P1294" s="280"/>
      <c r="Q1294" s="89" t="s">
        <v>51</v>
      </c>
    </row>
    <row r="1295" s="89" customFormat="1" spans="1:16">
      <c r="A1295" s="122">
        <v>45962</v>
      </c>
      <c r="B1295" s="116" t="s">
        <v>491</v>
      </c>
      <c r="C1295" s="78" t="s">
        <v>1236</v>
      </c>
      <c r="D1295" s="116" t="s">
        <v>1237</v>
      </c>
      <c r="E1295" s="116" t="s">
        <v>1238</v>
      </c>
      <c r="F1295" s="117">
        <v>46038</v>
      </c>
      <c r="G1295" s="116" t="s">
        <v>96</v>
      </c>
      <c r="H1295" s="116" t="s">
        <v>21</v>
      </c>
      <c r="I1295" s="139">
        <v>10000</v>
      </c>
      <c r="J1295" s="139"/>
      <c r="K1295" s="139">
        <v>10000</v>
      </c>
      <c r="L1295" s="139">
        <v>10000</v>
      </c>
      <c r="M1295" s="139"/>
      <c r="N1295" s="131">
        <f t="shared" si="80"/>
        <v>0</v>
      </c>
      <c r="O1295" s="143" t="s">
        <v>1239</v>
      </c>
      <c r="P1295" s="280"/>
    </row>
    <row r="1296" s="89" customFormat="1" spans="1:16">
      <c r="A1296" s="122">
        <v>45962</v>
      </c>
      <c r="B1296" s="116" t="s">
        <v>491</v>
      </c>
      <c r="C1296" s="78" t="s">
        <v>1236</v>
      </c>
      <c r="D1296" s="116" t="s">
        <v>1237</v>
      </c>
      <c r="E1296" s="116" t="s">
        <v>1238</v>
      </c>
      <c r="F1296" s="117">
        <v>46038</v>
      </c>
      <c r="G1296" s="116" t="s">
        <v>96</v>
      </c>
      <c r="H1296" s="116" t="s">
        <v>23</v>
      </c>
      <c r="I1296" s="139">
        <v>10000</v>
      </c>
      <c r="J1296" s="139"/>
      <c r="K1296" s="139">
        <v>10000</v>
      </c>
      <c r="L1296" s="139">
        <v>10000</v>
      </c>
      <c r="M1296" s="139"/>
      <c r="N1296" s="131">
        <f t="shared" si="80"/>
        <v>0</v>
      </c>
      <c r="O1296" s="143" t="s">
        <v>1239</v>
      </c>
      <c r="P1296" s="280"/>
    </row>
    <row r="1297" s="89" customFormat="1" spans="1:16">
      <c r="A1297" s="122">
        <v>46023</v>
      </c>
      <c r="B1297" s="116" t="s">
        <v>491</v>
      </c>
      <c r="C1297" s="78" t="s">
        <v>526</v>
      </c>
      <c r="D1297" s="116" t="s">
        <v>518</v>
      </c>
      <c r="E1297" s="116" t="s">
        <v>1081</v>
      </c>
      <c r="F1297" s="117">
        <v>46038</v>
      </c>
      <c r="G1297" s="116" t="s">
        <v>26</v>
      </c>
      <c r="H1297" s="116" t="s">
        <v>23</v>
      </c>
      <c r="I1297" s="139">
        <v>807.94</v>
      </c>
      <c r="J1297" s="139">
        <v>0</v>
      </c>
      <c r="K1297" s="139">
        <v>807.94</v>
      </c>
      <c r="L1297" s="139">
        <v>807.94</v>
      </c>
      <c r="M1297" s="139"/>
      <c r="N1297" s="131">
        <f t="shared" si="80"/>
        <v>0</v>
      </c>
      <c r="O1297" s="143" t="s">
        <v>1240</v>
      </c>
      <c r="P1297" s="141" t="s">
        <v>1241</v>
      </c>
    </row>
    <row r="1298" s="89" customFormat="1" spans="1:16">
      <c r="A1298" s="122">
        <v>46023</v>
      </c>
      <c r="B1298" s="116" t="s">
        <v>491</v>
      </c>
      <c r="C1298" s="78" t="s">
        <v>526</v>
      </c>
      <c r="D1298" s="116" t="s">
        <v>518</v>
      </c>
      <c r="E1298" s="116" t="s">
        <v>1081</v>
      </c>
      <c r="F1298" s="117">
        <v>46038</v>
      </c>
      <c r="G1298" s="116" t="s">
        <v>26</v>
      </c>
      <c r="H1298" s="116" t="s">
        <v>21</v>
      </c>
      <c r="I1298" s="139">
        <v>6463.56</v>
      </c>
      <c r="J1298" s="139">
        <v>0</v>
      </c>
      <c r="K1298" s="139">
        <v>6463.56</v>
      </c>
      <c r="L1298" s="139">
        <v>6463.56</v>
      </c>
      <c r="M1298" s="139"/>
      <c r="N1298" s="131">
        <f t="shared" si="80"/>
        <v>0</v>
      </c>
      <c r="O1298" s="143" t="s">
        <v>1240</v>
      </c>
      <c r="P1298" s="141" t="s">
        <v>1241</v>
      </c>
    </row>
    <row r="1299" s="89" customFormat="1" spans="1:17">
      <c r="A1299" s="122">
        <v>46023</v>
      </c>
      <c r="B1299" s="116" t="s">
        <v>285</v>
      </c>
      <c r="C1299" s="78" t="s">
        <v>429</v>
      </c>
      <c r="D1299" s="116" t="s">
        <v>430</v>
      </c>
      <c r="E1299" s="116" t="s">
        <v>431</v>
      </c>
      <c r="F1299" s="117">
        <v>46038</v>
      </c>
      <c r="G1299" s="116" t="s">
        <v>1242</v>
      </c>
      <c r="H1299" s="116" t="s">
        <v>21</v>
      </c>
      <c r="I1299" s="139">
        <v>16958.67</v>
      </c>
      <c r="J1299" s="139">
        <v>0</v>
      </c>
      <c r="K1299" s="139">
        <f>I1299-J1299</f>
        <v>16958.67</v>
      </c>
      <c r="L1299" s="139">
        <v>16958.67</v>
      </c>
      <c r="M1299" s="139"/>
      <c r="N1299" s="131">
        <f t="shared" si="80"/>
        <v>0</v>
      </c>
      <c r="O1299" s="143" t="s">
        <v>1243</v>
      </c>
      <c r="P1299" s="280" t="s">
        <v>1140</v>
      </c>
      <c r="Q1299" s="89" t="s">
        <v>51</v>
      </c>
    </row>
    <row r="1300" s="89" customFormat="1" spans="1:17">
      <c r="A1300" s="122">
        <v>46023</v>
      </c>
      <c r="B1300" s="116" t="s">
        <v>285</v>
      </c>
      <c r="C1300" s="78" t="s">
        <v>429</v>
      </c>
      <c r="D1300" s="116" t="s">
        <v>430</v>
      </c>
      <c r="E1300" s="116" t="s">
        <v>431</v>
      </c>
      <c r="F1300" s="117">
        <v>46038</v>
      </c>
      <c r="G1300" s="116" t="s">
        <v>1242</v>
      </c>
      <c r="H1300" s="116" t="s">
        <v>23</v>
      </c>
      <c r="I1300" s="139">
        <v>13708</v>
      </c>
      <c r="J1300" s="139">
        <v>0</v>
      </c>
      <c r="K1300" s="139">
        <f>I1300-J1300</f>
        <v>13708</v>
      </c>
      <c r="L1300" s="139">
        <v>13708</v>
      </c>
      <c r="M1300" s="139"/>
      <c r="N1300" s="131">
        <f t="shared" si="80"/>
        <v>0</v>
      </c>
      <c r="O1300" s="143" t="s">
        <v>1243</v>
      </c>
      <c r="P1300" s="280" t="s">
        <v>1140</v>
      </c>
      <c r="Q1300" s="89" t="s">
        <v>51</v>
      </c>
    </row>
    <row r="1301" s="89" customFormat="1" spans="1:16">
      <c r="A1301" s="122">
        <v>46023</v>
      </c>
      <c r="B1301" s="116" t="s">
        <v>285</v>
      </c>
      <c r="C1301" s="78" t="s">
        <v>429</v>
      </c>
      <c r="D1301" s="116" t="s">
        <v>430</v>
      </c>
      <c r="E1301" s="116" t="s">
        <v>431</v>
      </c>
      <c r="F1301" s="117">
        <v>46038</v>
      </c>
      <c r="G1301" s="116" t="s">
        <v>1244</v>
      </c>
      <c r="H1301" s="116" t="s">
        <v>30</v>
      </c>
      <c r="I1301" s="139">
        <v>3000</v>
      </c>
      <c r="J1301" s="139"/>
      <c r="K1301" s="139">
        <v>3000</v>
      </c>
      <c r="L1301" s="139">
        <v>3000</v>
      </c>
      <c r="M1301" s="139"/>
      <c r="N1301" s="131">
        <f t="shared" si="80"/>
        <v>0</v>
      </c>
      <c r="O1301" s="143" t="s">
        <v>1243</v>
      </c>
      <c r="P1301" s="280" t="s">
        <v>1140</v>
      </c>
    </row>
    <row r="1302" s="89" customFormat="1" spans="1:16">
      <c r="A1302" s="122">
        <v>45962</v>
      </c>
      <c r="B1302" s="116" t="s">
        <v>679</v>
      </c>
      <c r="C1302" s="78" t="s">
        <v>797</v>
      </c>
      <c r="D1302" s="277" t="s">
        <v>1245</v>
      </c>
      <c r="E1302" s="116" t="s">
        <v>799</v>
      </c>
      <c r="F1302" s="117">
        <v>46038</v>
      </c>
      <c r="G1302" s="116" t="s">
        <v>1246</v>
      </c>
      <c r="H1302" s="112" t="s">
        <v>21</v>
      </c>
      <c r="I1302" s="139">
        <v>24226.67</v>
      </c>
      <c r="J1302" s="139">
        <v>0</v>
      </c>
      <c r="K1302" s="139">
        <v>24226.67</v>
      </c>
      <c r="L1302" s="139">
        <v>24226.67</v>
      </c>
      <c r="M1302" s="139"/>
      <c r="N1302" s="131">
        <f t="shared" si="80"/>
        <v>0</v>
      </c>
      <c r="O1302" s="143" t="s">
        <v>1247</v>
      </c>
      <c r="P1302" s="280"/>
    </row>
    <row r="1303" s="89" customFormat="1" spans="1:16">
      <c r="A1303" s="122">
        <v>45962</v>
      </c>
      <c r="B1303" s="116" t="s">
        <v>679</v>
      </c>
      <c r="C1303" s="78" t="s">
        <v>797</v>
      </c>
      <c r="D1303" s="277" t="s">
        <v>1245</v>
      </c>
      <c r="E1303" s="116" t="s">
        <v>799</v>
      </c>
      <c r="F1303" s="117">
        <v>46038</v>
      </c>
      <c r="G1303" s="116" t="s">
        <v>1019</v>
      </c>
      <c r="H1303" s="116" t="s">
        <v>23</v>
      </c>
      <c r="I1303" s="139">
        <v>37950</v>
      </c>
      <c r="J1303" s="139">
        <v>0</v>
      </c>
      <c r="K1303" s="139">
        <f>55*230*3</f>
        <v>37950</v>
      </c>
      <c r="L1303" s="139">
        <v>37950</v>
      </c>
      <c r="M1303" s="139"/>
      <c r="N1303" s="131">
        <f t="shared" si="80"/>
        <v>0</v>
      </c>
      <c r="O1303" s="143" t="s">
        <v>1247</v>
      </c>
      <c r="P1303" s="280"/>
    </row>
    <row r="1304" s="89" customFormat="1" spans="1:16">
      <c r="A1304" s="122">
        <v>45962</v>
      </c>
      <c r="B1304" s="116" t="s">
        <v>491</v>
      </c>
      <c r="C1304" s="78" t="s">
        <v>1248</v>
      </c>
      <c r="D1304" s="116" t="s">
        <v>1249</v>
      </c>
      <c r="E1304" s="116" t="s">
        <v>1250</v>
      </c>
      <c r="F1304" s="117">
        <v>46038</v>
      </c>
      <c r="G1304" s="116" t="s">
        <v>147</v>
      </c>
      <c r="H1304" s="116" t="s">
        <v>833</v>
      </c>
      <c r="I1304" s="139">
        <v>24000</v>
      </c>
      <c r="J1304" s="139">
        <v>0</v>
      </c>
      <c r="K1304" s="139">
        <v>24000</v>
      </c>
      <c r="L1304" s="139">
        <v>24000</v>
      </c>
      <c r="M1304" s="139"/>
      <c r="N1304" s="131">
        <f t="shared" si="80"/>
        <v>0</v>
      </c>
      <c r="O1304" s="143" t="s">
        <v>1251</v>
      </c>
      <c r="P1304" s="280"/>
    </row>
    <row r="1305" s="86" customFormat="1" spans="1:16">
      <c r="A1305" s="111">
        <v>46023</v>
      </c>
      <c r="B1305" s="123" t="s">
        <v>16</v>
      </c>
      <c r="C1305" s="150" t="s">
        <v>138</v>
      </c>
      <c r="D1305" s="112" t="s">
        <v>53</v>
      </c>
      <c r="E1305" s="112" t="s">
        <v>139</v>
      </c>
      <c r="F1305" s="117">
        <v>46038</v>
      </c>
      <c r="G1305" s="112" t="s">
        <v>1252</v>
      </c>
      <c r="H1305" s="112" t="s">
        <v>21</v>
      </c>
      <c r="I1305" s="159">
        <v>3723.6</v>
      </c>
      <c r="J1305" s="159">
        <v>0</v>
      </c>
      <c r="K1305" s="159">
        <v>3723.6</v>
      </c>
      <c r="L1305" s="281">
        <v>3723.6</v>
      </c>
      <c r="M1305" s="160"/>
      <c r="N1305" s="131">
        <f t="shared" si="80"/>
        <v>0</v>
      </c>
      <c r="O1305" s="143" t="s">
        <v>1253</v>
      </c>
      <c r="P1305" s="112" t="s">
        <v>1254</v>
      </c>
    </row>
    <row r="1306" s="89" customFormat="1" spans="1:17">
      <c r="A1306" s="111">
        <v>46023</v>
      </c>
      <c r="B1306" s="116" t="s">
        <v>16</v>
      </c>
      <c r="C1306" s="78" t="s">
        <v>138</v>
      </c>
      <c r="D1306" s="116" t="s">
        <v>53</v>
      </c>
      <c r="E1306" s="135" t="s">
        <v>139</v>
      </c>
      <c r="F1306" s="117">
        <v>46038</v>
      </c>
      <c r="G1306" s="112" t="s">
        <v>1252</v>
      </c>
      <c r="H1306" s="116" t="s">
        <v>23</v>
      </c>
      <c r="I1306" s="139">
        <v>4864.68</v>
      </c>
      <c r="J1306" s="139">
        <v>0</v>
      </c>
      <c r="K1306" s="139">
        <v>4864.68</v>
      </c>
      <c r="L1306" s="282">
        <v>4864.68</v>
      </c>
      <c r="M1306" s="139"/>
      <c r="N1306" s="131">
        <f t="shared" si="80"/>
        <v>0</v>
      </c>
      <c r="O1306" s="143" t="s">
        <v>1255</v>
      </c>
      <c r="P1306" s="141" t="s">
        <v>1256</v>
      </c>
      <c r="Q1306" s="89" t="s">
        <v>51</v>
      </c>
    </row>
    <row r="1307" s="99" customFormat="1" spans="1:16">
      <c r="A1307" s="111">
        <v>46023</v>
      </c>
      <c r="B1307" s="135" t="s">
        <v>16</v>
      </c>
      <c r="C1307" s="256" t="s">
        <v>148</v>
      </c>
      <c r="D1307" s="135" t="s">
        <v>149</v>
      </c>
      <c r="E1307" s="114" t="s">
        <v>150</v>
      </c>
      <c r="F1307" s="117">
        <v>46038</v>
      </c>
      <c r="G1307" s="135" t="s">
        <v>26</v>
      </c>
      <c r="H1307" s="116" t="s">
        <v>21</v>
      </c>
      <c r="I1307" s="252">
        <v>13922.46</v>
      </c>
      <c r="J1307" s="139">
        <v>0</v>
      </c>
      <c r="K1307" s="252">
        <f>I1307-J1307</f>
        <v>13922.46</v>
      </c>
      <c r="L1307" s="139">
        <v>13922.46</v>
      </c>
      <c r="M1307" s="139"/>
      <c r="N1307" s="131">
        <f t="shared" si="80"/>
        <v>0</v>
      </c>
      <c r="O1307" s="143" t="s">
        <v>1172</v>
      </c>
      <c r="P1307" s="143" t="s">
        <v>1257</v>
      </c>
    </row>
    <row r="1308" s="89" customFormat="1" spans="1:17">
      <c r="A1308" s="122">
        <v>46023</v>
      </c>
      <c r="B1308" s="116" t="s">
        <v>16</v>
      </c>
      <c r="C1308" s="78" t="s">
        <v>870</v>
      </c>
      <c r="D1308" s="116" t="s">
        <v>871</v>
      </c>
      <c r="E1308" s="116" t="s">
        <v>872</v>
      </c>
      <c r="F1308" s="117">
        <v>46038</v>
      </c>
      <c r="G1308" s="116" t="s">
        <v>1019</v>
      </c>
      <c r="H1308" s="116" t="s">
        <v>833</v>
      </c>
      <c r="I1308" s="139">
        <v>24000</v>
      </c>
      <c r="J1308" s="139">
        <v>0</v>
      </c>
      <c r="K1308" s="139">
        <f>I1308-J1308</f>
        <v>24000</v>
      </c>
      <c r="L1308" s="139">
        <v>24000</v>
      </c>
      <c r="M1308" s="139"/>
      <c r="N1308" s="131">
        <f t="shared" si="80"/>
        <v>0</v>
      </c>
      <c r="O1308" s="143" t="s">
        <v>573</v>
      </c>
      <c r="P1308" s="141"/>
      <c r="Q1308" s="89" t="s">
        <v>51</v>
      </c>
    </row>
    <row r="1309" s="87" customFormat="1" spans="1:16">
      <c r="A1309" s="122">
        <v>45931</v>
      </c>
      <c r="B1309" s="116" t="s">
        <v>679</v>
      </c>
      <c r="C1309" s="114" t="s">
        <v>1258</v>
      </c>
      <c r="D1309" s="135" t="s">
        <v>1259</v>
      </c>
      <c r="E1309" s="135" t="s">
        <v>1260</v>
      </c>
      <c r="F1309" s="117" t="s">
        <v>1261</v>
      </c>
      <c r="G1309" s="135" t="s">
        <v>96</v>
      </c>
      <c r="H1309" s="114" t="s">
        <v>23</v>
      </c>
      <c r="I1309" s="136">
        <v>1950</v>
      </c>
      <c r="J1309" s="139"/>
      <c r="K1309" s="136">
        <v>1950</v>
      </c>
      <c r="L1309" s="136">
        <v>1950</v>
      </c>
      <c r="M1309" s="139"/>
      <c r="N1309" s="131">
        <f t="shared" si="80"/>
        <v>0</v>
      </c>
      <c r="O1309" s="143" t="s">
        <v>1262</v>
      </c>
      <c r="P1309" s="135"/>
    </row>
    <row r="1310" s="87" customFormat="1" spans="1:16">
      <c r="A1310" s="122">
        <v>45931</v>
      </c>
      <c r="B1310" s="116" t="s">
        <v>679</v>
      </c>
      <c r="C1310" s="114" t="s">
        <v>1258</v>
      </c>
      <c r="D1310" s="135" t="s">
        <v>1259</v>
      </c>
      <c r="E1310" s="135" t="s">
        <v>1260</v>
      </c>
      <c r="F1310" s="117" t="s">
        <v>1261</v>
      </c>
      <c r="G1310" s="135" t="s">
        <v>98</v>
      </c>
      <c r="H1310" s="114" t="s">
        <v>23</v>
      </c>
      <c r="I1310" s="136">
        <v>1950</v>
      </c>
      <c r="J1310" s="139"/>
      <c r="K1310" s="136">
        <v>1950</v>
      </c>
      <c r="L1310" s="136">
        <v>1950</v>
      </c>
      <c r="M1310" s="139"/>
      <c r="N1310" s="131">
        <f t="shared" si="80"/>
        <v>0</v>
      </c>
      <c r="O1310" s="143" t="s">
        <v>1262</v>
      </c>
      <c r="P1310" s="135"/>
    </row>
    <row r="1311" s="87" customFormat="1" spans="1:16">
      <c r="A1311" s="122">
        <v>45931</v>
      </c>
      <c r="B1311" s="116" t="s">
        <v>679</v>
      </c>
      <c r="C1311" s="114" t="s">
        <v>1258</v>
      </c>
      <c r="D1311" s="135" t="s">
        <v>1259</v>
      </c>
      <c r="E1311" s="135" t="s">
        <v>1260</v>
      </c>
      <c r="F1311" s="117" t="s">
        <v>1261</v>
      </c>
      <c r="G1311" s="135" t="s">
        <v>26</v>
      </c>
      <c r="H1311" s="114" t="s">
        <v>23</v>
      </c>
      <c r="I1311" s="136">
        <v>1950</v>
      </c>
      <c r="J1311" s="139"/>
      <c r="K1311" s="136">
        <v>1950</v>
      </c>
      <c r="L1311" s="136">
        <v>1950</v>
      </c>
      <c r="M1311" s="139"/>
      <c r="N1311" s="131">
        <f t="shared" ref="N1311:N1374" si="82">K1311-L1311</f>
        <v>0</v>
      </c>
      <c r="O1311" s="143" t="s">
        <v>1262</v>
      </c>
      <c r="P1311" s="135"/>
    </row>
    <row r="1312" s="87" customFormat="1" spans="1:16">
      <c r="A1312" s="122">
        <v>45931</v>
      </c>
      <c r="B1312" s="116" t="s">
        <v>679</v>
      </c>
      <c r="C1312" s="114" t="s">
        <v>1258</v>
      </c>
      <c r="D1312" s="135" t="s">
        <v>1259</v>
      </c>
      <c r="E1312" s="135" t="s">
        <v>1260</v>
      </c>
      <c r="F1312" s="117" t="s">
        <v>1261</v>
      </c>
      <c r="G1312" s="135" t="s">
        <v>96</v>
      </c>
      <c r="H1312" s="114" t="s">
        <v>21</v>
      </c>
      <c r="I1312" s="136">
        <v>1850</v>
      </c>
      <c r="J1312" s="139"/>
      <c r="K1312" s="136">
        <v>1850</v>
      </c>
      <c r="L1312" s="136">
        <v>1850</v>
      </c>
      <c r="M1312" s="139"/>
      <c r="N1312" s="131">
        <f t="shared" si="82"/>
        <v>0</v>
      </c>
      <c r="O1312" s="143" t="s">
        <v>1262</v>
      </c>
      <c r="P1312" s="135"/>
    </row>
    <row r="1313" s="87" customFormat="1" spans="1:16">
      <c r="A1313" s="122">
        <v>45931</v>
      </c>
      <c r="B1313" s="116" t="s">
        <v>679</v>
      </c>
      <c r="C1313" s="114" t="s">
        <v>1258</v>
      </c>
      <c r="D1313" s="135" t="s">
        <v>1259</v>
      </c>
      <c r="E1313" s="135" t="s">
        <v>1260</v>
      </c>
      <c r="F1313" s="117" t="s">
        <v>1261</v>
      </c>
      <c r="G1313" s="135" t="s">
        <v>98</v>
      </c>
      <c r="H1313" s="114" t="s">
        <v>21</v>
      </c>
      <c r="I1313" s="136">
        <v>1850</v>
      </c>
      <c r="J1313" s="139"/>
      <c r="K1313" s="136">
        <v>1850</v>
      </c>
      <c r="L1313" s="136">
        <v>1850</v>
      </c>
      <c r="M1313" s="139"/>
      <c r="N1313" s="131">
        <f t="shared" si="82"/>
        <v>0</v>
      </c>
      <c r="O1313" s="143" t="s">
        <v>1262</v>
      </c>
      <c r="P1313" s="135"/>
    </row>
    <row r="1314" s="87" customFormat="1" spans="1:16">
      <c r="A1314" s="122">
        <v>45931</v>
      </c>
      <c r="B1314" s="116" t="s">
        <v>679</v>
      </c>
      <c r="C1314" s="114" t="s">
        <v>1258</v>
      </c>
      <c r="D1314" s="135" t="s">
        <v>1259</v>
      </c>
      <c r="E1314" s="135" t="s">
        <v>1260</v>
      </c>
      <c r="F1314" s="117" t="s">
        <v>1261</v>
      </c>
      <c r="G1314" s="135" t="s">
        <v>26</v>
      </c>
      <c r="H1314" s="114" t="s">
        <v>21</v>
      </c>
      <c r="I1314" s="136">
        <v>1850</v>
      </c>
      <c r="J1314" s="139"/>
      <c r="K1314" s="136">
        <v>1850</v>
      </c>
      <c r="L1314" s="136">
        <v>1850</v>
      </c>
      <c r="M1314" s="139"/>
      <c r="N1314" s="131">
        <f t="shared" si="82"/>
        <v>0</v>
      </c>
      <c r="O1314" s="143" t="s">
        <v>1262</v>
      </c>
      <c r="P1314" s="135"/>
    </row>
    <row r="1315" s="99" customFormat="1" spans="1:16">
      <c r="A1315" s="122">
        <v>46023</v>
      </c>
      <c r="B1315" s="135" t="s">
        <v>285</v>
      </c>
      <c r="C1315" s="256" t="s">
        <v>396</v>
      </c>
      <c r="D1315" s="135" t="s">
        <v>397</v>
      </c>
      <c r="E1315" s="135" t="s">
        <v>398</v>
      </c>
      <c r="F1315" s="117">
        <v>46038</v>
      </c>
      <c r="G1315" s="116" t="s">
        <v>26</v>
      </c>
      <c r="H1315" s="116" t="s">
        <v>21</v>
      </c>
      <c r="I1315" s="252">
        <v>3175.94</v>
      </c>
      <c r="J1315" s="139">
        <v>0</v>
      </c>
      <c r="K1315" s="252">
        <f t="shared" ref="K1315:K1319" si="83">I1315-J1315</f>
        <v>3175.94</v>
      </c>
      <c r="L1315" s="139">
        <v>3175.94</v>
      </c>
      <c r="M1315" s="139"/>
      <c r="N1315" s="131">
        <f t="shared" si="82"/>
        <v>0</v>
      </c>
      <c r="O1315" s="143" t="s">
        <v>1263</v>
      </c>
      <c r="P1315" s="135"/>
    </row>
    <row r="1316" s="99" customFormat="1" spans="1:16">
      <c r="A1316" s="122">
        <v>46023</v>
      </c>
      <c r="B1316" s="135" t="s">
        <v>16</v>
      </c>
      <c r="C1316" s="256" t="s">
        <v>157</v>
      </c>
      <c r="D1316" s="135" t="s">
        <v>158</v>
      </c>
      <c r="E1316" s="135" t="s">
        <v>159</v>
      </c>
      <c r="F1316" s="117">
        <v>46038</v>
      </c>
      <c r="G1316" s="116" t="s">
        <v>26</v>
      </c>
      <c r="H1316" s="116" t="s">
        <v>21</v>
      </c>
      <c r="I1316" s="252">
        <v>14163.96</v>
      </c>
      <c r="J1316" s="139">
        <v>0</v>
      </c>
      <c r="K1316" s="252">
        <f t="shared" si="83"/>
        <v>14163.96</v>
      </c>
      <c r="L1316" s="139">
        <v>14163.96</v>
      </c>
      <c r="M1316" s="139"/>
      <c r="N1316" s="131">
        <f t="shared" si="82"/>
        <v>0</v>
      </c>
      <c r="O1316" s="143" t="s">
        <v>1264</v>
      </c>
      <c r="P1316" s="135" t="s">
        <v>1265</v>
      </c>
    </row>
    <row r="1317" s="99" customFormat="1" spans="1:16">
      <c r="A1317" s="122">
        <v>46023</v>
      </c>
      <c r="B1317" s="135" t="s">
        <v>16</v>
      </c>
      <c r="C1317" s="256" t="s">
        <v>232</v>
      </c>
      <c r="D1317" s="135" t="s">
        <v>233</v>
      </c>
      <c r="E1317" s="135" t="s">
        <v>234</v>
      </c>
      <c r="F1317" s="117">
        <v>46038</v>
      </c>
      <c r="G1317" s="116" t="s">
        <v>1017</v>
      </c>
      <c r="H1317" s="116" t="s">
        <v>23</v>
      </c>
      <c r="I1317" s="252">
        <f>11880-3960</f>
        <v>7920</v>
      </c>
      <c r="J1317" s="139"/>
      <c r="K1317" s="139">
        <f t="shared" si="83"/>
        <v>7920</v>
      </c>
      <c r="L1317" s="139">
        <f>3960*2</f>
        <v>7920</v>
      </c>
      <c r="M1317" s="139"/>
      <c r="N1317" s="131">
        <f t="shared" si="82"/>
        <v>0</v>
      </c>
      <c r="O1317" s="143" t="s">
        <v>1266</v>
      </c>
      <c r="P1317" s="135"/>
    </row>
    <row r="1318" s="99" customFormat="1" spans="1:16">
      <c r="A1318" s="122">
        <v>46023</v>
      </c>
      <c r="B1318" s="135" t="s">
        <v>16</v>
      </c>
      <c r="C1318" s="256" t="s">
        <v>232</v>
      </c>
      <c r="D1318" s="135" t="s">
        <v>233</v>
      </c>
      <c r="E1318" s="135" t="s">
        <v>234</v>
      </c>
      <c r="F1318" s="117">
        <v>46038</v>
      </c>
      <c r="G1318" s="116" t="s">
        <v>1017</v>
      </c>
      <c r="H1318" s="116" t="s">
        <v>21</v>
      </c>
      <c r="I1318" s="252">
        <f>48600-16200</f>
        <v>32400</v>
      </c>
      <c r="J1318" s="139"/>
      <c r="K1318" s="139">
        <f t="shared" si="83"/>
        <v>32400</v>
      </c>
      <c r="L1318" s="139">
        <f>16200*2</f>
        <v>32400</v>
      </c>
      <c r="M1318" s="139"/>
      <c r="N1318" s="131">
        <f t="shared" si="82"/>
        <v>0</v>
      </c>
      <c r="O1318" s="143" t="s">
        <v>1266</v>
      </c>
      <c r="P1318" s="135"/>
    </row>
    <row r="1319" s="99" customFormat="1" spans="1:16">
      <c r="A1319" s="122">
        <v>46023</v>
      </c>
      <c r="B1319" s="135" t="s">
        <v>16</v>
      </c>
      <c r="C1319" s="256" t="s">
        <v>232</v>
      </c>
      <c r="D1319" s="135" t="s">
        <v>233</v>
      </c>
      <c r="E1319" s="135" t="s">
        <v>234</v>
      </c>
      <c r="F1319" s="117">
        <v>46038</v>
      </c>
      <c r="G1319" s="116" t="s">
        <v>1017</v>
      </c>
      <c r="H1319" s="116" t="s">
        <v>30</v>
      </c>
      <c r="I1319" s="252">
        <f>750-250</f>
        <v>500</v>
      </c>
      <c r="J1319" s="139"/>
      <c r="K1319" s="139">
        <f t="shared" si="83"/>
        <v>500</v>
      </c>
      <c r="L1319" s="139">
        <f>250*2</f>
        <v>500</v>
      </c>
      <c r="M1319" s="139"/>
      <c r="N1319" s="131">
        <f t="shared" si="82"/>
        <v>0</v>
      </c>
      <c r="O1319" s="143" t="s">
        <v>1266</v>
      </c>
      <c r="P1319" s="135"/>
    </row>
    <row r="1320" s="99" customFormat="1" spans="1:16">
      <c r="A1320" s="122">
        <v>46023</v>
      </c>
      <c r="B1320" s="135" t="s">
        <v>491</v>
      </c>
      <c r="C1320" s="256" t="s">
        <v>1267</v>
      </c>
      <c r="D1320" s="135" t="s">
        <v>1268</v>
      </c>
      <c r="E1320" s="135" t="s">
        <v>1269</v>
      </c>
      <c r="F1320" s="117">
        <v>46038</v>
      </c>
      <c r="G1320" s="116" t="s">
        <v>1270</v>
      </c>
      <c r="H1320" s="116" t="s">
        <v>21</v>
      </c>
      <c r="I1320" s="252">
        <v>4180</v>
      </c>
      <c r="J1320" s="139"/>
      <c r="K1320" s="252">
        <v>4180</v>
      </c>
      <c r="L1320" s="139">
        <v>4180</v>
      </c>
      <c r="M1320" s="139"/>
      <c r="N1320" s="131">
        <f t="shared" si="82"/>
        <v>0</v>
      </c>
      <c r="O1320" s="143" t="s">
        <v>1271</v>
      </c>
      <c r="P1320" s="143" t="s">
        <v>1272</v>
      </c>
    </row>
    <row r="1321" s="99" customFormat="1" spans="1:16">
      <c r="A1321" s="122">
        <v>46023</v>
      </c>
      <c r="B1321" s="135" t="s">
        <v>491</v>
      </c>
      <c r="C1321" s="256" t="s">
        <v>1267</v>
      </c>
      <c r="D1321" s="135" t="s">
        <v>1268</v>
      </c>
      <c r="E1321" s="135" t="s">
        <v>1269</v>
      </c>
      <c r="F1321" s="117">
        <v>46038</v>
      </c>
      <c r="G1321" s="116" t="s">
        <v>1270</v>
      </c>
      <c r="H1321" s="116" t="s">
        <v>23</v>
      </c>
      <c r="I1321" s="252">
        <v>12540</v>
      </c>
      <c r="J1321" s="139"/>
      <c r="K1321" s="252">
        <v>12540</v>
      </c>
      <c r="L1321" s="139">
        <v>12540</v>
      </c>
      <c r="M1321" s="139"/>
      <c r="N1321" s="131">
        <f t="shared" si="82"/>
        <v>0</v>
      </c>
      <c r="O1321" s="143" t="s">
        <v>1271</v>
      </c>
      <c r="P1321" s="143" t="s">
        <v>1272</v>
      </c>
    </row>
    <row r="1322" s="99" customFormat="1" spans="1:16">
      <c r="A1322" s="122">
        <v>46023</v>
      </c>
      <c r="B1322" s="135" t="s">
        <v>491</v>
      </c>
      <c r="C1322" s="256" t="s">
        <v>1267</v>
      </c>
      <c r="D1322" s="135" t="s">
        <v>1268</v>
      </c>
      <c r="E1322" s="135" t="s">
        <v>1269</v>
      </c>
      <c r="F1322" s="117">
        <v>46038</v>
      </c>
      <c r="G1322" s="116" t="s">
        <v>1038</v>
      </c>
      <c r="H1322" s="116" t="s">
        <v>30</v>
      </c>
      <c r="I1322" s="252">
        <v>3000</v>
      </c>
      <c r="J1322" s="139"/>
      <c r="K1322" s="252">
        <v>3000</v>
      </c>
      <c r="L1322" s="139">
        <v>3000</v>
      </c>
      <c r="M1322" s="139"/>
      <c r="N1322" s="131">
        <f t="shared" si="82"/>
        <v>0</v>
      </c>
      <c r="O1322" s="143" t="s">
        <v>1177</v>
      </c>
      <c r="P1322" s="143" t="s">
        <v>1272</v>
      </c>
    </row>
    <row r="1323" s="99" customFormat="1" spans="1:16">
      <c r="A1323" s="122">
        <v>46023</v>
      </c>
      <c r="B1323" s="135" t="s">
        <v>854</v>
      </c>
      <c r="C1323" s="256" t="s">
        <v>1273</v>
      </c>
      <c r="D1323" s="135" t="s">
        <v>1274</v>
      </c>
      <c r="E1323" s="135" t="s">
        <v>1275</v>
      </c>
      <c r="F1323" s="117">
        <v>46038</v>
      </c>
      <c r="G1323" s="116" t="s">
        <v>1019</v>
      </c>
      <c r="H1323" s="116" t="s">
        <v>833</v>
      </c>
      <c r="I1323" s="252">
        <v>1800</v>
      </c>
      <c r="J1323" s="139"/>
      <c r="K1323" s="252">
        <v>1800</v>
      </c>
      <c r="L1323" s="139">
        <v>1800</v>
      </c>
      <c r="M1323" s="139"/>
      <c r="N1323" s="131">
        <f t="shared" si="82"/>
        <v>0</v>
      </c>
      <c r="O1323" s="143" t="s">
        <v>263</v>
      </c>
      <c r="P1323" s="135"/>
    </row>
    <row r="1324" s="99" customFormat="1" spans="1:16">
      <c r="A1324" s="122">
        <v>46023</v>
      </c>
      <c r="B1324" s="135" t="s">
        <v>1276</v>
      </c>
      <c r="C1324" s="256" t="s">
        <v>1277</v>
      </c>
      <c r="D1324" s="135" t="s">
        <v>1278</v>
      </c>
      <c r="E1324" s="135" t="s">
        <v>1279</v>
      </c>
      <c r="F1324" s="117">
        <v>46038</v>
      </c>
      <c r="G1324" s="116" t="s">
        <v>1280</v>
      </c>
      <c r="H1324" s="116" t="s">
        <v>833</v>
      </c>
      <c r="I1324" s="252">
        <v>3700</v>
      </c>
      <c r="J1324" s="139"/>
      <c r="K1324" s="252">
        <v>3700</v>
      </c>
      <c r="L1324" s="139">
        <v>3700</v>
      </c>
      <c r="M1324" s="139"/>
      <c r="N1324" s="131">
        <f t="shared" si="82"/>
        <v>0</v>
      </c>
      <c r="O1324" s="143" t="s">
        <v>1281</v>
      </c>
      <c r="P1324" s="135" t="s">
        <v>1272</v>
      </c>
    </row>
    <row r="1325" s="99" customFormat="1" spans="1:16">
      <c r="A1325" s="122">
        <v>46023</v>
      </c>
      <c r="B1325" s="135" t="s">
        <v>16</v>
      </c>
      <c r="C1325" s="256" t="s">
        <v>1282</v>
      </c>
      <c r="D1325" s="135" t="s">
        <v>1283</v>
      </c>
      <c r="E1325" s="135" t="s">
        <v>1284</v>
      </c>
      <c r="F1325" s="117">
        <v>46038</v>
      </c>
      <c r="G1325" s="116" t="s">
        <v>1285</v>
      </c>
      <c r="H1325" s="116" t="s">
        <v>833</v>
      </c>
      <c r="I1325" s="252">
        <v>10000</v>
      </c>
      <c r="J1325" s="139"/>
      <c r="K1325" s="252">
        <v>10000</v>
      </c>
      <c r="L1325" s="139">
        <v>10000</v>
      </c>
      <c r="M1325" s="139"/>
      <c r="N1325" s="131">
        <f t="shared" si="82"/>
        <v>0</v>
      </c>
      <c r="O1325" s="143" t="s">
        <v>1286</v>
      </c>
      <c r="P1325" s="135"/>
    </row>
    <row r="1326" s="99" customFormat="1" spans="1:16">
      <c r="A1326" s="122">
        <v>46023</v>
      </c>
      <c r="B1326" s="135" t="s">
        <v>16</v>
      </c>
      <c r="C1326" s="256" t="s">
        <v>1287</v>
      </c>
      <c r="D1326" s="135" t="s">
        <v>1278</v>
      </c>
      <c r="E1326" s="135" t="s">
        <v>1288</v>
      </c>
      <c r="F1326" s="117">
        <v>46038</v>
      </c>
      <c r="G1326" s="116" t="s">
        <v>1289</v>
      </c>
      <c r="H1326" s="116" t="s">
        <v>833</v>
      </c>
      <c r="I1326" s="252">
        <v>11700</v>
      </c>
      <c r="J1326" s="139"/>
      <c r="K1326" s="252">
        <v>11700</v>
      </c>
      <c r="L1326" s="139">
        <v>11700</v>
      </c>
      <c r="M1326" s="139"/>
      <c r="N1326" s="131">
        <f t="shared" si="82"/>
        <v>0</v>
      </c>
      <c r="O1326" s="143" t="s">
        <v>1290</v>
      </c>
      <c r="P1326" s="135"/>
    </row>
    <row r="1327" s="99" customFormat="1" spans="1:16">
      <c r="A1327" s="122">
        <v>46023</v>
      </c>
      <c r="B1327" s="135" t="s">
        <v>16</v>
      </c>
      <c r="C1327" s="256" t="s">
        <v>1291</v>
      </c>
      <c r="D1327" s="135" t="s">
        <v>406</v>
      </c>
      <c r="E1327" s="135" t="s">
        <v>1292</v>
      </c>
      <c r="F1327" s="117">
        <v>46038</v>
      </c>
      <c r="G1327" s="116" t="s">
        <v>1293</v>
      </c>
      <c r="H1327" s="116" t="s">
        <v>833</v>
      </c>
      <c r="I1327" s="252">
        <v>1200</v>
      </c>
      <c r="J1327" s="139"/>
      <c r="K1327" s="252">
        <v>1200</v>
      </c>
      <c r="L1327" s="139">
        <v>1200</v>
      </c>
      <c r="M1327" s="139"/>
      <c r="N1327" s="131">
        <f t="shared" si="82"/>
        <v>0</v>
      </c>
      <c r="O1327" s="143" t="s">
        <v>1294</v>
      </c>
      <c r="P1327" s="135"/>
    </row>
    <row r="1328" s="87" customFormat="1" spans="1:16">
      <c r="A1328" s="111">
        <v>46023</v>
      </c>
      <c r="B1328" s="116" t="s">
        <v>630</v>
      </c>
      <c r="C1328" s="78" t="s">
        <v>646</v>
      </c>
      <c r="D1328" s="116" t="s">
        <v>643</v>
      </c>
      <c r="E1328" s="278" t="s">
        <v>647</v>
      </c>
      <c r="F1328" s="117">
        <v>46038</v>
      </c>
      <c r="G1328" s="116" t="s">
        <v>1160</v>
      </c>
      <c r="H1328" s="112" t="s">
        <v>21</v>
      </c>
      <c r="I1328" s="133">
        <v>24950</v>
      </c>
      <c r="J1328" s="133">
        <v>0</v>
      </c>
      <c r="K1328" s="133">
        <f>I1328-J1328</f>
        <v>24950</v>
      </c>
      <c r="L1328" s="133">
        <v>24950</v>
      </c>
      <c r="M1328" s="133"/>
      <c r="N1328" s="131">
        <f t="shared" si="82"/>
        <v>0</v>
      </c>
      <c r="O1328" s="143" t="s">
        <v>1295</v>
      </c>
      <c r="P1328" s="135" t="s">
        <v>1296</v>
      </c>
    </row>
    <row r="1329" s="87" customFormat="1" spans="1:16">
      <c r="A1329" s="111">
        <v>46023</v>
      </c>
      <c r="B1329" s="116" t="s">
        <v>630</v>
      </c>
      <c r="C1329" s="78" t="s">
        <v>646</v>
      </c>
      <c r="D1329" s="116" t="s">
        <v>643</v>
      </c>
      <c r="E1329" s="278" t="s">
        <v>647</v>
      </c>
      <c r="F1329" s="117">
        <v>46038</v>
      </c>
      <c r="G1329" s="116" t="s">
        <v>1160</v>
      </c>
      <c r="H1329" s="116" t="s">
        <v>23</v>
      </c>
      <c r="I1329" s="133">
        <v>16633.33</v>
      </c>
      <c r="J1329" s="133">
        <v>0</v>
      </c>
      <c r="K1329" s="133">
        <f>I1329-J1329</f>
        <v>16633.33</v>
      </c>
      <c r="L1329" s="133">
        <v>16633.33</v>
      </c>
      <c r="M1329" s="133"/>
      <c r="N1329" s="131">
        <f t="shared" si="82"/>
        <v>0</v>
      </c>
      <c r="O1329" s="143" t="s">
        <v>1295</v>
      </c>
      <c r="P1329" s="135" t="s">
        <v>1296</v>
      </c>
    </row>
    <row r="1330" s="88" customFormat="1" spans="1:16">
      <c r="A1330" s="111">
        <v>46023</v>
      </c>
      <c r="B1330" s="116" t="s">
        <v>630</v>
      </c>
      <c r="C1330" s="78" t="s">
        <v>646</v>
      </c>
      <c r="D1330" s="116" t="s">
        <v>643</v>
      </c>
      <c r="E1330" s="278" t="s">
        <v>647</v>
      </c>
      <c r="F1330" s="117">
        <v>46038</v>
      </c>
      <c r="G1330" s="116" t="s">
        <v>1162</v>
      </c>
      <c r="H1330" s="138" t="s">
        <v>30</v>
      </c>
      <c r="I1330" s="133">
        <v>3000</v>
      </c>
      <c r="J1330" s="133"/>
      <c r="K1330" s="133">
        <v>3000</v>
      </c>
      <c r="L1330" s="131">
        <v>3000</v>
      </c>
      <c r="M1330" s="131"/>
      <c r="N1330" s="131">
        <f t="shared" si="82"/>
        <v>0</v>
      </c>
      <c r="O1330" s="143" t="s">
        <v>1295</v>
      </c>
      <c r="P1330" s="88" t="s">
        <v>1296</v>
      </c>
    </row>
    <row r="1331" s="86" customFormat="1" spans="1:16">
      <c r="A1331" s="111">
        <v>46023</v>
      </c>
      <c r="B1331" s="112" t="s">
        <v>630</v>
      </c>
      <c r="C1331" s="113" t="s">
        <v>642</v>
      </c>
      <c r="D1331" s="112" t="s">
        <v>643</v>
      </c>
      <c r="E1331" s="112" t="s">
        <v>647</v>
      </c>
      <c r="F1331" s="117">
        <v>46038</v>
      </c>
      <c r="G1331" s="112" t="s">
        <v>1297</v>
      </c>
      <c r="H1331" s="112" t="s">
        <v>21</v>
      </c>
      <c r="I1331" s="130">
        <v>6681</v>
      </c>
      <c r="J1331" s="130">
        <v>0</v>
      </c>
      <c r="K1331" s="130">
        <v>6681</v>
      </c>
      <c r="L1331" s="130">
        <v>6681</v>
      </c>
      <c r="M1331" s="130"/>
      <c r="N1331" s="131">
        <f t="shared" si="82"/>
        <v>0</v>
      </c>
      <c r="O1331" s="143" t="s">
        <v>1298</v>
      </c>
      <c r="P1331" s="112" t="s">
        <v>1296</v>
      </c>
    </row>
    <row r="1332" s="86" customFormat="1" spans="1:16">
      <c r="A1332" s="111">
        <v>46023</v>
      </c>
      <c r="B1332" s="112" t="s">
        <v>630</v>
      </c>
      <c r="C1332" s="113" t="s">
        <v>642</v>
      </c>
      <c r="D1332" s="112" t="s">
        <v>643</v>
      </c>
      <c r="E1332" s="112" t="s">
        <v>647</v>
      </c>
      <c r="F1332" s="117">
        <v>46038</v>
      </c>
      <c r="G1332" s="112" t="s">
        <v>1297</v>
      </c>
      <c r="H1332" s="112" t="s">
        <v>23</v>
      </c>
      <c r="I1332" s="130">
        <v>4454</v>
      </c>
      <c r="J1332" s="130">
        <v>0</v>
      </c>
      <c r="K1332" s="130">
        <v>4454</v>
      </c>
      <c r="L1332" s="130">
        <v>4454</v>
      </c>
      <c r="M1332" s="130"/>
      <c r="N1332" s="131">
        <f t="shared" si="82"/>
        <v>0</v>
      </c>
      <c r="O1332" s="143" t="s">
        <v>1298</v>
      </c>
      <c r="P1332" s="112" t="s">
        <v>1296</v>
      </c>
    </row>
    <row r="1333" s="86" customFormat="1" spans="1:16">
      <c r="A1333" s="111">
        <v>46023</v>
      </c>
      <c r="B1333" s="112" t="s">
        <v>630</v>
      </c>
      <c r="C1333" s="113" t="s">
        <v>642</v>
      </c>
      <c r="D1333" s="112" t="s">
        <v>643</v>
      </c>
      <c r="E1333" s="112" t="s">
        <v>647</v>
      </c>
      <c r="F1333" s="117">
        <v>46038</v>
      </c>
      <c r="G1333" s="112" t="s">
        <v>146</v>
      </c>
      <c r="H1333" s="112" t="s">
        <v>21</v>
      </c>
      <c r="I1333" s="130">
        <v>5895</v>
      </c>
      <c r="J1333" s="130">
        <v>0</v>
      </c>
      <c r="K1333" s="130">
        <f>131*15*3</f>
        <v>5895</v>
      </c>
      <c r="L1333" s="130">
        <f>3343.2+2551.8</f>
        <v>5895</v>
      </c>
      <c r="M1333" s="130"/>
      <c r="N1333" s="131">
        <f t="shared" si="82"/>
        <v>0</v>
      </c>
      <c r="O1333" s="143" t="s">
        <v>1299</v>
      </c>
      <c r="P1333" s="112" t="s">
        <v>1296</v>
      </c>
    </row>
    <row r="1334" s="86" customFormat="1" spans="1:16">
      <c r="A1334" s="111">
        <v>46023</v>
      </c>
      <c r="B1334" s="112" t="s">
        <v>630</v>
      </c>
      <c r="C1334" s="113" t="s">
        <v>642</v>
      </c>
      <c r="D1334" s="112" t="s">
        <v>643</v>
      </c>
      <c r="E1334" s="112" t="s">
        <v>647</v>
      </c>
      <c r="F1334" s="117">
        <v>46038</v>
      </c>
      <c r="G1334" s="112" t="s">
        <v>146</v>
      </c>
      <c r="H1334" s="112" t="s">
        <v>23</v>
      </c>
      <c r="I1334" s="130">
        <v>3930</v>
      </c>
      <c r="J1334" s="130">
        <v>0</v>
      </c>
      <c r="K1334" s="130">
        <f>131*10*3</f>
        <v>3930</v>
      </c>
      <c r="L1334" s="130">
        <v>3930</v>
      </c>
      <c r="M1334" s="130"/>
      <c r="N1334" s="131">
        <f t="shared" si="82"/>
        <v>0</v>
      </c>
      <c r="O1334" s="143" t="s">
        <v>1300</v>
      </c>
      <c r="P1334" s="112" t="s">
        <v>1296</v>
      </c>
    </row>
    <row r="1335" s="86" customFormat="1" spans="1:16">
      <c r="A1335" s="111">
        <v>45992</v>
      </c>
      <c r="B1335" s="112"/>
      <c r="C1335" s="113"/>
      <c r="D1335" s="112" t="s">
        <v>1301</v>
      </c>
      <c r="E1335" s="112" t="s">
        <v>1302</v>
      </c>
      <c r="F1335" s="117">
        <v>46038</v>
      </c>
      <c r="G1335" s="112" t="s">
        <v>1303</v>
      </c>
      <c r="H1335" s="112" t="s">
        <v>833</v>
      </c>
      <c r="I1335" s="130">
        <v>220000</v>
      </c>
      <c r="J1335" s="130"/>
      <c r="K1335" s="130">
        <v>220000</v>
      </c>
      <c r="L1335" s="130">
        <v>220000</v>
      </c>
      <c r="M1335" s="130"/>
      <c r="N1335" s="131">
        <f t="shared" si="82"/>
        <v>0</v>
      </c>
      <c r="O1335" s="143" t="s">
        <v>1304</v>
      </c>
      <c r="P1335" s="112"/>
    </row>
    <row r="1336" s="86" customFormat="1" spans="1:16">
      <c r="A1336" s="111">
        <v>46023</v>
      </c>
      <c r="B1336" s="112" t="s">
        <v>1044</v>
      </c>
      <c r="C1336" s="113" t="s">
        <v>1305</v>
      </c>
      <c r="D1336" s="112" t="s">
        <v>1306</v>
      </c>
      <c r="E1336" s="112" t="s">
        <v>1307</v>
      </c>
      <c r="F1336" s="117">
        <v>46038</v>
      </c>
      <c r="G1336" s="112" t="s">
        <v>1308</v>
      </c>
      <c r="H1336" s="112" t="s">
        <v>833</v>
      </c>
      <c r="I1336" s="130">
        <v>10000</v>
      </c>
      <c r="J1336" s="130"/>
      <c r="K1336" s="130">
        <v>10000</v>
      </c>
      <c r="L1336" s="130">
        <v>10000</v>
      </c>
      <c r="M1336" s="130"/>
      <c r="N1336" s="131">
        <f t="shared" si="82"/>
        <v>0</v>
      </c>
      <c r="O1336" s="143" t="s">
        <v>1309</v>
      </c>
      <c r="P1336" s="112"/>
    </row>
    <row r="1337" s="89" customFormat="1" spans="1:17">
      <c r="A1337" s="111">
        <v>46023</v>
      </c>
      <c r="B1337" s="138" t="s">
        <v>491</v>
      </c>
      <c r="C1337" s="78" t="s">
        <v>583</v>
      </c>
      <c r="D1337" s="116" t="s">
        <v>584</v>
      </c>
      <c r="E1337" s="116" t="s">
        <v>585</v>
      </c>
      <c r="F1337" s="117">
        <v>46038</v>
      </c>
      <c r="G1337" s="116" t="s">
        <v>317</v>
      </c>
      <c r="H1337" s="116" t="s">
        <v>23</v>
      </c>
      <c r="I1337" s="139">
        <v>12300</v>
      </c>
      <c r="J1337" s="139">
        <v>0</v>
      </c>
      <c r="K1337" s="139">
        <f t="shared" ref="K1337:K1339" si="84">I1337-J1337</f>
        <v>12300</v>
      </c>
      <c r="L1337" s="139">
        <f>4100+4100+4100</f>
        <v>12300</v>
      </c>
      <c r="M1337" s="139"/>
      <c r="N1337" s="131">
        <f t="shared" si="82"/>
        <v>0</v>
      </c>
      <c r="O1337" s="143" t="s">
        <v>1310</v>
      </c>
      <c r="P1337" s="188" t="s">
        <v>1311</v>
      </c>
      <c r="Q1337" s="89" t="s">
        <v>51</v>
      </c>
    </row>
    <row r="1338" s="89" customFormat="1" spans="1:17">
      <c r="A1338" s="111">
        <v>46023</v>
      </c>
      <c r="B1338" s="138" t="s">
        <v>491</v>
      </c>
      <c r="C1338" s="78" t="s">
        <v>583</v>
      </c>
      <c r="D1338" s="116" t="s">
        <v>584</v>
      </c>
      <c r="E1338" s="116" t="s">
        <v>585</v>
      </c>
      <c r="F1338" s="117">
        <v>46038</v>
      </c>
      <c r="G1338" s="116" t="s">
        <v>317</v>
      </c>
      <c r="H1338" s="112" t="s">
        <v>21</v>
      </c>
      <c r="I1338" s="139">
        <v>19372.5</v>
      </c>
      <c r="J1338" s="139">
        <v>0</v>
      </c>
      <c r="K1338" s="139">
        <f t="shared" si="84"/>
        <v>19372.5</v>
      </c>
      <c r="L1338" s="139">
        <f>4793.56+5900+3900+4778.94</f>
        <v>19372.5</v>
      </c>
      <c r="M1338" s="139"/>
      <c r="N1338" s="131">
        <f t="shared" si="82"/>
        <v>0</v>
      </c>
      <c r="O1338" s="143" t="s">
        <v>1312</v>
      </c>
      <c r="P1338" s="188" t="s">
        <v>1311</v>
      </c>
      <c r="Q1338" s="89" t="s">
        <v>51</v>
      </c>
    </row>
    <row r="1339" s="89" customFormat="1" spans="1:17">
      <c r="A1339" s="111">
        <v>46023</v>
      </c>
      <c r="B1339" s="138" t="s">
        <v>491</v>
      </c>
      <c r="C1339" s="78" t="s">
        <v>583</v>
      </c>
      <c r="D1339" s="116" t="s">
        <v>584</v>
      </c>
      <c r="E1339" s="116" t="s">
        <v>585</v>
      </c>
      <c r="F1339" s="117">
        <v>46038</v>
      </c>
      <c r="G1339" s="116" t="s">
        <v>1313</v>
      </c>
      <c r="H1339" s="112" t="s">
        <v>30</v>
      </c>
      <c r="I1339" s="139">
        <v>1500</v>
      </c>
      <c r="J1339" s="139">
        <v>0</v>
      </c>
      <c r="K1339" s="139">
        <f t="shared" si="84"/>
        <v>1500</v>
      </c>
      <c r="L1339" s="139">
        <v>1500</v>
      </c>
      <c r="M1339" s="139"/>
      <c r="N1339" s="131">
        <f t="shared" si="82"/>
        <v>0</v>
      </c>
      <c r="O1339" s="143" t="s">
        <v>1314</v>
      </c>
      <c r="P1339" s="167"/>
      <c r="Q1339" s="89" t="s">
        <v>51</v>
      </c>
    </row>
    <row r="1340" s="89" customFormat="1" spans="1:16">
      <c r="A1340" s="111">
        <v>46023</v>
      </c>
      <c r="B1340" s="138" t="s">
        <v>16</v>
      </c>
      <c r="C1340" s="78" t="s">
        <v>1315</v>
      </c>
      <c r="D1340" s="116" t="s">
        <v>1316</v>
      </c>
      <c r="E1340" s="116" t="s">
        <v>1317</v>
      </c>
      <c r="F1340" s="117">
        <v>46038</v>
      </c>
      <c r="G1340" s="116" t="s">
        <v>1318</v>
      </c>
      <c r="H1340" s="112" t="s">
        <v>21</v>
      </c>
      <c r="I1340" s="139">
        <v>34945</v>
      </c>
      <c r="J1340" s="139"/>
      <c r="K1340" s="139">
        <v>34945</v>
      </c>
      <c r="L1340" s="139">
        <v>34945</v>
      </c>
      <c r="M1340" s="139"/>
      <c r="N1340" s="131">
        <f t="shared" si="82"/>
        <v>0</v>
      </c>
      <c r="O1340" s="143" t="s">
        <v>1319</v>
      </c>
      <c r="P1340" s="167"/>
    </row>
    <row r="1341" s="89" customFormat="1" spans="1:16">
      <c r="A1341" s="111">
        <v>46023</v>
      </c>
      <c r="B1341" s="138" t="s">
        <v>16</v>
      </c>
      <c r="C1341" s="78" t="s">
        <v>1315</v>
      </c>
      <c r="D1341" s="116" t="s">
        <v>1316</v>
      </c>
      <c r="E1341" s="116" t="s">
        <v>1317</v>
      </c>
      <c r="F1341" s="117">
        <v>46038</v>
      </c>
      <c r="G1341" s="116" t="s">
        <v>1318</v>
      </c>
      <c r="H1341" s="112" t="s">
        <v>23</v>
      </c>
      <c r="I1341" s="139">
        <v>13255</v>
      </c>
      <c r="J1341" s="139"/>
      <c r="K1341" s="139">
        <f>241*55</f>
        <v>13255</v>
      </c>
      <c r="L1341" s="139">
        <v>13255</v>
      </c>
      <c r="M1341" s="139"/>
      <c r="N1341" s="131">
        <f t="shared" si="82"/>
        <v>0</v>
      </c>
      <c r="O1341" s="143" t="s">
        <v>1319</v>
      </c>
      <c r="P1341" s="167"/>
    </row>
    <row r="1342" s="89" customFormat="1" spans="1:16">
      <c r="A1342" s="111">
        <v>46023</v>
      </c>
      <c r="B1342" s="138" t="s">
        <v>16</v>
      </c>
      <c r="C1342" s="78" t="s">
        <v>1315</v>
      </c>
      <c r="D1342" s="116" t="s">
        <v>1316</v>
      </c>
      <c r="E1342" s="116" t="s">
        <v>1317</v>
      </c>
      <c r="F1342" s="117">
        <v>46038</v>
      </c>
      <c r="G1342" s="116"/>
      <c r="H1342" s="112" t="s">
        <v>23</v>
      </c>
      <c r="I1342" s="139">
        <v>30000</v>
      </c>
      <c r="J1342" s="139"/>
      <c r="K1342" s="139">
        <v>30000</v>
      </c>
      <c r="L1342" s="139">
        <v>30000</v>
      </c>
      <c r="M1342" s="139"/>
      <c r="N1342" s="131">
        <f t="shared" si="82"/>
        <v>0</v>
      </c>
      <c r="O1342" s="143" t="s">
        <v>1320</v>
      </c>
      <c r="P1342" s="167"/>
    </row>
    <row r="1343" s="89" customFormat="1" spans="1:16">
      <c r="A1343" s="111">
        <v>46054</v>
      </c>
      <c r="B1343" s="138" t="s">
        <v>16</v>
      </c>
      <c r="C1343" s="279" t="s">
        <v>1321</v>
      </c>
      <c r="D1343" s="279" t="s">
        <v>1322</v>
      </c>
      <c r="E1343" s="279" t="s">
        <v>1323</v>
      </c>
      <c r="F1343" s="117">
        <v>46066</v>
      </c>
      <c r="G1343" s="112" t="s">
        <v>1324</v>
      </c>
      <c r="H1343" s="112" t="s">
        <v>833</v>
      </c>
      <c r="I1343" s="139">
        <v>24000</v>
      </c>
      <c r="J1343" s="139"/>
      <c r="K1343" s="139">
        <v>24000</v>
      </c>
      <c r="L1343" s="139">
        <v>24000</v>
      </c>
      <c r="M1343" s="139"/>
      <c r="N1343" s="131">
        <f t="shared" si="82"/>
        <v>0</v>
      </c>
      <c r="O1343" s="143" t="s">
        <v>1172</v>
      </c>
      <c r="P1343" s="167"/>
    </row>
    <row r="1344" s="89" customFormat="1" spans="1:16">
      <c r="A1344" s="111">
        <v>46054</v>
      </c>
      <c r="B1344" s="138" t="s">
        <v>491</v>
      </c>
      <c r="C1344" s="78" t="s">
        <v>590</v>
      </c>
      <c r="D1344" s="116" t="s">
        <v>591</v>
      </c>
      <c r="E1344" s="116" t="s">
        <v>592</v>
      </c>
      <c r="F1344" s="117">
        <v>46066</v>
      </c>
      <c r="G1344" s="116" t="s">
        <v>1038</v>
      </c>
      <c r="H1344" s="112" t="s">
        <v>30</v>
      </c>
      <c r="I1344" s="139">
        <v>3000</v>
      </c>
      <c r="J1344" s="139">
        <v>0</v>
      </c>
      <c r="K1344" s="139">
        <f t="shared" ref="K1344:K1346" si="85">I1344-J1344</f>
        <v>3000</v>
      </c>
      <c r="L1344" s="139">
        <v>3000</v>
      </c>
      <c r="M1344" s="139"/>
      <c r="N1344" s="131">
        <f t="shared" si="82"/>
        <v>0</v>
      </c>
      <c r="O1344" s="143" t="s">
        <v>1325</v>
      </c>
      <c r="P1344" s="167" t="s">
        <v>1140</v>
      </c>
    </row>
    <row r="1345" s="89" customFormat="1" spans="1:16">
      <c r="A1345" s="111">
        <v>46054</v>
      </c>
      <c r="B1345" s="138" t="s">
        <v>491</v>
      </c>
      <c r="C1345" s="78" t="s">
        <v>590</v>
      </c>
      <c r="D1345" s="116" t="s">
        <v>591</v>
      </c>
      <c r="E1345" s="116" t="s">
        <v>592</v>
      </c>
      <c r="F1345" s="117">
        <v>46066</v>
      </c>
      <c r="G1345" s="116" t="s">
        <v>1019</v>
      </c>
      <c r="H1345" s="116" t="s">
        <v>23</v>
      </c>
      <c r="I1345" s="139">
        <v>7590</v>
      </c>
      <c r="J1345" s="139">
        <v>0</v>
      </c>
      <c r="K1345" s="139">
        <f t="shared" si="85"/>
        <v>7590</v>
      </c>
      <c r="L1345" s="139">
        <v>7590</v>
      </c>
      <c r="M1345" s="139"/>
      <c r="N1345" s="131">
        <f t="shared" si="82"/>
        <v>0</v>
      </c>
      <c r="O1345" s="143" t="s">
        <v>1325</v>
      </c>
      <c r="P1345" s="167" t="s">
        <v>1140</v>
      </c>
    </row>
    <row r="1346" s="89" customFormat="1" spans="1:16">
      <c r="A1346" s="111">
        <v>46054</v>
      </c>
      <c r="B1346" s="138" t="s">
        <v>491</v>
      </c>
      <c r="C1346" s="78" t="s">
        <v>590</v>
      </c>
      <c r="D1346" s="116" t="s">
        <v>591</v>
      </c>
      <c r="E1346" s="116" t="s">
        <v>592</v>
      </c>
      <c r="F1346" s="117">
        <v>46066</v>
      </c>
      <c r="G1346" s="116" t="s">
        <v>1019</v>
      </c>
      <c r="H1346" s="112" t="s">
        <v>21</v>
      </c>
      <c r="I1346" s="139">
        <v>7109.76</v>
      </c>
      <c r="J1346" s="139">
        <v>0</v>
      </c>
      <c r="K1346" s="139">
        <f t="shared" si="85"/>
        <v>7109.76</v>
      </c>
      <c r="L1346" s="139">
        <v>7109.76</v>
      </c>
      <c r="M1346" s="139"/>
      <c r="N1346" s="131">
        <f t="shared" si="82"/>
        <v>0</v>
      </c>
      <c r="O1346" s="143" t="s">
        <v>1325</v>
      </c>
      <c r="P1346" s="167" t="s">
        <v>1140</v>
      </c>
    </row>
    <row r="1347" s="86" customFormat="1" spans="1:16">
      <c r="A1347" s="111">
        <v>46054</v>
      </c>
      <c r="B1347" s="116" t="s">
        <v>285</v>
      </c>
      <c r="C1347" s="113" t="s">
        <v>468</v>
      </c>
      <c r="D1347" s="112" t="s">
        <v>469</v>
      </c>
      <c r="E1347" s="112" t="s">
        <v>470</v>
      </c>
      <c r="F1347" s="117">
        <v>46066</v>
      </c>
      <c r="G1347" s="116" t="s">
        <v>96</v>
      </c>
      <c r="H1347" s="112" t="s">
        <v>23</v>
      </c>
      <c r="I1347" s="130">
        <v>2740</v>
      </c>
      <c r="J1347" s="130">
        <v>0</v>
      </c>
      <c r="K1347" s="130">
        <v>2740</v>
      </c>
      <c r="L1347" s="130">
        <v>2740</v>
      </c>
      <c r="M1347" s="130"/>
      <c r="N1347" s="131">
        <f t="shared" si="82"/>
        <v>0</v>
      </c>
      <c r="O1347" s="143" t="s">
        <v>1326</v>
      </c>
      <c r="P1347" s="112" t="s">
        <v>1140</v>
      </c>
    </row>
    <row r="1348" s="86" customFormat="1" spans="1:16">
      <c r="A1348" s="111">
        <v>46054</v>
      </c>
      <c r="B1348" s="116" t="s">
        <v>285</v>
      </c>
      <c r="C1348" s="113" t="s">
        <v>468</v>
      </c>
      <c r="D1348" s="112" t="s">
        <v>469</v>
      </c>
      <c r="E1348" s="112" t="s">
        <v>470</v>
      </c>
      <c r="F1348" s="117">
        <v>46066</v>
      </c>
      <c r="G1348" s="116" t="s">
        <v>96</v>
      </c>
      <c r="H1348" s="112" t="s">
        <v>21</v>
      </c>
      <c r="I1348" s="130">
        <v>4110</v>
      </c>
      <c r="J1348" s="130">
        <v>0</v>
      </c>
      <c r="K1348" s="130">
        <v>4110</v>
      </c>
      <c r="L1348" s="130">
        <v>4110</v>
      </c>
      <c r="M1348" s="130"/>
      <c r="N1348" s="131">
        <f t="shared" si="82"/>
        <v>0</v>
      </c>
      <c r="O1348" s="143" t="s">
        <v>1326</v>
      </c>
      <c r="P1348" s="112" t="s">
        <v>1140</v>
      </c>
    </row>
    <row r="1349" s="86" customFormat="1" spans="1:16">
      <c r="A1349" s="111">
        <v>46054</v>
      </c>
      <c r="B1349" s="116" t="s">
        <v>285</v>
      </c>
      <c r="C1349" s="113" t="s">
        <v>468</v>
      </c>
      <c r="D1349" s="112" t="s">
        <v>469</v>
      </c>
      <c r="E1349" s="112" t="s">
        <v>470</v>
      </c>
      <c r="F1349" s="117">
        <v>46066</v>
      </c>
      <c r="G1349" s="116" t="s">
        <v>1176</v>
      </c>
      <c r="H1349" s="112" t="s">
        <v>23</v>
      </c>
      <c r="I1349" s="130">
        <v>2740</v>
      </c>
      <c r="J1349" s="130">
        <v>0</v>
      </c>
      <c r="K1349" s="130">
        <v>2740</v>
      </c>
      <c r="L1349" s="130">
        <v>2740</v>
      </c>
      <c r="M1349" s="130"/>
      <c r="N1349" s="131">
        <f t="shared" si="82"/>
        <v>0</v>
      </c>
      <c r="O1349" s="143" t="s">
        <v>1327</v>
      </c>
      <c r="P1349" s="112" t="s">
        <v>1140</v>
      </c>
    </row>
    <row r="1350" s="86" customFormat="1" spans="1:16">
      <c r="A1350" s="111">
        <v>46054</v>
      </c>
      <c r="B1350" s="116" t="s">
        <v>285</v>
      </c>
      <c r="C1350" s="113" t="s">
        <v>468</v>
      </c>
      <c r="D1350" s="112" t="s">
        <v>469</v>
      </c>
      <c r="E1350" s="112" t="s">
        <v>470</v>
      </c>
      <c r="F1350" s="117">
        <v>46066</v>
      </c>
      <c r="G1350" s="116" t="s">
        <v>1176</v>
      </c>
      <c r="H1350" s="112" t="s">
        <v>21</v>
      </c>
      <c r="I1350" s="130">
        <v>4110</v>
      </c>
      <c r="J1350" s="130">
        <v>0</v>
      </c>
      <c r="K1350" s="130">
        <v>4110</v>
      </c>
      <c r="L1350" s="130">
        <v>4110</v>
      </c>
      <c r="M1350" s="130"/>
      <c r="N1350" s="131">
        <f t="shared" si="82"/>
        <v>0</v>
      </c>
      <c r="O1350" s="143" t="s">
        <v>1327</v>
      </c>
      <c r="P1350" s="112" t="s">
        <v>1140</v>
      </c>
    </row>
    <row r="1351" s="86" customFormat="1" spans="1:16">
      <c r="A1351" s="111">
        <v>46054</v>
      </c>
      <c r="B1351" s="116" t="s">
        <v>285</v>
      </c>
      <c r="C1351" s="113" t="s">
        <v>468</v>
      </c>
      <c r="D1351" s="112" t="s">
        <v>469</v>
      </c>
      <c r="E1351" s="112" t="s">
        <v>470</v>
      </c>
      <c r="F1351" s="117">
        <v>46066</v>
      </c>
      <c r="G1351" s="116" t="s">
        <v>1328</v>
      </c>
      <c r="H1351" s="112" t="s">
        <v>30</v>
      </c>
      <c r="I1351" s="130">
        <v>2000</v>
      </c>
      <c r="J1351" s="130">
        <v>0</v>
      </c>
      <c r="K1351" s="130">
        <f>3000/12*8</f>
        <v>2000</v>
      </c>
      <c r="L1351" s="130">
        <v>2000</v>
      </c>
      <c r="M1351" s="130"/>
      <c r="N1351" s="131">
        <f t="shared" si="82"/>
        <v>0</v>
      </c>
      <c r="O1351" s="143" t="s">
        <v>1329</v>
      </c>
      <c r="P1351" s="112" t="s">
        <v>1140</v>
      </c>
    </row>
    <row r="1352" s="88" customFormat="1" spans="1:16">
      <c r="A1352" s="111">
        <v>46054</v>
      </c>
      <c r="B1352" s="138"/>
      <c r="C1352" s="119" t="s">
        <v>1330</v>
      </c>
      <c r="D1352" s="135" t="s">
        <v>1331</v>
      </c>
      <c r="E1352" s="135" t="s">
        <v>623</v>
      </c>
      <c r="F1352" s="117">
        <v>46066</v>
      </c>
      <c r="G1352" s="116" t="s">
        <v>1293</v>
      </c>
      <c r="H1352" s="138" t="s">
        <v>833</v>
      </c>
      <c r="I1352" s="131">
        <v>3600</v>
      </c>
      <c r="J1352" s="131"/>
      <c r="K1352" s="131">
        <v>3600</v>
      </c>
      <c r="L1352" s="131">
        <v>3600</v>
      </c>
      <c r="M1352" s="131"/>
      <c r="N1352" s="131">
        <f t="shared" si="82"/>
        <v>0</v>
      </c>
      <c r="O1352" s="143" t="s">
        <v>1332</v>
      </c>
      <c r="P1352" s="138"/>
    </row>
    <row r="1353" s="89" customFormat="1" spans="1:17">
      <c r="A1353" s="111">
        <v>46054</v>
      </c>
      <c r="B1353" s="116" t="s">
        <v>16</v>
      </c>
      <c r="C1353" s="78" t="s">
        <v>268</v>
      </c>
      <c r="D1353" s="116" t="s">
        <v>1333</v>
      </c>
      <c r="E1353" s="116" t="s">
        <v>270</v>
      </c>
      <c r="F1353" s="117">
        <v>46066</v>
      </c>
      <c r="G1353" s="116" t="s">
        <v>1334</v>
      </c>
      <c r="H1353" s="116" t="s">
        <v>23</v>
      </c>
      <c r="I1353" s="139">
        <v>11550</v>
      </c>
      <c r="J1353" s="139">
        <v>0</v>
      </c>
      <c r="K1353" s="139">
        <v>11550</v>
      </c>
      <c r="L1353" s="139">
        <v>11550</v>
      </c>
      <c r="M1353" s="139"/>
      <c r="N1353" s="131">
        <f t="shared" si="82"/>
        <v>0</v>
      </c>
      <c r="O1353" s="143" t="s">
        <v>1179</v>
      </c>
      <c r="P1353" s="141" t="s">
        <v>1140</v>
      </c>
      <c r="Q1353" s="89" t="s">
        <v>51</v>
      </c>
    </row>
    <row r="1354" s="89" customFormat="1" spans="1:17">
      <c r="A1354" s="111">
        <v>46054</v>
      </c>
      <c r="B1354" s="116" t="s">
        <v>16</v>
      </c>
      <c r="C1354" s="78" t="s">
        <v>268</v>
      </c>
      <c r="D1354" s="116" t="s">
        <v>1333</v>
      </c>
      <c r="E1354" s="116" t="s">
        <v>270</v>
      </c>
      <c r="F1354" s="117">
        <v>46066</v>
      </c>
      <c r="G1354" s="116" t="s">
        <v>1334</v>
      </c>
      <c r="H1354" s="112" t="s">
        <v>21</v>
      </c>
      <c r="I1354" s="139">
        <v>10395</v>
      </c>
      <c r="J1354" s="139">
        <v>0</v>
      </c>
      <c r="K1354" s="139">
        <v>10395</v>
      </c>
      <c r="L1354" s="139">
        <v>10395</v>
      </c>
      <c r="M1354" s="139"/>
      <c r="N1354" s="131">
        <f t="shared" si="82"/>
        <v>0</v>
      </c>
      <c r="O1354" s="143" t="s">
        <v>1179</v>
      </c>
      <c r="P1354" s="141" t="s">
        <v>1140</v>
      </c>
      <c r="Q1354" s="89" t="s">
        <v>51</v>
      </c>
    </row>
    <row r="1355" s="88" customFormat="1" spans="1:16">
      <c r="A1355" s="111">
        <v>46054</v>
      </c>
      <c r="B1355" s="116" t="s">
        <v>16</v>
      </c>
      <c r="C1355" s="78" t="s">
        <v>268</v>
      </c>
      <c r="D1355" s="116" t="s">
        <v>1333</v>
      </c>
      <c r="E1355" s="116" t="s">
        <v>270</v>
      </c>
      <c r="F1355" s="117">
        <v>46066</v>
      </c>
      <c r="G1355" s="116" t="s">
        <v>1335</v>
      </c>
      <c r="H1355" s="112" t="s">
        <v>30</v>
      </c>
      <c r="I1355" s="139">
        <v>3000</v>
      </c>
      <c r="J1355" s="131"/>
      <c r="K1355" s="139">
        <v>3000</v>
      </c>
      <c r="L1355" s="139">
        <v>3000</v>
      </c>
      <c r="M1355" s="131"/>
      <c r="N1355" s="131">
        <f t="shared" si="82"/>
        <v>0</v>
      </c>
      <c r="O1355" s="143" t="s">
        <v>1179</v>
      </c>
      <c r="P1355" s="138" t="s">
        <v>1140</v>
      </c>
    </row>
    <row r="1356" s="84" customFormat="1" spans="1:16383">
      <c r="A1356" s="111">
        <v>46054</v>
      </c>
      <c r="B1356" s="269" t="str">
        <f t="shared" ref="B1356:B1391" si="86">MID(C1356,1,2)</f>
        <v>4F</v>
      </c>
      <c r="C1356" s="114" t="s">
        <v>642</v>
      </c>
      <c r="D1356" s="114" t="s">
        <v>643</v>
      </c>
      <c r="E1356" s="114" t="s">
        <v>647</v>
      </c>
      <c r="F1356" s="117">
        <v>46066</v>
      </c>
      <c r="G1356" s="114" t="s">
        <v>96</v>
      </c>
      <c r="H1356" s="114" t="s">
        <v>21</v>
      </c>
      <c r="I1356" s="136">
        <v>1965</v>
      </c>
      <c r="J1356" s="283"/>
      <c r="K1356" s="136">
        <f t="shared" ref="K1356:K1358" si="87">5895/3</f>
        <v>1965</v>
      </c>
      <c r="L1356" s="283">
        <v>1965</v>
      </c>
      <c r="M1356" s="283"/>
      <c r="N1356" s="136">
        <f t="shared" si="82"/>
        <v>0</v>
      </c>
      <c r="O1356" s="143" t="s">
        <v>1336</v>
      </c>
      <c r="P1356" s="269"/>
      <c r="XFC1356"/>
    </row>
    <row r="1357" s="84" customFormat="1" spans="1:16383">
      <c r="A1357" s="111">
        <v>46054</v>
      </c>
      <c r="B1357" s="269" t="str">
        <f t="shared" si="86"/>
        <v>4F</v>
      </c>
      <c r="C1357" s="114" t="s">
        <v>642</v>
      </c>
      <c r="D1357" s="114" t="s">
        <v>643</v>
      </c>
      <c r="E1357" s="114" t="s">
        <v>647</v>
      </c>
      <c r="F1357" s="117">
        <v>46066</v>
      </c>
      <c r="G1357" s="114" t="s">
        <v>1176</v>
      </c>
      <c r="H1357" s="114" t="s">
        <v>21</v>
      </c>
      <c r="I1357" s="136">
        <v>1965</v>
      </c>
      <c r="J1357" s="283"/>
      <c r="K1357" s="136">
        <f t="shared" si="87"/>
        <v>1965</v>
      </c>
      <c r="L1357" s="283">
        <v>1965</v>
      </c>
      <c r="M1357" s="283"/>
      <c r="N1357" s="136">
        <f t="shared" si="82"/>
        <v>0</v>
      </c>
      <c r="O1357" s="143" t="s">
        <v>1336</v>
      </c>
      <c r="P1357" s="269"/>
      <c r="XFC1357"/>
    </row>
    <row r="1358" s="84" customFormat="1" spans="1:16383">
      <c r="A1358" s="111">
        <v>46054</v>
      </c>
      <c r="B1358" s="269" t="str">
        <f t="shared" si="86"/>
        <v>4F</v>
      </c>
      <c r="C1358" s="114" t="s">
        <v>642</v>
      </c>
      <c r="D1358" s="114" t="s">
        <v>643</v>
      </c>
      <c r="E1358" s="114" t="s">
        <v>647</v>
      </c>
      <c r="F1358" s="117">
        <v>46066</v>
      </c>
      <c r="G1358" s="114" t="s">
        <v>1174</v>
      </c>
      <c r="H1358" s="114" t="s">
        <v>21</v>
      </c>
      <c r="I1358" s="136">
        <v>1965</v>
      </c>
      <c r="J1358" s="283"/>
      <c r="K1358" s="136">
        <f t="shared" si="87"/>
        <v>1965</v>
      </c>
      <c r="L1358" s="283">
        <v>1965</v>
      </c>
      <c r="M1358" s="283"/>
      <c r="N1358" s="136">
        <f t="shared" si="82"/>
        <v>0</v>
      </c>
      <c r="O1358" s="143" t="s">
        <v>1336</v>
      </c>
      <c r="P1358" s="269"/>
      <c r="XFC1358"/>
    </row>
    <row r="1359" s="84" customFormat="1" spans="1:16383">
      <c r="A1359" s="111">
        <v>46054</v>
      </c>
      <c r="B1359" s="269" t="str">
        <f t="shared" si="86"/>
        <v>4F</v>
      </c>
      <c r="C1359" s="114" t="s">
        <v>642</v>
      </c>
      <c r="D1359" s="114" t="s">
        <v>643</v>
      </c>
      <c r="E1359" s="114" t="s">
        <v>647</v>
      </c>
      <c r="F1359" s="117">
        <v>46066</v>
      </c>
      <c r="G1359" s="114" t="s">
        <v>96</v>
      </c>
      <c r="H1359" s="114" t="s">
        <v>23</v>
      </c>
      <c r="I1359" s="136">
        <v>1310</v>
      </c>
      <c r="J1359" s="283"/>
      <c r="K1359" s="136">
        <f t="shared" ref="K1359:K1361" si="88">3930/3</f>
        <v>1310</v>
      </c>
      <c r="L1359" s="283">
        <v>1310</v>
      </c>
      <c r="M1359" s="283"/>
      <c r="N1359" s="136">
        <f t="shared" si="82"/>
        <v>0</v>
      </c>
      <c r="O1359" s="143" t="s">
        <v>1336</v>
      </c>
      <c r="P1359" s="269"/>
      <c r="XFC1359"/>
    </row>
    <row r="1360" s="84" customFormat="1" spans="1:16383">
      <c r="A1360" s="111">
        <v>46054</v>
      </c>
      <c r="B1360" s="269" t="str">
        <f t="shared" si="86"/>
        <v>4F</v>
      </c>
      <c r="C1360" s="114" t="s">
        <v>642</v>
      </c>
      <c r="D1360" s="114" t="s">
        <v>643</v>
      </c>
      <c r="E1360" s="114" t="s">
        <v>647</v>
      </c>
      <c r="F1360" s="117">
        <v>46066</v>
      </c>
      <c r="G1360" s="114" t="s">
        <v>1176</v>
      </c>
      <c r="H1360" s="114" t="s">
        <v>23</v>
      </c>
      <c r="I1360" s="136">
        <v>1310</v>
      </c>
      <c r="J1360" s="283"/>
      <c r="K1360" s="136">
        <f t="shared" si="88"/>
        <v>1310</v>
      </c>
      <c r="L1360" s="283">
        <v>1310</v>
      </c>
      <c r="M1360" s="283"/>
      <c r="N1360" s="136">
        <f t="shared" si="82"/>
        <v>0</v>
      </c>
      <c r="O1360" s="143" t="s">
        <v>1336</v>
      </c>
      <c r="P1360" s="269"/>
      <c r="XFC1360"/>
    </row>
    <row r="1361" s="84" customFormat="1" spans="1:16383">
      <c r="A1361" s="111">
        <v>46054</v>
      </c>
      <c r="B1361" s="269" t="str">
        <f t="shared" si="86"/>
        <v>4F</v>
      </c>
      <c r="C1361" s="114" t="s">
        <v>642</v>
      </c>
      <c r="D1361" s="114" t="s">
        <v>643</v>
      </c>
      <c r="E1361" s="114" t="s">
        <v>647</v>
      </c>
      <c r="F1361" s="117">
        <v>46066</v>
      </c>
      <c r="G1361" s="114" t="s">
        <v>1174</v>
      </c>
      <c r="H1361" s="114" t="s">
        <v>23</v>
      </c>
      <c r="I1361" s="136">
        <v>1310</v>
      </c>
      <c r="J1361" s="283"/>
      <c r="K1361" s="136">
        <f t="shared" si="88"/>
        <v>1310</v>
      </c>
      <c r="L1361" s="283">
        <v>1310</v>
      </c>
      <c r="M1361" s="283"/>
      <c r="N1361" s="136">
        <f t="shared" si="82"/>
        <v>0</v>
      </c>
      <c r="O1361" s="143" t="s">
        <v>1336</v>
      </c>
      <c r="P1361" s="269"/>
      <c r="XFC1361"/>
    </row>
    <row r="1362" s="84" customFormat="1" spans="1:16383">
      <c r="A1362" s="111">
        <v>46054</v>
      </c>
      <c r="B1362" s="269" t="str">
        <f t="shared" si="86"/>
        <v>4F</v>
      </c>
      <c r="C1362" s="114" t="s">
        <v>1337</v>
      </c>
      <c r="D1362" s="114" t="s">
        <v>643</v>
      </c>
      <c r="E1362" s="114" t="s">
        <v>647</v>
      </c>
      <c r="F1362" s="117">
        <v>46066</v>
      </c>
      <c r="G1362" s="114" t="s">
        <v>1338</v>
      </c>
      <c r="H1362" s="114" t="s">
        <v>23</v>
      </c>
      <c r="I1362" s="136">
        <v>4990</v>
      </c>
      <c r="J1362" s="283"/>
      <c r="K1362" s="136">
        <v>4990</v>
      </c>
      <c r="L1362" s="283">
        <v>4990</v>
      </c>
      <c r="M1362" s="283"/>
      <c r="N1362" s="136">
        <f t="shared" si="82"/>
        <v>0</v>
      </c>
      <c r="O1362" s="143" t="s">
        <v>1336</v>
      </c>
      <c r="P1362" s="269"/>
      <c r="XFC1362"/>
    </row>
    <row r="1363" s="84" customFormat="1" spans="1:16383">
      <c r="A1363" s="111">
        <v>46054</v>
      </c>
      <c r="B1363" s="269" t="str">
        <f t="shared" si="86"/>
        <v>4F</v>
      </c>
      <c r="C1363" s="114" t="s">
        <v>1337</v>
      </c>
      <c r="D1363" s="114" t="s">
        <v>643</v>
      </c>
      <c r="E1363" s="114" t="s">
        <v>647</v>
      </c>
      <c r="F1363" s="117">
        <v>46066</v>
      </c>
      <c r="G1363" s="114" t="s">
        <v>1174</v>
      </c>
      <c r="H1363" s="114" t="s">
        <v>23</v>
      </c>
      <c r="I1363" s="136">
        <v>4990</v>
      </c>
      <c r="J1363" s="283"/>
      <c r="K1363" s="136">
        <v>4990</v>
      </c>
      <c r="L1363" s="283">
        <v>4990</v>
      </c>
      <c r="M1363" s="283"/>
      <c r="N1363" s="136">
        <f t="shared" si="82"/>
        <v>0</v>
      </c>
      <c r="O1363" s="143" t="s">
        <v>1336</v>
      </c>
      <c r="P1363" s="269"/>
      <c r="XFC1363"/>
    </row>
    <row r="1364" s="84" customFormat="1" spans="1:16383">
      <c r="A1364" s="111">
        <v>46054</v>
      </c>
      <c r="B1364" s="269" t="str">
        <f t="shared" si="86"/>
        <v>4F</v>
      </c>
      <c r="C1364" s="114" t="s">
        <v>1337</v>
      </c>
      <c r="D1364" s="114" t="s">
        <v>643</v>
      </c>
      <c r="E1364" s="114" t="s">
        <v>647</v>
      </c>
      <c r="F1364" s="117">
        <v>46066</v>
      </c>
      <c r="G1364" s="114" t="s">
        <v>1176</v>
      </c>
      <c r="H1364" s="114" t="s">
        <v>23</v>
      </c>
      <c r="I1364" s="136">
        <v>4990</v>
      </c>
      <c r="J1364" s="283"/>
      <c r="K1364" s="136">
        <v>4990</v>
      </c>
      <c r="L1364" s="283">
        <v>4990</v>
      </c>
      <c r="M1364" s="283"/>
      <c r="N1364" s="136">
        <f t="shared" si="82"/>
        <v>0</v>
      </c>
      <c r="O1364" s="143" t="s">
        <v>1336</v>
      </c>
      <c r="P1364" s="269"/>
      <c r="XFC1364"/>
    </row>
    <row r="1365" s="84" customFormat="1" spans="1:16383">
      <c r="A1365" s="111">
        <v>46054</v>
      </c>
      <c r="B1365" s="269" t="str">
        <f t="shared" si="86"/>
        <v>4F</v>
      </c>
      <c r="C1365" s="114" t="s">
        <v>1337</v>
      </c>
      <c r="D1365" s="114" t="s">
        <v>643</v>
      </c>
      <c r="E1365" s="114" t="s">
        <v>647</v>
      </c>
      <c r="F1365" s="117">
        <v>46066</v>
      </c>
      <c r="G1365" s="114" t="s">
        <v>1338</v>
      </c>
      <c r="H1365" s="114" t="s">
        <v>21</v>
      </c>
      <c r="I1365" s="136">
        <v>7485</v>
      </c>
      <c r="J1365" s="283"/>
      <c r="K1365" s="136">
        <v>7485</v>
      </c>
      <c r="L1365" s="283">
        <v>7485</v>
      </c>
      <c r="M1365" s="283"/>
      <c r="N1365" s="136">
        <f t="shared" si="82"/>
        <v>0</v>
      </c>
      <c r="O1365" s="143" t="s">
        <v>1336</v>
      </c>
      <c r="P1365" s="269"/>
      <c r="XFC1365"/>
    </row>
    <row r="1366" s="84" customFormat="1" spans="1:16383">
      <c r="A1366" s="111">
        <v>46054</v>
      </c>
      <c r="B1366" s="269" t="str">
        <f t="shared" si="86"/>
        <v>4F</v>
      </c>
      <c r="C1366" s="114" t="s">
        <v>1337</v>
      </c>
      <c r="D1366" s="114" t="s">
        <v>643</v>
      </c>
      <c r="E1366" s="114" t="s">
        <v>647</v>
      </c>
      <c r="F1366" s="117">
        <v>46066</v>
      </c>
      <c r="G1366" s="114" t="s">
        <v>1174</v>
      </c>
      <c r="H1366" s="114" t="s">
        <v>21</v>
      </c>
      <c r="I1366" s="136">
        <v>7485</v>
      </c>
      <c r="J1366" s="283"/>
      <c r="K1366" s="136">
        <v>7485</v>
      </c>
      <c r="L1366" s="283">
        <v>7485</v>
      </c>
      <c r="M1366" s="283"/>
      <c r="N1366" s="136">
        <f t="shared" si="82"/>
        <v>0</v>
      </c>
      <c r="O1366" s="143" t="s">
        <v>1336</v>
      </c>
      <c r="P1366" s="269"/>
      <c r="XFC1366"/>
    </row>
    <row r="1367" s="84" customFormat="1" spans="1:16383">
      <c r="A1367" s="111">
        <v>46054</v>
      </c>
      <c r="B1367" s="269" t="str">
        <f t="shared" si="86"/>
        <v>4F</v>
      </c>
      <c r="C1367" s="114" t="s">
        <v>1337</v>
      </c>
      <c r="D1367" s="114" t="s">
        <v>643</v>
      </c>
      <c r="E1367" s="114" t="s">
        <v>647</v>
      </c>
      <c r="F1367" s="117">
        <v>46066</v>
      </c>
      <c r="G1367" s="114" t="s">
        <v>1176</v>
      </c>
      <c r="H1367" s="114" t="s">
        <v>21</v>
      </c>
      <c r="I1367" s="136">
        <v>7485</v>
      </c>
      <c r="J1367" s="283"/>
      <c r="K1367" s="136">
        <v>7485</v>
      </c>
      <c r="L1367" s="283">
        <v>7485</v>
      </c>
      <c r="M1367" s="283"/>
      <c r="N1367" s="136">
        <f t="shared" si="82"/>
        <v>0</v>
      </c>
      <c r="O1367" s="143" t="s">
        <v>1336</v>
      </c>
      <c r="P1367" s="269"/>
      <c r="XFC1367"/>
    </row>
    <row r="1368" s="84" customFormat="1" spans="1:16383">
      <c r="A1368" s="111">
        <v>46054</v>
      </c>
      <c r="B1368" s="269" t="str">
        <f t="shared" si="86"/>
        <v>2F</v>
      </c>
      <c r="C1368" s="114" t="s">
        <v>286</v>
      </c>
      <c r="D1368" s="114" t="s">
        <v>287</v>
      </c>
      <c r="E1368" s="114" t="s">
        <v>288</v>
      </c>
      <c r="F1368" s="117">
        <v>46066</v>
      </c>
      <c r="G1368" s="114" t="s">
        <v>1338</v>
      </c>
      <c r="H1368" s="114" t="s">
        <v>23</v>
      </c>
      <c r="I1368" s="136">
        <v>3606.75</v>
      </c>
      <c r="J1368" s="283"/>
      <c r="K1368" s="136">
        <v>3606.75</v>
      </c>
      <c r="L1368" s="283">
        <v>3606.75</v>
      </c>
      <c r="M1368" s="283"/>
      <c r="N1368" s="136">
        <f t="shared" si="82"/>
        <v>0</v>
      </c>
      <c r="O1368" s="143" t="s">
        <v>1339</v>
      </c>
      <c r="P1368" s="269"/>
      <c r="XFC1368"/>
    </row>
    <row r="1369" s="84" customFormat="1" spans="1:16383">
      <c r="A1369" s="111">
        <v>46054</v>
      </c>
      <c r="B1369" s="269" t="str">
        <f t="shared" si="86"/>
        <v>2F</v>
      </c>
      <c r="C1369" s="114" t="s">
        <v>286</v>
      </c>
      <c r="D1369" s="114" t="s">
        <v>287</v>
      </c>
      <c r="E1369" s="114" t="s">
        <v>288</v>
      </c>
      <c r="F1369" s="117">
        <v>46066</v>
      </c>
      <c r="G1369" s="114" t="s">
        <v>1174</v>
      </c>
      <c r="H1369" s="114" t="s">
        <v>23</v>
      </c>
      <c r="I1369" s="136">
        <v>3606.75</v>
      </c>
      <c r="J1369" s="283"/>
      <c r="K1369" s="136">
        <v>3606.75</v>
      </c>
      <c r="L1369" s="283">
        <v>3606.75</v>
      </c>
      <c r="M1369" s="283"/>
      <c r="N1369" s="136">
        <f t="shared" si="82"/>
        <v>0</v>
      </c>
      <c r="O1369" s="143" t="s">
        <v>1339</v>
      </c>
      <c r="P1369" s="269"/>
      <c r="XFC1369"/>
    </row>
    <row r="1370" s="84" customFormat="1" spans="1:16383">
      <c r="A1370" s="111">
        <v>46054</v>
      </c>
      <c r="B1370" s="269" t="str">
        <f t="shared" si="86"/>
        <v>2F</v>
      </c>
      <c r="C1370" s="114" t="s">
        <v>286</v>
      </c>
      <c r="D1370" s="114" t="s">
        <v>287</v>
      </c>
      <c r="E1370" s="114" t="s">
        <v>288</v>
      </c>
      <c r="F1370" s="117">
        <v>46066</v>
      </c>
      <c r="G1370" s="114" t="s">
        <v>1176</v>
      </c>
      <c r="H1370" s="114" t="s">
        <v>23</v>
      </c>
      <c r="I1370" s="136">
        <v>3606.75</v>
      </c>
      <c r="J1370" s="283"/>
      <c r="K1370" s="136">
        <v>3606.75</v>
      </c>
      <c r="L1370" s="283">
        <v>3606.75</v>
      </c>
      <c r="M1370" s="283"/>
      <c r="N1370" s="136">
        <f t="shared" si="82"/>
        <v>0</v>
      </c>
      <c r="O1370" s="143" t="s">
        <v>1339</v>
      </c>
      <c r="P1370" s="269"/>
      <c r="XFC1370"/>
    </row>
    <row r="1371" s="84" customFormat="1" spans="1:16383">
      <c r="A1371" s="111">
        <v>46054</v>
      </c>
      <c r="B1371" s="269" t="str">
        <f t="shared" si="86"/>
        <v>2F</v>
      </c>
      <c r="C1371" s="114" t="s">
        <v>286</v>
      </c>
      <c r="D1371" s="114" t="s">
        <v>287</v>
      </c>
      <c r="E1371" s="114" t="s">
        <v>288</v>
      </c>
      <c r="F1371" s="117">
        <v>46066</v>
      </c>
      <c r="G1371" s="114" t="s">
        <v>1338</v>
      </c>
      <c r="H1371" s="114" t="s">
        <v>21</v>
      </c>
      <c r="I1371" s="136">
        <v>30296.7</v>
      </c>
      <c r="J1371" s="283"/>
      <c r="K1371" s="136">
        <v>30296.7</v>
      </c>
      <c r="L1371" s="283">
        <v>4296.7</v>
      </c>
      <c r="M1371" s="283"/>
      <c r="N1371" s="136">
        <f t="shared" si="82"/>
        <v>26000</v>
      </c>
      <c r="O1371" s="143" t="s">
        <v>1339</v>
      </c>
      <c r="P1371" s="269"/>
      <c r="XFC1371"/>
    </row>
    <row r="1372" s="84" customFormat="1" spans="1:16383">
      <c r="A1372" s="111">
        <v>46054</v>
      </c>
      <c r="B1372" s="269" t="str">
        <f t="shared" si="86"/>
        <v>2F</v>
      </c>
      <c r="C1372" s="114" t="s">
        <v>286</v>
      </c>
      <c r="D1372" s="114" t="s">
        <v>287</v>
      </c>
      <c r="E1372" s="114" t="s">
        <v>288</v>
      </c>
      <c r="F1372" s="117">
        <v>46066</v>
      </c>
      <c r="G1372" s="114" t="s">
        <v>1174</v>
      </c>
      <c r="H1372" s="114" t="s">
        <v>21</v>
      </c>
      <c r="I1372" s="136">
        <v>30296.7</v>
      </c>
      <c r="J1372" s="283"/>
      <c r="K1372" s="136">
        <v>30296.7</v>
      </c>
      <c r="L1372" s="283">
        <v>30296.7</v>
      </c>
      <c r="M1372" s="283"/>
      <c r="N1372" s="136">
        <f t="shared" si="82"/>
        <v>0</v>
      </c>
      <c r="O1372" s="143" t="s">
        <v>1339</v>
      </c>
      <c r="P1372" s="269"/>
      <c r="XFC1372"/>
    </row>
    <row r="1373" s="84" customFormat="1" spans="1:16383">
      <c r="A1373" s="111">
        <v>46054</v>
      </c>
      <c r="B1373" s="269" t="str">
        <f t="shared" si="86"/>
        <v>2F</v>
      </c>
      <c r="C1373" s="114" t="s">
        <v>286</v>
      </c>
      <c r="D1373" s="114" t="s">
        <v>287</v>
      </c>
      <c r="E1373" s="114" t="s">
        <v>288</v>
      </c>
      <c r="F1373" s="117">
        <v>46066</v>
      </c>
      <c r="G1373" s="114" t="s">
        <v>1176</v>
      </c>
      <c r="H1373" s="114" t="s">
        <v>21</v>
      </c>
      <c r="I1373" s="136">
        <v>30296.7</v>
      </c>
      <c r="J1373" s="283"/>
      <c r="K1373" s="136">
        <v>30296.7</v>
      </c>
      <c r="L1373" s="283">
        <v>30296.7</v>
      </c>
      <c r="M1373" s="283"/>
      <c r="N1373" s="136">
        <f t="shared" si="82"/>
        <v>0</v>
      </c>
      <c r="O1373" s="143" t="s">
        <v>1339</v>
      </c>
      <c r="P1373" s="269"/>
      <c r="XFC1373"/>
    </row>
    <row r="1374" s="84" customFormat="1" spans="1:16383">
      <c r="A1374" s="111">
        <v>46054</v>
      </c>
      <c r="B1374" s="269" t="str">
        <f t="shared" si="86"/>
        <v>1F</v>
      </c>
      <c r="C1374" s="114" t="s">
        <v>107</v>
      </c>
      <c r="D1374" s="114" t="s">
        <v>108</v>
      </c>
      <c r="E1374" s="116" t="s">
        <v>109</v>
      </c>
      <c r="F1374" s="117">
        <v>46066</v>
      </c>
      <c r="G1374" s="114" t="s">
        <v>1338</v>
      </c>
      <c r="H1374" s="114" t="s">
        <v>23</v>
      </c>
      <c r="I1374" s="136">
        <v>7590</v>
      </c>
      <c r="J1374" s="283"/>
      <c r="K1374" s="136">
        <v>7590</v>
      </c>
      <c r="L1374" s="283">
        <v>7590</v>
      </c>
      <c r="M1374" s="283"/>
      <c r="N1374" s="136">
        <f t="shared" si="82"/>
        <v>0</v>
      </c>
      <c r="O1374" s="143" t="s">
        <v>1340</v>
      </c>
      <c r="P1374" s="269"/>
      <c r="XFC1374"/>
    </row>
    <row r="1375" s="84" customFormat="1" spans="1:16383">
      <c r="A1375" s="111">
        <v>46054</v>
      </c>
      <c r="B1375" s="269" t="str">
        <f t="shared" si="86"/>
        <v>1F</v>
      </c>
      <c r="C1375" s="114" t="s">
        <v>107</v>
      </c>
      <c r="D1375" s="114" t="s">
        <v>108</v>
      </c>
      <c r="E1375" s="116" t="s">
        <v>109</v>
      </c>
      <c r="F1375" s="117">
        <v>46066</v>
      </c>
      <c r="G1375" s="114" t="s">
        <v>1174</v>
      </c>
      <c r="H1375" s="114" t="s">
        <v>23</v>
      </c>
      <c r="I1375" s="136">
        <v>7590</v>
      </c>
      <c r="J1375" s="283"/>
      <c r="K1375" s="136">
        <v>7590</v>
      </c>
      <c r="L1375" s="283">
        <v>7590</v>
      </c>
      <c r="M1375" s="283"/>
      <c r="N1375" s="136">
        <f t="shared" ref="N1375:N1438" si="89">K1375-L1375</f>
        <v>0</v>
      </c>
      <c r="O1375" s="143" t="s">
        <v>1340</v>
      </c>
      <c r="P1375" s="269"/>
      <c r="XFC1375"/>
    </row>
    <row r="1376" s="84" customFormat="1" spans="1:16383">
      <c r="A1376" s="111">
        <v>46054</v>
      </c>
      <c r="B1376" s="269" t="str">
        <f t="shared" si="86"/>
        <v>1F</v>
      </c>
      <c r="C1376" s="114" t="s">
        <v>107</v>
      </c>
      <c r="D1376" s="114" t="s">
        <v>108</v>
      </c>
      <c r="E1376" s="116" t="s">
        <v>109</v>
      </c>
      <c r="F1376" s="117">
        <v>46066</v>
      </c>
      <c r="G1376" s="114" t="s">
        <v>1176</v>
      </c>
      <c r="H1376" s="114" t="s">
        <v>23</v>
      </c>
      <c r="I1376" s="136">
        <v>7590</v>
      </c>
      <c r="J1376" s="283"/>
      <c r="K1376" s="136">
        <v>7590</v>
      </c>
      <c r="L1376" s="283">
        <v>7590</v>
      </c>
      <c r="M1376" s="283"/>
      <c r="N1376" s="136">
        <f t="shared" si="89"/>
        <v>0</v>
      </c>
      <c r="O1376" s="143" t="s">
        <v>1340</v>
      </c>
      <c r="P1376" s="269"/>
      <c r="XFC1376"/>
    </row>
    <row r="1377" s="84" customFormat="1" spans="1:16383">
      <c r="A1377" s="111">
        <v>46054</v>
      </c>
      <c r="B1377" s="269" t="str">
        <f t="shared" si="86"/>
        <v>1F</v>
      </c>
      <c r="C1377" s="114" t="s">
        <v>107</v>
      </c>
      <c r="D1377" s="114" t="s">
        <v>108</v>
      </c>
      <c r="E1377" s="116" t="s">
        <v>109</v>
      </c>
      <c r="F1377" s="117">
        <v>46066</v>
      </c>
      <c r="G1377" s="114" t="s">
        <v>1338</v>
      </c>
      <c r="H1377" s="114" t="s">
        <v>21</v>
      </c>
      <c r="I1377" s="136">
        <v>28686.06</v>
      </c>
      <c r="J1377" s="283"/>
      <c r="K1377" s="136">
        <v>28686.06</v>
      </c>
      <c r="L1377" s="283">
        <f>16086.06+2600+10000</f>
        <v>28686.06</v>
      </c>
      <c r="M1377" s="283"/>
      <c r="N1377" s="136">
        <f t="shared" si="89"/>
        <v>0</v>
      </c>
      <c r="O1377" s="143" t="s">
        <v>1341</v>
      </c>
      <c r="P1377" s="269"/>
      <c r="XFC1377"/>
    </row>
    <row r="1378" s="84" customFormat="1" spans="1:16383">
      <c r="A1378" s="111">
        <v>46054</v>
      </c>
      <c r="B1378" s="269" t="str">
        <f t="shared" si="86"/>
        <v>1F</v>
      </c>
      <c r="C1378" s="114" t="s">
        <v>107</v>
      </c>
      <c r="D1378" s="114" t="s">
        <v>108</v>
      </c>
      <c r="E1378" s="116" t="s">
        <v>109</v>
      </c>
      <c r="F1378" s="117">
        <v>46066</v>
      </c>
      <c r="G1378" s="114" t="s">
        <v>1174</v>
      </c>
      <c r="H1378" s="114" t="s">
        <v>21</v>
      </c>
      <c r="I1378" s="136">
        <v>28686.06</v>
      </c>
      <c r="J1378" s="283"/>
      <c r="K1378" s="136">
        <v>28686.06</v>
      </c>
      <c r="L1378" s="283">
        <v>28686.06</v>
      </c>
      <c r="M1378" s="283"/>
      <c r="N1378" s="136">
        <f t="shared" si="89"/>
        <v>0</v>
      </c>
      <c r="O1378" s="143" t="s">
        <v>1340</v>
      </c>
      <c r="P1378" s="269"/>
      <c r="XFC1378"/>
    </row>
    <row r="1379" s="84" customFormat="1" spans="1:16383">
      <c r="A1379" s="111">
        <v>46054</v>
      </c>
      <c r="B1379" s="269" t="str">
        <f t="shared" si="86"/>
        <v>1F</v>
      </c>
      <c r="C1379" s="114" t="s">
        <v>107</v>
      </c>
      <c r="D1379" s="114" t="s">
        <v>108</v>
      </c>
      <c r="E1379" s="116" t="s">
        <v>109</v>
      </c>
      <c r="F1379" s="117">
        <v>46066</v>
      </c>
      <c r="G1379" s="114" t="s">
        <v>1176</v>
      </c>
      <c r="H1379" s="114" t="s">
        <v>21</v>
      </c>
      <c r="I1379" s="136">
        <v>28686.06</v>
      </c>
      <c r="J1379" s="283"/>
      <c r="K1379" s="136">
        <v>28686.06</v>
      </c>
      <c r="L1379" s="283">
        <v>28686.06</v>
      </c>
      <c r="M1379" s="283"/>
      <c r="N1379" s="136">
        <f t="shared" si="89"/>
        <v>0</v>
      </c>
      <c r="O1379" s="143" t="s">
        <v>1340</v>
      </c>
      <c r="P1379" s="269"/>
      <c r="XFC1379"/>
    </row>
    <row r="1380" s="84" customFormat="1" spans="1:16383">
      <c r="A1380" s="111">
        <v>46054</v>
      </c>
      <c r="B1380" s="269" t="str">
        <f t="shared" si="86"/>
        <v>2F</v>
      </c>
      <c r="C1380" s="114" t="s">
        <v>429</v>
      </c>
      <c r="D1380" s="114" t="s">
        <v>430</v>
      </c>
      <c r="E1380" s="114" t="s">
        <v>431</v>
      </c>
      <c r="F1380" s="117">
        <v>46066</v>
      </c>
      <c r="G1380" s="114" t="s">
        <v>1338</v>
      </c>
      <c r="H1380" s="114" t="s">
        <v>23</v>
      </c>
      <c r="I1380" s="136">
        <v>4470</v>
      </c>
      <c r="J1380" s="283"/>
      <c r="K1380" s="136">
        <v>4470</v>
      </c>
      <c r="L1380" s="283">
        <v>4470</v>
      </c>
      <c r="M1380" s="283"/>
      <c r="N1380" s="136">
        <f t="shared" si="89"/>
        <v>0</v>
      </c>
      <c r="O1380" s="143" t="s">
        <v>1342</v>
      </c>
      <c r="P1380" s="269"/>
      <c r="XFC1380"/>
    </row>
    <row r="1381" s="84" customFormat="1" spans="1:16383">
      <c r="A1381" s="111">
        <v>46054</v>
      </c>
      <c r="B1381" s="269" t="str">
        <f t="shared" si="86"/>
        <v>2F</v>
      </c>
      <c r="C1381" s="114" t="s">
        <v>429</v>
      </c>
      <c r="D1381" s="114" t="s">
        <v>430</v>
      </c>
      <c r="E1381" s="114" t="s">
        <v>431</v>
      </c>
      <c r="F1381" s="117">
        <v>46066</v>
      </c>
      <c r="G1381" s="114" t="s">
        <v>1174</v>
      </c>
      <c r="H1381" s="114" t="s">
        <v>23</v>
      </c>
      <c r="I1381" s="136">
        <v>4470</v>
      </c>
      <c r="J1381" s="283"/>
      <c r="K1381" s="136">
        <v>4470</v>
      </c>
      <c r="L1381" s="283">
        <v>4470</v>
      </c>
      <c r="M1381" s="283"/>
      <c r="N1381" s="136">
        <f t="shared" si="89"/>
        <v>0</v>
      </c>
      <c r="O1381" s="143" t="s">
        <v>1343</v>
      </c>
      <c r="P1381" s="269"/>
      <c r="XFC1381"/>
    </row>
    <row r="1382" s="84" customFormat="1" spans="1:16383">
      <c r="A1382" s="111">
        <v>46054</v>
      </c>
      <c r="B1382" s="269" t="str">
        <f t="shared" si="86"/>
        <v>2F</v>
      </c>
      <c r="C1382" s="114" t="s">
        <v>429</v>
      </c>
      <c r="D1382" s="114" t="s">
        <v>430</v>
      </c>
      <c r="E1382" s="114" t="s">
        <v>431</v>
      </c>
      <c r="F1382" s="117">
        <v>46066</v>
      </c>
      <c r="G1382" s="114" t="s">
        <v>1176</v>
      </c>
      <c r="H1382" s="114" t="s">
        <v>23</v>
      </c>
      <c r="I1382" s="136">
        <v>4470</v>
      </c>
      <c r="J1382" s="283"/>
      <c r="K1382" s="136">
        <v>4470</v>
      </c>
      <c r="L1382" s="283">
        <v>4470</v>
      </c>
      <c r="M1382" s="283"/>
      <c r="N1382" s="136">
        <f t="shared" si="89"/>
        <v>0</v>
      </c>
      <c r="O1382" s="143" t="s">
        <v>1344</v>
      </c>
      <c r="P1382" s="269"/>
      <c r="XFC1382"/>
    </row>
    <row r="1383" s="84" customFormat="1" spans="1:16383">
      <c r="A1383" s="111">
        <v>46054</v>
      </c>
      <c r="B1383" s="269" t="str">
        <f t="shared" si="86"/>
        <v>2F</v>
      </c>
      <c r="C1383" s="114" t="s">
        <v>429</v>
      </c>
      <c r="D1383" s="114" t="s">
        <v>430</v>
      </c>
      <c r="E1383" s="114" t="s">
        <v>431</v>
      </c>
      <c r="F1383" s="117">
        <v>46066</v>
      </c>
      <c r="G1383" s="114" t="s">
        <v>1338</v>
      </c>
      <c r="H1383" s="114" t="s">
        <v>21</v>
      </c>
      <c r="I1383" s="136">
        <v>5530</v>
      </c>
      <c r="J1383" s="283"/>
      <c r="K1383" s="136">
        <v>5530</v>
      </c>
      <c r="L1383" s="283">
        <v>5530</v>
      </c>
      <c r="M1383" s="283"/>
      <c r="N1383" s="136">
        <f t="shared" si="89"/>
        <v>0</v>
      </c>
      <c r="O1383" s="143" t="s">
        <v>1342</v>
      </c>
      <c r="P1383" s="269"/>
      <c r="XFC1383"/>
    </row>
    <row r="1384" s="84" customFormat="1" spans="1:16383">
      <c r="A1384" s="111">
        <v>46054</v>
      </c>
      <c r="B1384" s="269" t="str">
        <f t="shared" si="86"/>
        <v>2F</v>
      </c>
      <c r="C1384" s="114" t="s">
        <v>429</v>
      </c>
      <c r="D1384" s="114" t="s">
        <v>430</v>
      </c>
      <c r="E1384" s="114" t="s">
        <v>431</v>
      </c>
      <c r="F1384" s="117">
        <v>46066</v>
      </c>
      <c r="G1384" s="114" t="s">
        <v>1174</v>
      </c>
      <c r="H1384" s="114" t="s">
        <v>21</v>
      </c>
      <c r="I1384" s="136">
        <v>5530</v>
      </c>
      <c r="J1384" s="283"/>
      <c r="K1384" s="136">
        <v>5530</v>
      </c>
      <c r="L1384" s="283">
        <v>5530</v>
      </c>
      <c r="M1384" s="283"/>
      <c r="N1384" s="136">
        <f t="shared" si="89"/>
        <v>0</v>
      </c>
      <c r="O1384" s="143" t="s">
        <v>1343</v>
      </c>
      <c r="P1384" s="269"/>
      <c r="XFC1384"/>
    </row>
    <row r="1385" s="84" customFormat="1" spans="1:16383">
      <c r="A1385" s="111">
        <v>46054</v>
      </c>
      <c r="B1385" s="269" t="str">
        <f t="shared" si="86"/>
        <v>2F</v>
      </c>
      <c r="C1385" s="114" t="s">
        <v>429</v>
      </c>
      <c r="D1385" s="114" t="s">
        <v>430</v>
      </c>
      <c r="E1385" s="114" t="s">
        <v>431</v>
      </c>
      <c r="F1385" s="117">
        <v>46066</v>
      </c>
      <c r="G1385" s="114" t="s">
        <v>1176</v>
      </c>
      <c r="H1385" s="114" t="s">
        <v>21</v>
      </c>
      <c r="I1385" s="136">
        <v>5530</v>
      </c>
      <c r="J1385" s="283"/>
      <c r="K1385" s="136">
        <v>5530</v>
      </c>
      <c r="L1385" s="283">
        <v>5530</v>
      </c>
      <c r="M1385" s="283"/>
      <c r="N1385" s="136">
        <f t="shared" si="89"/>
        <v>0</v>
      </c>
      <c r="O1385" s="143" t="s">
        <v>1344</v>
      </c>
      <c r="P1385" s="269"/>
      <c r="XFC1385"/>
    </row>
    <row r="1386" s="84" customFormat="1" spans="1:16383">
      <c r="A1386" s="111">
        <v>46054</v>
      </c>
      <c r="B1386" s="269" t="str">
        <f t="shared" si="86"/>
        <v>1F</v>
      </c>
      <c r="C1386" s="114" t="s">
        <v>1345</v>
      </c>
      <c r="D1386" s="114" t="s">
        <v>1346</v>
      </c>
      <c r="E1386" s="114" t="s">
        <v>266</v>
      </c>
      <c r="F1386" s="117">
        <v>46066</v>
      </c>
      <c r="G1386" s="114" t="s">
        <v>1338</v>
      </c>
      <c r="H1386" s="114" t="s">
        <v>23</v>
      </c>
      <c r="I1386" s="136">
        <v>7205</v>
      </c>
      <c r="J1386" s="283"/>
      <c r="K1386" s="136">
        <v>7205</v>
      </c>
      <c r="L1386" s="283">
        <v>7205</v>
      </c>
      <c r="M1386" s="283"/>
      <c r="N1386" s="136">
        <f t="shared" si="89"/>
        <v>0</v>
      </c>
      <c r="O1386" s="143" t="s">
        <v>1083</v>
      </c>
      <c r="P1386" s="269"/>
      <c r="XFC1386"/>
    </row>
    <row r="1387" s="84" customFormat="1" spans="1:16383">
      <c r="A1387" s="111">
        <v>46054</v>
      </c>
      <c r="B1387" s="269" t="str">
        <f t="shared" si="86"/>
        <v>1F</v>
      </c>
      <c r="C1387" s="114" t="s">
        <v>1345</v>
      </c>
      <c r="D1387" s="114" t="s">
        <v>1346</v>
      </c>
      <c r="E1387" s="114" t="s">
        <v>266</v>
      </c>
      <c r="F1387" s="117">
        <v>46066</v>
      </c>
      <c r="G1387" s="114" t="s">
        <v>1174</v>
      </c>
      <c r="H1387" s="114" t="s">
        <v>23</v>
      </c>
      <c r="I1387" s="136">
        <v>7205</v>
      </c>
      <c r="J1387" s="283"/>
      <c r="K1387" s="136">
        <v>7205</v>
      </c>
      <c r="L1387" s="283">
        <v>7205</v>
      </c>
      <c r="M1387" s="283"/>
      <c r="N1387" s="136">
        <f t="shared" si="89"/>
        <v>0</v>
      </c>
      <c r="O1387" s="143" t="s">
        <v>1083</v>
      </c>
      <c r="P1387" s="269"/>
      <c r="XFC1387"/>
    </row>
    <row r="1388" s="84" customFormat="1" spans="1:16383">
      <c r="A1388" s="111">
        <v>46054</v>
      </c>
      <c r="B1388" s="269" t="str">
        <f t="shared" si="86"/>
        <v>1F</v>
      </c>
      <c r="C1388" s="114" t="s">
        <v>1345</v>
      </c>
      <c r="D1388" s="114" t="s">
        <v>1346</v>
      </c>
      <c r="E1388" s="114" t="s">
        <v>266</v>
      </c>
      <c r="F1388" s="117">
        <v>46066</v>
      </c>
      <c r="G1388" s="114" t="s">
        <v>1176</v>
      </c>
      <c r="H1388" s="114" t="s">
        <v>23</v>
      </c>
      <c r="I1388" s="136">
        <v>7205</v>
      </c>
      <c r="J1388" s="283"/>
      <c r="K1388" s="136">
        <v>7205</v>
      </c>
      <c r="L1388" s="283">
        <v>7205</v>
      </c>
      <c r="M1388" s="283"/>
      <c r="N1388" s="136">
        <f t="shared" si="89"/>
        <v>0</v>
      </c>
      <c r="O1388" s="143" t="s">
        <v>1083</v>
      </c>
      <c r="P1388" s="269"/>
      <c r="XFC1388"/>
    </row>
    <row r="1389" s="84" customFormat="1" spans="1:16383">
      <c r="A1389" s="111">
        <v>46054</v>
      </c>
      <c r="B1389" s="269" t="str">
        <f t="shared" si="86"/>
        <v>1F</v>
      </c>
      <c r="C1389" s="114" t="s">
        <v>1345</v>
      </c>
      <c r="D1389" s="114" t="s">
        <v>1346</v>
      </c>
      <c r="E1389" s="114" t="s">
        <v>266</v>
      </c>
      <c r="F1389" s="117">
        <v>46066</v>
      </c>
      <c r="G1389" s="114" t="s">
        <v>1338</v>
      </c>
      <c r="H1389" s="114" t="s">
        <v>21</v>
      </c>
      <c r="I1389" s="136">
        <v>14708.68</v>
      </c>
      <c r="J1389" s="283"/>
      <c r="K1389" s="136">
        <v>14708.68</v>
      </c>
      <c r="L1389" s="283">
        <v>14708.68</v>
      </c>
      <c r="M1389" s="283"/>
      <c r="N1389" s="136">
        <f t="shared" si="89"/>
        <v>0</v>
      </c>
      <c r="O1389" s="143" t="s">
        <v>1083</v>
      </c>
      <c r="P1389" s="269"/>
      <c r="XFC1389"/>
    </row>
    <row r="1390" s="84" customFormat="1" spans="1:16383">
      <c r="A1390" s="111">
        <v>46054</v>
      </c>
      <c r="B1390" s="269" t="str">
        <f t="shared" si="86"/>
        <v>1F</v>
      </c>
      <c r="C1390" s="114" t="s">
        <v>1345</v>
      </c>
      <c r="D1390" s="114" t="s">
        <v>1346</v>
      </c>
      <c r="E1390" s="114" t="s">
        <v>266</v>
      </c>
      <c r="F1390" s="117">
        <v>46066</v>
      </c>
      <c r="G1390" s="114" t="s">
        <v>1174</v>
      </c>
      <c r="H1390" s="114" t="s">
        <v>21</v>
      </c>
      <c r="I1390" s="136">
        <v>14708.68</v>
      </c>
      <c r="J1390" s="283"/>
      <c r="K1390" s="136">
        <v>14708.68</v>
      </c>
      <c r="L1390" s="283">
        <v>14708.68</v>
      </c>
      <c r="M1390" s="283"/>
      <c r="N1390" s="136">
        <f t="shared" si="89"/>
        <v>0</v>
      </c>
      <c r="O1390" s="143" t="s">
        <v>1083</v>
      </c>
      <c r="P1390" s="269"/>
      <c r="XFC1390"/>
    </row>
    <row r="1391" s="84" customFormat="1" spans="1:16383">
      <c r="A1391" s="111">
        <v>46054</v>
      </c>
      <c r="B1391" s="269" t="str">
        <f t="shared" si="86"/>
        <v>1F</v>
      </c>
      <c r="C1391" s="114" t="s">
        <v>1345</v>
      </c>
      <c r="D1391" s="114" t="s">
        <v>1346</v>
      </c>
      <c r="E1391" s="114" t="s">
        <v>266</v>
      </c>
      <c r="F1391" s="117">
        <v>46066</v>
      </c>
      <c r="G1391" s="114" t="s">
        <v>1176</v>
      </c>
      <c r="H1391" s="114" t="s">
        <v>21</v>
      </c>
      <c r="I1391" s="136">
        <v>14708.68</v>
      </c>
      <c r="J1391" s="283"/>
      <c r="K1391" s="136">
        <v>14708.68</v>
      </c>
      <c r="L1391" s="283">
        <v>14708.68</v>
      </c>
      <c r="M1391" s="283"/>
      <c r="N1391" s="136">
        <f t="shared" si="89"/>
        <v>0</v>
      </c>
      <c r="O1391" s="143" t="s">
        <v>1083</v>
      </c>
      <c r="P1391" s="269"/>
      <c r="XFC1391"/>
    </row>
    <row r="1392" s="84" customFormat="1" spans="1:16383">
      <c r="A1392" s="111">
        <v>46054</v>
      </c>
      <c r="B1392" s="269" t="s">
        <v>1044</v>
      </c>
      <c r="C1392" s="114" t="s">
        <v>1151</v>
      </c>
      <c r="D1392" s="114" t="s">
        <v>1152</v>
      </c>
      <c r="E1392" s="114" t="s">
        <v>1153</v>
      </c>
      <c r="F1392" s="117">
        <v>46066</v>
      </c>
      <c r="G1392" s="114" t="s">
        <v>740</v>
      </c>
      <c r="H1392" s="114" t="s">
        <v>833</v>
      </c>
      <c r="I1392" s="136">
        <v>820</v>
      </c>
      <c r="J1392" s="283"/>
      <c r="K1392" s="136">
        <v>820</v>
      </c>
      <c r="L1392" s="283">
        <v>820</v>
      </c>
      <c r="M1392" s="283"/>
      <c r="N1392" s="136">
        <f t="shared" si="89"/>
        <v>0</v>
      </c>
      <c r="O1392" s="143" t="s">
        <v>1347</v>
      </c>
      <c r="P1392" s="269"/>
      <c r="XFC1392"/>
    </row>
    <row r="1393" s="84" customFormat="1" spans="1:16383">
      <c r="A1393" s="111">
        <v>46054</v>
      </c>
      <c r="B1393" s="269" t="s">
        <v>1044</v>
      </c>
      <c r="C1393" s="114" t="s">
        <v>1151</v>
      </c>
      <c r="D1393" s="114" t="s">
        <v>1152</v>
      </c>
      <c r="E1393" s="114" t="s">
        <v>1153</v>
      </c>
      <c r="F1393" s="117">
        <v>46066</v>
      </c>
      <c r="G1393" s="114" t="s">
        <v>741</v>
      </c>
      <c r="H1393" s="114" t="s">
        <v>833</v>
      </c>
      <c r="I1393" s="136">
        <v>820</v>
      </c>
      <c r="J1393" s="283"/>
      <c r="K1393" s="136">
        <v>820</v>
      </c>
      <c r="L1393" s="283">
        <v>820</v>
      </c>
      <c r="M1393" s="283"/>
      <c r="N1393" s="136">
        <f t="shared" si="89"/>
        <v>0</v>
      </c>
      <c r="O1393" s="143" t="s">
        <v>1347</v>
      </c>
      <c r="P1393" s="269"/>
      <c r="XFC1393"/>
    </row>
    <row r="1394" s="84" customFormat="1" spans="1:16383">
      <c r="A1394" s="111">
        <v>46054</v>
      </c>
      <c r="B1394" s="269" t="s">
        <v>1044</v>
      </c>
      <c r="C1394" s="114" t="s">
        <v>1151</v>
      </c>
      <c r="D1394" s="114" t="s">
        <v>1152</v>
      </c>
      <c r="E1394" s="114" t="s">
        <v>1153</v>
      </c>
      <c r="F1394" s="117">
        <v>46066</v>
      </c>
      <c r="G1394" s="114" t="s">
        <v>742</v>
      </c>
      <c r="H1394" s="114" t="s">
        <v>833</v>
      </c>
      <c r="I1394" s="136">
        <v>820</v>
      </c>
      <c r="J1394" s="283"/>
      <c r="K1394" s="136">
        <v>820</v>
      </c>
      <c r="L1394" s="283">
        <v>820</v>
      </c>
      <c r="M1394" s="283"/>
      <c r="N1394" s="136">
        <f t="shared" si="89"/>
        <v>0</v>
      </c>
      <c r="O1394" s="143" t="s">
        <v>1347</v>
      </c>
      <c r="P1394" s="269"/>
      <c r="XFC1394"/>
    </row>
    <row r="1395" s="84" customFormat="1" spans="1:16383">
      <c r="A1395" s="111">
        <v>46054</v>
      </c>
      <c r="B1395" s="269" t="str">
        <f t="shared" ref="B1395:B1400" si="90">MID(C1395,1,2)</f>
        <v>5F</v>
      </c>
      <c r="C1395" s="114" t="s">
        <v>1144</v>
      </c>
      <c r="D1395" s="114" t="s">
        <v>695</v>
      </c>
      <c r="E1395" s="114" t="s">
        <v>1145</v>
      </c>
      <c r="F1395" s="117">
        <v>46066</v>
      </c>
      <c r="G1395" s="114" t="s">
        <v>1338</v>
      </c>
      <c r="H1395" s="114" t="s">
        <v>23</v>
      </c>
      <c r="I1395" s="136">
        <v>4455</v>
      </c>
      <c r="J1395" s="283"/>
      <c r="K1395" s="136">
        <v>4455</v>
      </c>
      <c r="L1395" s="283">
        <v>4455</v>
      </c>
      <c r="M1395" s="283"/>
      <c r="N1395" s="136">
        <f t="shared" si="89"/>
        <v>0</v>
      </c>
      <c r="O1395" s="143" t="s">
        <v>1348</v>
      </c>
      <c r="P1395" s="269"/>
      <c r="XFC1395"/>
    </row>
    <row r="1396" s="84" customFormat="1" spans="1:16383">
      <c r="A1396" s="111">
        <v>46054</v>
      </c>
      <c r="B1396" s="269" t="str">
        <f t="shared" si="90"/>
        <v>5F</v>
      </c>
      <c r="C1396" s="114" t="s">
        <v>1144</v>
      </c>
      <c r="D1396" s="114" t="s">
        <v>695</v>
      </c>
      <c r="E1396" s="114" t="s">
        <v>1145</v>
      </c>
      <c r="F1396" s="117">
        <v>46066</v>
      </c>
      <c r="G1396" s="114" t="s">
        <v>1174</v>
      </c>
      <c r="H1396" s="114" t="s">
        <v>23</v>
      </c>
      <c r="I1396" s="136">
        <v>4455</v>
      </c>
      <c r="J1396" s="283"/>
      <c r="K1396" s="136">
        <v>4455</v>
      </c>
      <c r="L1396" s="283">
        <v>4455</v>
      </c>
      <c r="M1396" s="283"/>
      <c r="N1396" s="136">
        <f t="shared" si="89"/>
        <v>0</v>
      </c>
      <c r="O1396" s="143" t="s">
        <v>1348</v>
      </c>
      <c r="P1396" s="269"/>
      <c r="XFC1396"/>
    </row>
    <row r="1397" s="84" customFormat="1" spans="1:16383">
      <c r="A1397" s="111">
        <v>46054</v>
      </c>
      <c r="B1397" s="269" t="str">
        <f t="shared" si="90"/>
        <v>5F</v>
      </c>
      <c r="C1397" s="114" t="s">
        <v>1144</v>
      </c>
      <c r="D1397" s="114" t="s">
        <v>695</v>
      </c>
      <c r="E1397" s="114" t="s">
        <v>1145</v>
      </c>
      <c r="F1397" s="117">
        <v>46066</v>
      </c>
      <c r="G1397" s="114" t="s">
        <v>1176</v>
      </c>
      <c r="H1397" s="114" t="s">
        <v>23</v>
      </c>
      <c r="I1397" s="136">
        <v>0</v>
      </c>
      <c r="J1397" s="283"/>
      <c r="K1397" s="136">
        <v>0</v>
      </c>
      <c r="L1397" s="283"/>
      <c r="M1397" s="283"/>
      <c r="N1397" s="136">
        <f t="shared" si="89"/>
        <v>0</v>
      </c>
      <c r="O1397" s="143"/>
      <c r="P1397" s="269"/>
      <c r="XFC1397"/>
    </row>
    <row r="1398" s="84" customFormat="1" spans="1:16383">
      <c r="A1398" s="111">
        <v>46054</v>
      </c>
      <c r="B1398" s="269" t="str">
        <f t="shared" si="90"/>
        <v>5F</v>
      </c>
      <c r="C1398" s="114" t="s">
        <v>1144</v>
      </c>
      <c r="D1398" s="114" t="s">
        <v>695</v>
      </c>
      <c r="E1398" s="114" t="s">
        <v>1145</v>
      </c>
      <c r="F1398" s="117">
        <v>46066</v>
      </c>
      <c r="G1398" s="114" t="s">
        <v>1338</v>
      </c>
      <c r="H1398" s="114" t="s">
        <v>21</v>
      </c>
      <c r="I1398" s="136">
        <v>4455</v>
      </c>
      <c r="J1398" s="283"/>
      <c r="K1398" s="136">
        <v>4455</v>
      </c>
      <c r="L1398" s="283">
        <v>4455</v>
      </c>
      <c r="M1398" s="283"/>
      <c r="N1398" s="136">
        <f t="shared" si="89"/>
        <v>0</v>
      </c>
      <c r="O1398" s="143" t="s">
        <v>1349</v>
      </c>
      <c r="P1398" s="269"/>
      <c r="XFC1398"/>
    </row>
    <row r="1399" s="84" customFormat="1" spans="1:16383">
      <c r="A1399" s="111">
        <v>46054</v>
      </c>
      <c r="B1399" s="269" t="str">
        <f t="shared" si="90"/>
        <v>5F</v>
      </c>
      <c r="C1399" s="114" t="s">
        <v>1144</v>
      </c>
      <c r="D1399" s="114" t="s">
        <v>695</v>
      </c>
      <c r="E1399" s="114" t="s">
        <v>1145</v>
      </c>
      <c r="F1399" s="117">
        <v>46066</v>
      </c>
      <c r="G1399" s="114" t="s">
        <v>1174</v>
      </c>
      <c r="H1399" s="114" t="s">
        <v>21</v>
      </c>
      <c r="I1399" s="136">
        <v>4455</v>
      </c>
      <c r="J1399" s="283"/>
      <c r="K1399" s="136">
        <v>4455</v>
      </c>
      <c r="L1399" s="283">
        <v>4455</v>
      </c>
      <c r="M1399" s="283"/>
      <c r="N1399" s="136">
        <f t="shared" si="89"/>
        <v>0</v>
      </c>
      <c r="O1399" s="143" t="s">
        <v>1348</v>
      </c>
      <c r="P1399" s="269"/>
      <c r="XFC1399"/>
    </row>
    <row r="1400" s="84" customFormat="1" spans="1:16383">
      <c r="A1400" s="111">
        <v>46054</v>
      </c>
      <c r="B1400" s="269" t="str">
        <f t="shared" si="90"/>
        <v>5F</v>
      </c>
      <c r="C1400" s="114" t="s">
        <v>1144</v>
      </c>
      <c r="D1400" s="114" t="s">
        <v>695</v>
      </c>
      <c r="E1400" s="114" t="s">
        <v>1145</v>
      </c>
      <c r="F1400" s="117">
        <v>46066</v>
      </c>
      <c r="G1400" s="114" t="s">
        <v>1176</v>
      </c>
      <c r="H1400" s="114" t="s">
        <v>21</v>
      </c>
      <c r="I1400" s="136">
        <v>0</v>
      </c>
      <c r="J1400" s="283"/>
      <c r="K1400" s="136">
        <v>0</v>
      </c>
      <c r="L1400" s="283"/>
      <c r="M1400" s="283"/>
      <c r="N1400" s="136">
        <f t="shared" si="89"/>
        <v>0</v>
      </c>
      <c r="O1400" s="143"/>
      <c r="P1400" s="269"/>
      <c r="XFC1400"/>
    </row>
    <row r="1401" s="84" customFormat="1" spans="1:16383">
      <c r="A1401" s="111">
        <v>46054</v>
      </c>
      <c r="B1401" s="269" t="s">
        <v>909</v>
      </c>
      <c r="C1401" s="114" t="s">
        <v>1156</v>
      </c>
      <c r="D1401" s="114" t="s">
        <v>1157</v>
      </c>
      <c r="E1401" s="114" t="s">
        <v>1158</v>
      </c>
      <c r="F1401" s="117">
        <v>46066</v>
      </c>
      <c r="G1401" s="114" t="s">
        <v>1176</v>
      </c>
      <c r="H1401" s="114" t="s">
        <v>833</v>
      </c>
      <c r="I1401" s="136">
        <v>5000</v>
      </c>
      <c r="J1401" s="283"/>
      <c r="K1401" s="136">
        <f>I1401-J1401</f>
        <v>5000</v>
      </c>
      <c r="L1401" s="283">
        <v>5000</v>
      </c>
      <c r="M1401" s="283"/>
      <c r="N1401" s="136">
        <f t="shared" si="89"/>
        <v>0</v>
      </c>
      <c r="O1401" s="143" t="s">
        <v>1350</v>
      </c>
      <c r="P1401" s="269"/>
      <c r="XFC1401"/>
    </row>
    <row r="1402" s="84" customFormat="1" spans="1:16383">
      <c r="A1402" s="111">
        <v>46054</v>
      </c>
      <c r="B1402" s="269" t="str">
        <f t="shared" ref="B1402:B1425" si="91">MID(C1402,1,2)</f>
        <v>5F</v>
      </c>
      <c r="C1402" s="114" t="s">
        <v>1258</v>
      </c>
      <c r="D1402" s="114" t="s">
        <v>1259</v>
      </c>
      <c r="E1402" s="114" t="s">
        <v>1260</v>
      </c>
      <c r="F1402" s="117">
        <v>46066</v>
      </c>
      <c r="G1402" s="114" t="s">
        <v>1338</v>
      </c>
      <c r="H1402" s="114" t="s">
        <v>23</v>
      </c>
      <c r="I1402" s="136">
        <v>1950</v>
      </c>
      <c r="J1402" s="283"/>
      <c r="K1402" s="136">
        <v>1950</v>
      </c>
      <c r="L1402" s="283">
        <v>1950</v>
      </c>
      <c r="M1402" s="283"/>
      <c r="N1402" s="136">
        <f t="shared" si="89"/>
        <v>0</v>
      </c>
      <c r="O1402" s="143" t="s">
        <v>1351</v>
      </c>
      <c r="P1402" s="269"/>
      <c r="XFC1402"/>
    </row>
    <row r="1403" s="84" customFormat="1" spans="1:16383">
      <c r="A1403" s="111">
        <v>46054</v>
      </c>
      <c r="B1403" s="269" t="str">
        <f t="shared" si="91"/>
        <v>5F</v>
      </c>
      <c r="C1403" s="114" t="s">
        <v>1258</v>
      </c>
      <c r="D1403" s="114" t="s">
        <v>1259</v>
      </c>
      <c r="E1403" s="114" t="s">
        <v>1260</v>
      </c>
      <c r="F1403" s="117">
        <v>46066</v>
      </c>
      <c r="G1403" s="114" t="s">
        <v>1174</v>
      </c>
      <c r="H1403" s="114" t="s">
        <v>23</v>
      </c>
      <c r="I1403" s="136">
        <v>1950</v>
      </c>
      <c r="J1403" s="283"/>
      <c r="K1403" s="136">
        <v>1950</v>
      </c>
      <c r="L1403" s="283">
        <v>1950</v>
      </c>
      <c r="M1403" s="283"/>
      <c r="N1403" s="136">
        <f t="shared" si="89"/>
        <v>0</v>
      </c>
      <c r="O1403" s="143" t="s">
        <v>1351</v>
      </c>
      <c r="P1403" s="269"/>
      <c r="XFC1403"/>
    </row>
    <row r="1404" s="84" customFormat="1" spans="1:16383">
      <c r="A1404" s="111">
        <v>46054</v>
      </c>
      <c r="B1404" s="269" t="str">
        <f t="shared" si="91"/>
        <v>5F</v>
      </c>
      <c r="C1404" s="114" t="s">
        <v>1258</v>
      </c>
      <c r="D1404" s="114" t="s">
        <v>1259</v>
      </c>
      <c r="E1404" s="114" t="s">
        <v>1260</v>
      </c>
      <c r="F1404" s="117">
        <v>46066</v>
      </c>
      <c r="G1404" s="114" t="s">
        <v>1176</v>
      </c>
      <c r="H1404" s="114" t="s">
        <v>23</v>
      </c>
      <c r="I1404" s="136">
        <v>1950</v>
      </c>
      <c r="J1404" s="283"/>
      <c r="K1404" s="136">
        <v>1950</v>
      </c>
      <c r="L1404" s="283">
        <v>1950</v>
      </c>
      <c r="M1404" s="283"/>
      <c r="N1404" s="136">
        <f t="shared" si="89"/>
        <v>0</v>
      </c>
      <c r="O1404" s="143" t="s">
        <v>1352</v>
      </c>
      <c r="P1404" s="269"/>
      <c r="XFC1404"/>
    </row>
    <row r="1405" s="84" customFormat="1" spans="1:16383">
      <c r="A1405" s="111">
        <v>46054</v>
      </c>
      <c r="B1405" s="269" t="str">
        <f t="shared" si="91"/>
        <v>5F</v>
      </c>
      <c r="C1405" s="114" t="s">
        <v>1258</v>
      </c>
      <c r="D1405" s="114" t="s">
        <v>1259</v>
      </c>
      <c r="E1405" s="114" t="s">
        <v>1260</v>
      </c>
      <c r="F1405" s="117">
        <v>46066</v>
      </c>
      <c r="G1405" s="114" t="s">
        <v>1338</v>
      </c>
      <c r="H1405" s="114" t="s">
        <v>21</v>
      </c>
      <c r="I1405" s="136">
        <v>1850</v>
      </c>
      <c r="J1405" s="283"/>
      <c r="K1405" s="136">
        <v>1850</v>
      </c>
      <c r="L1405" s="283">
        <v>1850</v>
      </c>
      <c r="M1405" s="283"/>
      <c r="N1405" s="136">
        <f t="shared" si="89"/>
        <v>0</v>
      </c>
      <c r="O1405" s="143" t="s">
        <v>1351</v>
      </c>
      <c r="P1405" s="269"/>
      <c r="XFC1405"/>
    </row>
    <row r="1406" s="84" customFormat="1" spans="1:16383">
      <c r="A1406" s="111">
        <v>46054</v>
      </c>
      <c r="B1406" s="269" t="str">
        <f t="shared" si="91"/>
        <v>5F</v>
      </c>
      <c r="C1406" s="114" t="s">
        <v>1258</v>
      </c>
      <c r="D1406" s="114" t="s">
        <v>1259</v>
      </c>
      <c r="E1406" s="114" t="s">
        <v>1260</v>
      </c>
      <c r="F1406" s="117">
        <v>46066</v>
      </c>
      <c r="G1406" s="114" t="s">
        <v>1174</v>
      </c>
      <c r="H1406" s="114" t="s">
        <v>21</v>
      </c>
      <c r="I1406" s="136">
        <v>1850</v>
      </c>
      <c r="J1406" s="283"/>
      <c r="K1406" s="136">
        <v>1850</v>
      </c>
      <c r="L1406" s="283">
        <f>1400+450</f>
        <v>1850</v>
      </c>
      <c r="M1406" s="283"/>
      <c r="N1406" s="136">
        <f t="shared" si="89"/>
        <v>0</v>
      </c>
      <c r="O1406" s="143" t="s">
        <v>1353</v>
      </c>
      <c r="P1406" s="269"/>
      <c r="XFC1406"/>
    </row>
    <row r="1407" s="84" customFormat="1" spans="1:16383">
      <c r="A1407" s="111">
        <v>46054</v>
      </c>
      <c r="B1407" s="269" t="str">
        <f t="shared" si="91"/>
        <v>5F</v>
      </c>
      <c r="C1407" s="114" t="s">
        <v>1258</v>
      </c>
      <c r="D1407" s="114" t="s">
        <v>1259</v>
      </c>
      <c r="E1407" s="114" t="s">
        <v>1260</v>
      </c>
      <c r="F1407" s="117">
        <v>46066</v>
      </c>
      <c r="G1407" s="114" t="s">
        <v>1176</v>
      </c>
      <c r="H1407" s="114" t="s">
        <v>21</v>
      </c>
      <c r="I1407" s="136">
        <v>1850</v>
      </c>
      <c r="J1407" s="283"/>
      <c r="K1407" s="136">
        <v>1850</v>
      </c>
      <c r="L1407" s="283">
        <v>1850</v>
      </c>
      <c r="M1407" s="283"/>
      <c r="N1407" s="136">
        <f t="shared" si="89"/>
        <v>0</v>
      </c>
      <c r="O1407" s="143" t="s">
        <v>1352</v>
      </c>
      <c r="P1407" s="269"/>
      <c r="XFC1407"/>
    </row>
    <row r="1408" s="84" customFormat="1" spans="1:16383">
      <c r="A1408" s="111">
        <v>46054</v>
      </c>
      <c r="B1408" s="269" t="str">
        <f t="shared" si="91"/>
        <v>2F</v>
      </c>
      <c r="C1408" s="114" t="s">
        <v>311</v>
      </c>
      <c r="D1408" s="114" t="s">
        <v>312</v>
      </c>
      <c r="E1408" s="114" t="s">
        <v>313</v>
      </c>
      <c r="F1408" s="117">
        <v>46066</v>
      </c>
      <c r="G1408" s="114" t="s">
        <v>1338</v>
      </c>
      <c r="H1408" s="114" t="s">
        <v>23</v>
      </c>
      <c r="I1408" s="136">
        <v>12265</v>
      </c>
      <c r="J1408" s="283"/>
      <c r="K1408" s="136">
        <v>12265</v>
      </c>
      <c r="L1408" s="283">
        <v>12265</v>
      </c>
      <c r="M1408" s="283"/>
      <c r="N1408" s="136">
        <f t="shared" si="89"/>
        <v>0</v>
      </c>
      <c r="O1408" s="143" t="s">
        <v>1354</v>
      </c>
      <c r="P1408" s="269"/>
      <c r="XFC1408"/>
    </row>
    <row r="1409" s="84" customFormat="1" spans="1:16383">
      <c r="A1409" s="111">
        <v>46054</v>
      </c>
      <c r="B1409" s="269" t="str">
        <f t="shared" si="91"/>
        <v>2F</v>
      </c>
      <c r="C1409" s="114" t="s">
        <v>311</v>
      </c>
      <c r="D1409" s="114" t="s">
        <v>312</v>
      </c>
      <c r="E1409" s="114" t="s">
        <v>313</v>
      </c>
      <c r="F1409" s="117">
        <v>46066</v>
      </c>
      <c r="G1409" s="114" t="s">
        <v>1174</v>
      </c>
      <c r="H1409" s="114" t="s">
        <v>23</v>
      </c>
      <c r="I1409" s="136">
        <v>12265</v>
      </c>
      <c r="J1409" s="283"/>
      <c r="K1409" s="136">
        <v>12265</v>
      </c>
      <c r="L1409" s="283">
        <v>12265</v>
      </c>
      <c r="M1409" s="283"/>
      <c r="N1409" s="136">
        <f t="shared" si="89"/>
        <v>0</v>
      </c>
      <c r="O1409" s="143" t="s">
        <v>1354</v>
      </c>
      <c r="P1409" s="269"/>
      <c r="XFC1409"/>
    </row>
    <row r="1410" s="84" customFormat="1" spans="1:16383">
      <c r="A1410" s="111">
        <v>46054</v>
      </c>
      <c r="B1410" s="269" t="str">
        <f t="shared" si="91"/>
        <v>2F</v>
      </c>
      <c r="C1410" s="114" t="s">
        <v>311</v>
      </c>
      <c r="D1410" s="114" t="s">
        <v>312</v>
      </c>
      <c r="E1410" s="114" t="s">
        <v>313</v>
      </c>
      <c r="F1410" s="117">
        <v>46066</v>
      </c>
      <c r="G1410" s="114" t="s">
        <v>1176</v>
      </c>
      <c r="H1410" s="114" t="s">
        <v>23</v>
      </c>
      <c r="I1410" s="136">
        <v>12265</v>
      </c>
      <c r="J1410" s="283"/>
      <c r="K1410" s="136">
        <v>12265</v>
      </c>
      <c r="L1410" s="283">
        <v>12265</v>
      </c>
      <c r="M1410" s="283"/>
      <c r="N1410" s="136">
        <f t="shared" si="89"/>
        <v>0</v>
      </c>
      <c r="O1410" s="143" t="s">
        <v>1354</v>
      </c>
      <c r="P1410" s="269"/>
      <c r="XFC1410"/>
    </row>
    <row r="1411" s="84" customFormat="1" spans="1:16383">
      <c r="A1411" s="111">
        <v>46054</v>
      </c>
      <c r="B1411" s="269" t="str">
        <f t="shared" si="91"/>
        <v>2F</v>
      </c>
      <c r="C1411" s="114" t="s">
        <v>311</v>
      </c>
      <c r="D1411" s="114" t="s">
        <v>312</v>
      </c>
      <c r="E1411" s="114" t="s">
        <v>313</v>
      </c>
      <c r="F1411" s="117">
        <v>46066</v>
      </c>
      <c r="G1411" s="114" t="s">
        <v>1338</v>
      </c>
      <c r="H1411" s="114" t="s">
        <v>21</v>
      </c>
      <c r="I1411" s="136">
        <v>11150</v>
      </c>
      <c r="J1411" s="283"/>
      <c r="K1411" s="136">
        <v>11150</v>
      </c>
      <c r="L1411" s="283">
        <v>11150</v>
      </c>
      <c r="M1411" s="283"/>
      <c r="N1411" s="136">
        <f t="shared" si="89"/>
        <v>0</v>
      </c>
      <c r="O1411" s="143" t="s">
        <v>1354</v>
      </c>
      <c r="P1411" s="269"/>
      <c r="XFC1411"/>
    </row>
    <row r="1412" s="84" customFormat="1" spans="1:16383">
      <c r="A1412" s="111">
        <v>46054</v>
      </c>
      <c r="B1412" s="269" t="str">
        <f t="shared" si="91"/>
        <v>2F</v>
      </c>
      <c r="C1412" s="114" t="s">
        <v>311</v>
      </c>
      <c r="D1412" s="114" t="s">
        <v>312</v>
      </c>
      <c r="E1412" s="114" t="s">
        <v>313</v>
      </c>
      <c r="F1412" s="117">
        <v>46066</v>
      </c>
      <c r="G1412" s="114" t="s">
        <v>1174</v>
      </c>
      <c r="H1412" s="114" t="s">
        <v>21</v>
      </c>
      <c r="I1412" s="136">
        <v>11150</v>
      </c>
      <c r="J1412" s="283"/>
      <c r="K1412" s="136">
        <v>11150</v>
      </c>
      <c r="L1412" s="283">
        <v>11150</v>
      </c>
      <c r="M1412" s="283"/>
      <c r="N1412" s="136">
        <f t="shared" si="89"/>
        <v>0</v>
      </c>
      <c r="O1412" s="143" t="s">
        <v>1354</v>
      </c>
      <c r="P1412" s="269"/>
      <c r="XFC1412"/>
    </row>
    <row r="1413" s="84" customFormat="1" spans="1:16383">
      <c r="A1413" s="111">
        <v>46054</v>
      </c>
      <c r="B1413" s="269" t="str">
        <f t="shared" si="91"/>
        <v>2F</v>
      </c>
      <c r="C1413" s="114" t="s">
        <v>311</v>
      </c>
      <c r="D1413" s="114" t="s">
        <v>312</v>
      </c>
      <c r="E1413" s="114" t="s">
        <v>313</v>
      </c>
      <c r="F1413" s="117">
        <v>46066</v>
      </c>
      <c r="G1413" s="114" t="s">
        <v>1176</v>
      </c>
      <c r="H1413" s="114" t="s">
        <v>21</v>
      </c>
      <c r="I1413" s="136">
        <v>11150</v>
      </c>
      <c r="J1413" s="283"/>
      <c r="K1413" s="136">
        <v>11150</v>
      </c>
      <c r="L1413" s="283">
        <v>11150</v>
      </c>
      <c r="M1413" s="283"/>
      <c r="N1413" s="136">
        <f t="shared" si="89"/>
        <v>0</v>
      </c>
      <c r="O1413" s="143" t="s">
        <v>1354</v>
      </c>
      <c r="P1413" s="269"/>
      <c r="XFC1413"/>
    </row>
    <row r="1414" s="84" customFormat="1" spans="1:16383">
      <c r="A1414" s="111">
        <v>46054</v>
      </c>
      <c r="B1414" s="269" t="str">
        <f t="shared" si="91"/>
        <v>5F</v>
      </c>
      <c r="C1414" s="114" t="s">
        <v>746</v>
      </c>
      <c r="D1414" s="114" t="s">
        <v>749</v>
      </c>
      <c r="E1414" s="114" t="s">
        <v>750</v>
      </c>
      <c r="F1414" s="117">
        <v>46066</v>
      </c>
      <c r="G1414" s="114" t="s">
        <v>1338</v>
      </c>
      <c r="H1414" s="114" t="s">
        <v>23</v>
      </c>
      <c r="I1414" s="136">
        <v>3400</v>
      </c>
      <c r="J1414" s="283"/>
      <c r="K1414" s="136">
        <v>3400</v>
      </c>
      <c r="L1414" s="283">
        <v>3400</v>
      </c>
      <c r="M1414" s="283"/>
      <c r="N1414" s="136">
        <f t="shared" si="89"/>
        <v>0</v>
      </c>
      <c r="O1414" s="143" t="s">
        <v>1355</v>
      </c>
      <c r="P1414" s="269"/>
      <c r="XFC1414"/>
    </row>
    <row r="1415" s="84" customFormat="1" spans="1:16383">
      <c r="A1415" s="111">
        <v>46054</v>
      </c>
      <c r="B1415" s="269" t="str">
        <f t="shared" si="91"/>
        <v>5F</v>
      </c>
      <c r="C1415" s="114" t="s">
        <v>746</v>
      </c>
      <c r="D1415" s="114" t="s">
        <v>749</v>
      </c>
      <c r="E1415" s="114" t="s">
        <v>750</v>
      </c>
      <c r="F1415" s="117">
        <v>46066</v>
      </c>
      <c r="G1415" s="114" t="s">
        <v>1174</v>
      </c>
      <c r="H1415" s="114" t="s">
        <v>23</v>
      </c>
      <c r="I1415" s="136">
        <v>3400</v>
      </c>
      <c r="J1415" s="283"/>
      <c r="K1415" s="136">
        <v>3400</v>
      </c>
      <c r="L1415" s="283">
        <f>1310+2090</f>
        <v>3400</v>
      </c>
      <c r="M1415" s="283"/>
      <c r="N1415" s="136">
        <f t="shared" si="89"/>
        <v>0</v>
      </c>
      <c r="O1415" s="143" t="s">
        <v>1356</v>
      </c>
      <c r="P1415" s="269"/>
      <c r="XFC1415"/>
    </row>
    <row r="1416" s="84" customFormat="1" spans="1:16383">
      <c r="A1416" s="111">
        <v>46054</v>
      </c>
      <c r="B1416" s="269" t="str">
        <f t="shared" si="91"/>
        <v>5F</v>
      </c>
      <c r="C1416" s="114" t="s">
        <v>746</v>
      </c>
      <c r="D1416" s="114" t="s">
        <v>749</v>
      </c>
      <c r="E1416" s="114" t="s">
        <v>750</v>
      </c>
      <c r="F1416" s="117">
        <v>46066</v>
      </c>
      <c r="G1416" s="114" t="s">
        <v>1176</v>
      </c>
      <c r="H1416" s="114" t="s">
        <v>23</v>
      </c>
      <c r="I1416" s="136">
        <v>3400</v>
      </c>
      <c r="J1416" s="283"/>
      <c r="K1416" s="136">
        <v>3400</v>
      </c>
      <c r="L1416" s="283">
        <v>3400</v>
      </c>
      <c r="M1416" s="283"/>
      <c r="N1416" s="136">
        <f t="shared" si="89"/>
        <v>0</v>
      </c>
      <c r="O1416" s="143" t="s">
        <v>1357</v>
      </c>
      <c r="P1416" s="269"/>
      <c r="XFC1416"/>
    </row>
    <row r="1417" s="84" customFormat="1" spans="1:16383">
      <c r="A1417" s="111">
        <v>46054</v>
      </c>
      <c r="B1417" s="269" t="str">
        <f t="shared" si="91"/>
        <v>5F</v>
      </c>
      <c r="C1417" s="114" t="s">
        <v>746</v>
      </c>
      <c r="D1417" s="114" t="s">
        <v>749</v>
      </c>
      <c r="E1417" s="114" t="s">
        <v>750</v>
      </c>
      <c r="F1417" s="117">
        <v>46066</v>
      </c>
      <c r="G1417" s="114" t="s">
        <v>1338</v>
      </c>
      <c r="H1417" s="114" t="s">
        <v>21</v>
      </c>
      <c r="I1417" s="136">
        <v>2720</v>
      </c>
      <c r="J1417" s="283"/>
      <c r="K1417" s="136">
        <v>2720</v>
      </c>
      <c r="L1417" s="283">
        <v>2720</v>
      </c>
      <c r="M1417" s="283"/>
      <c r="N1417" s="136">
        <f t="shared" si="89"/>
        <v>0</v>
      </c>
      <c r="O1417" s="143" t="s">
        <v>1355</v>
      </c>
      <c r="P1417" s="269"/>
      <c r="XFC1417"/>
    </row>
    <row r="1418" s="84" customFormat="1" spans="1:16383">
      <c r="A1418" s="111">
        <v>46054</v>
      </c>
      <c r="B1418" s="269" t="str">
        <f t="shared" si="91"/>
        <v>5F</v>
      </c>
      <c r="C1418" s="114" t="s">
        <v>746</v>
      </c>
      <c r="D1418" s="114" t="s">
        <v>749</v>
      </c>
      <c r="E1418" s="114" t="s">
        <v>750</v>
      </c>
      <c r="F1418" s="117">
        <v>46066</v>
      </c>
      <c r="G1418" s="114" t="s">
        <v>1174</v>
      </c>
      <c r="H1418" s="114" t="s">
        <v>21</v>
      </c>
      <c r="I1418" s="136">
        <v>2720</v>
      </c>
      <c r="J1418" s="283"/>
      <c r="K1418" s="136">
        <v>2720</v>
      </c>
      <c r="L1418" s="283">
        <v>2720</v>
      </c>
      <c r="M1418" s="283"/>
      <c r="N1418" s="136">
        <f t="shared" si="89"/>
        <v>0</v>
      </c>
      <c r="O1418" s="143" t="s">
        <v>1357</v>
      </c>
      <c r="P1418" s="269"/>
      <c r="XFC1418"/>
    </row>
    <row r="1419" s="84" customFormat="1" spans="1:16383">
      <c r="A1419" s="111">
        <v>46054</v>
      </c>
      <c r="B1419" s="269" t="str">
        <f t="shared" si="91"/>
        <v>5F</v>
      </c>
      <c r="C1419" s="114" t="s">
        <v>746</v>
      </c>
      <c r="D1419" s="114" t="s">
        <v>749</v>
      </c>
      <c r="E1419" s="114" t="s">
        <v>750</v>
      </c>
      <c r="F1419" s="117">
        <v>46066</v>
      </c>
      <c r="G1419" s="114" t="s">
        <v>1176</v>
      </c>
      <c r="H1419" s="114" t="s">
        <v>21</v>
      </c>
      <c r="I1419" s="136">
        <v>2720</v>
      </c>
      <c r="J1419" s="283"/>
      <c r="K1419" s="136">
        <v>2720</v>
      </c>
      <c r="L1419" s="283">
        <v>2720</v>
      </c>
      <c r="M1419" s="283"/>
      <c r="N1419" s="136">
        <f t="shared" si="89"/>
        <v>0</v>
      </c>
      <c r="O1419" s="143" t="s">
        <v>1357</v>
      </c>
      <c r="P1419" s="269"/>
      <c r="XFC1419"/>
    </row>
    <row r="1420" s="84" customFormat="1" spans="1:16383">
      <c r="A1420" s="111">
        <v>46054</v>
      </c>
      <c r="B1420" s="269" t="str">
        <f t="shared" si="91"/>
        <v>3F</v>
      </c>
      <c r="C1420" s="114" t="s">
        <v>492</v>
      </c>
      <c r="D1420" s="114" t="s">
        <v>493</v>
      </c>
      <c r="E1420" s="114" t="s">
        <v>494</v>
      </c>
      <c r="F1420" s="117">
        <v>46066</v>
      </c>
      <c r="G1420" s="114" t="s">
        <v>1338</v>
      </c>
      <c r="H1420" s="114" t="s">
        <v>23</v>
      </c>
      <c r="I1420" s="136">
        <v>26118.75</v>
      </c>
      <c r="J1420" s="283"/>
      <c r="K1420" s="136">
        <v>26118.75</v>
      </c>
      <c r="L1420" s="283">
        <v>26118.75</v>
      </c>
      <c r="M1420" s="283"/>
      <c r="N1420" s="136">
        <f t="shared" si="89"/>
        <v>0</v>
      </c>
      <c r="O1420" s="143" t="s">
        <v>1358</v>
      </c>
      <c r="P1420" s="269"/>
      <c r="XFC1420"/>
    </row>
    <row r="1421" s="84" customFormat="1" spans="1:16383">
      <c r="A1421" s="111">
        <v>46054</v>
      </c>
      <c r="B1421" s="269" t="str">
        <f t="shared" si="91"/>
        <v>3F</v>
      </c>
      <c r="C1421" s="114" t="s">
        <v>492</v>
      </c>
      <c r="D1421" s="114" t="s">
        <v>493</v>
      </c>
      <c r="E1421" s="114" t="s">
        <v>494</v>
      </c>
      <c r="F1421" s="117">
        <v>46066</v>
      </c>
      <c r="G1421" s="114" t="s">
        <v>1174</v>
      </c>
      <c r="H1421" s="114" t="s">
        <v>23</v>
      </c>
      <c r="I1421" s="136">
        <v>26118.75</v>
      </c>
      <c r="J1421" s="283"/>
      <c r="K1421" s="136">
        <v>26118.75</v>
      </c>
      <c r="L1421" s="283">
        <v>26118.75</v>
      </c>
      <c r="M1421" s="283"/>
      <c r="N1421" s="136">
        <f t="shared" si="89"/>
        <v>0</v>
      </c>
      <c r="O1421" s="143" t="s">
        <v>1359</v>
      </c>
      <c r="P1421" s="269"/>
      <c r="XFC1421"/>
    </row>
    <row r="1422" s="84" customFormat="1" spans="1:16383">
      <c r="A1422" s="111">
        <v>46054</v>
      </c>
      <c r="B1422" s="269" t="str">
        <f t="shared" si="91"/>
        <v>3F</v>
      </c>
      <c r="C1422" s="114" t="s">
        <v>492</v>
      </c>
      <c r="D1422" s="114" t="s">
        <v>493</v>
      </c>
      <c r="E1422" s="114" t="s">
        <v>494</v>
      </c>
      <c r="F1422" s="117">
        <v>46066</v>
      </c>
      <c r="G1422" s="114" t="s">
        <v>1176</v>
      </c>
      <c r="H1422" s="114" t="s">
        <v>23</v>
      </c>
      <c r="I1422" s="136">
        <v>26118.75</v>
      </c>
      <c r="J1422" s="283"/>
      <c r="K1422" s="136">
        <v>26118.75</v>
      </c>
      <c r="L1422" s="283">
        <v>26118.75</v>
      </c>
      <c r="M1422" s="283"/>
      <c r="N1422" s="136">
        <f t="shared" si="89"/>
        <v>0</v>
      </c>
      <c r="O1422" s="143" t="s">
        <v>1344</v>
      </c>
      <c r="P1422" s="269"/>
      <c r="XFC1422"/>
    </row>
    <row r="1423" s="84" customFormat="1" spans="1:16383">
      <c r="A1423" s="111">
        <v>46054</v>
      </c>
      <c r="B1423" s="269" t="str">
        <f t="shared" si="91"/>
        <v>3F</v>
      </c>
      <c r="C1423" s="114" t="s">
        <v>492</v>
      </c>
      <c r="D1423" s="114" t="s">
        <v>493</v>
      </c>
      <c r="E1423" s="114" t="s">
        <v>494</v>
      </c>
      <c r="F1423" s="117">
        <v>46066</v>
      </c>
      <c r="G1423" s="114" t="s">
        <v>1338</v>
      </c>
      <c r="H1423" s="114" t="s">
        <v>21</v>
      </c>
      <c r="I1423" s="136">
        <v>38394.56</v>
      </c>
      <c r="J1423" s="283"/>
      <c r="K1423" s="136">
        <v>38394.56</v>
      </c>
      <c r="L1423" s="283">
        <v>38394.56</v>
      </c>
      <c r="M1423" s="283"/>
      <c r="N1423" s="136">
        <f t="shared" si="89"/>
        <v>0</v>
      </c>
      <c r="O1423" s="143" t="s">
        <v>1358</v>
      </c>
      <c r="P1423" s="269"/>
      <c r="XFC1423"/>
    </row>
    <row r="1424" s="84" customFormat="1" spans="1:16383">
      <c r="A1424" s="111">
        <v>46054</v>
      </c>
      <c r="B1424" s="269" t="str">
        <f t="shared" si="91"/>
        <v>3F</v>
      </c>
      <c r="C1424" s="114" t="s">
        <v>492</v>
      </c>
      <c r="D1424" s="114" t="s">
        <v>493</v>
      </c>
      <c r="E1424" s="114" t="s">
        <v>494</v>
      </c>
      <c r="F1424" s="117">
        <v>46066</v>
      </c>
      <c r="G1424" s="114" t="s">
        <v>1174</v>
      </c>
      <c r="H1424" s="114" t="s">
        <v>21</v>
      </c>
      <c r="I1424" s="136">
        <v>38394.56</v>
      </c>
      <c r="J1424" s="283"/>
      <c r="K1424" s="136">
        <v>38394.56</v>
      </c>
      <c r="L1424" s="283">
        <v>38394.56</v>
      </c>
      <c r="M1424" s="283"/>
      <c r="N1424" s="136">
        <f t="shared" si="89"/>
        <v>0</v>
      </c>
      <c r="O1424" s="143" t="s">
        <v>1359</v>
      </c>
      <c r="P1424" s="269"/>
      <c r="XFC1424"/>
    </row>
    <row r="1425" s="84" customFormat="1" spans="1:16383">
      <c r="A1425" s="111">
        <v>46054</v>
      </c>
      <c r="B1425" s="269" t="str">
        <f t="shared" si="91"/>
        <v>3F</v>
      </c>
      <c r="C1425" s="114" t="s">
        <v>492</v>
      </c>
      <c r="D1425" s="114" t="s">
        <v>493</v>
      </c>
      <c r="E1425" s="114" t="s">
        <v>494</v>
      </c>
      <c r="F1425" s="117">
        <v>46066</v>
      </c>
      <c r="G1425" s="114" t="s">
        <v>1176</v>
      </c>
      <c r="H1425" s="114" t="s">
        <v>21</v>
      </c>
      <c r="I1425" s="136">
        <v>38394.56</v>
      </c>
      <c r="J1425" s="283"/>
      <c r="K1425" s="136">
        <v>38394.56</v>
      </c>
      <c r="L1425" s="283">
        <v>38394.56</v>
      </c>
      <c r="M1425" s="283"/>
      <c r="N1425" s="136">
        <f t="shared" si="89"/>
        <v>0</v>
      </c>
      <c r="O1425" s="143" t="s">
        <v>1344</v>
      </c>
      <c r="P1425" s="269"/>
      <c r="XFC1425"/>
    </row>
    <row r="1426" s="84" customFormat="1" spans="1:16383">
      <c r="A1426" s="111">
        <v>46054</v>
      </c>
      <c r="B1426" s="269" t="s">
        <v>1044</v>
      </c>
      <c r="C1426" s="114" t="s">
        <v>1360</v>
      </c>
      <c r="D1426" s="114" t="s">
        <v>1361</v>
      </c>
      <c r="E1426" s="114" t="s">
        <v>1362</v>
      </c>
      <c r="F1426" s="117">
        <v>46066</v>
      </c>
      <c r="G1426" s="114" t="s">
        <v>1338</v>
      </c>
      <c r="H1426" s="114" t="s">
        <v>833</v>
      </c>
      <c r="I1426" s="136">
        <v>15500</v>
      </c>
      <c r="J1426" s="283"/>
      <c r="K1426" s="136">
        <v>15500</v>
      </c>
      <c r="L1426" s="283">
        <v>15500</v>
      </c>
      <c r="M1426" s="283"/>
      <c r="N1426" s="136">
        <f t="shared" si="89"/>
        <v>0</v>
      </c>
      <c r="O1426" s="143" t="s">
        <v>1363</v>
      </c>
      <c r="P1426" s="269"/>
      <c r="XFC1426"/>
    </row>
    <row r="1427" s="84" customFormat="1" spans="1:16383">
      <c r="A1427" s="111">
        <v>46054</v>
      </c>
      <c r="B1427" s="269" t="s">
        <v>1044</v>
      </c>
      <c r="C1427" s="114" t="s">
        <v>1360</v>
      </c>
      <c r="D1427" s="114" t="s">
        <v>1361</v>
      </c>
      <c r="E1427" s="114" t="s">
        <v>1362</v>
      </c>
      <c r="F1427" s="117">
        <v>46066</v>
      </c>
      <c r="G1427" s="114" t="s">
        <v>1174</v>
      </c>
      <c r="H1427" s="114" t="s">
        <v>833</v>
      </c>
      <c r="I1427" s="136">
        <v>15500</v>
      </c>
      <c r="J1427" s="283"/>
      <c r="K1427" s="136">
        <v>15500</v>
      </c>
      <c r="L1427" s="283">
        <v>15500</v>
      </c>
      <c r="M1427" s="283"/>
      <c r="N1427" s="136">
        <f t="shared" si="89"/>
        <v>0</v>
      </c>
      <c r="O1427" s="143" t="s">
        <v>1363</v>
      </c>
      <c r="P1427" s="269"/>
      <c r="XFC1427"/>
    </row>
    <row r="1428" s="84" customFormat="1" spans="1:16383">
      <c r="A1428" s="111">
        <v>46054</v>
      </c>
      <c r="B1428" s="269" t="s">
        <v>1044</v>
      </c>
      <c r="C1428" s="114" t="s">
        <v>1360</v>
      </c>
      <c r="D1428" s="114" t="s">
        <v>1361</v>
      </c>
      <c r="E1428" s="114" t="s">
        <v>1362</v>
      </c>
      <c r="F1428" s="117">
        <v>46066</v>
      </c>
      <c r="G1428" s="114" t="s">
        <v>1176</v>
      </c>
      <c r="H1428" s="114" t="s">
        <v>833</v>
      </c>
      <c r="I1428" s="136">
        <v>15500</v>
      </c>
      <c r="J1428" s="283"/>
      <c r="K1428" s="136">
        <v>15500</v>
      </c>
      <c r="L1428" s="283">
        <v>15500</v>
      </c>
      <c r="M1428" s="283"/>
      <c r="N1428" s="136">
        <f t="shared" si="89"/>
        <v>0</v>
      </c>
      <c r="O1428" s="143" t="s">
        <v>1363</v>
      </c>
      <c r="P1428" s="269"/>
      <c r="XFC1428"/>
    </row>
    <row r="1429" s="84" customFormat="1" spans="1:16383">
      <c r="A1429" s="111">
        <v>46054</v>
      </c>
      <c r="B1429" s="269" t="str">
        <f t="shared" ref="B1429:B1492" si="92">MID(C1429,1,2)</f>
        <v>5F</v>
      </c>
      <c r="C1429" s="114" t="s">
        <v>758</v>
      </c>
      <c r="D1429" s="114" t="s">
        <v>759</v>
      </c>
      <c r="E1429" s="114" t="s">
        <v>760</v>
      </c>
      <c r="F1429" s="117">
        <v>46066</v>
      </c>
      <c r="G1429" s="114" t="s">
        <v>350</v>
      </c>
      <c r="H1429" s="114" t="s">
        <v>23</v>
      </c>
      <c r="I1429" s="136">
        <v>12080</v>
      </c>
      <c r="J1429" s="283"/>
      <c r="K1429" s="136">
        <v>12080</v>
      </c>
      <c r="L1429" s="283">
        <v>12080</v>
      </c>
      <c r="M1429" s="283"/>
      <c r="N1429" s="136">
        <f t="shared" si="89"/>
        <v>0</v>
      </c>
      <c r="O1429" s="143" t="s">
        <v>1364</v>
      </c>
      <c r="P1429" s="143" t="s">
        <v>762</v>
      </c>
      <c r="XFC1429"/>
    </row>
    <row r="1430" s="84" customFormat="1" spans="1:16383">
      <c r="A1430" s="111">
        <v>46054</v>
      </c>
      <c r="B1430" s="269" t="str">
        <f t="shared" si="92"/>
        <v>5F</v>
      </c>
      <c r="C1430" s="114" t="s">
        <v>758</v>
      </c>
      <c r="D1430" s="114" t="s">
        <v>759</v>
      </c>
      <c r="E1430" s="114" t="s">
        <v>760</v>
      </c>
      <c r="F1430" s="117">
        <v>46066</v>
      </c>
      <c r="G1430" s="114" t="s">
        <v>351</v>
      </c>
      <c r="H1430" s="114" t="s">
        <v>23</v>
      </c>
      <c r="I1430" s="136">
        <v>12080</v>
      </c>
      <c r="J1430" s="283"/>
      <c r="K1430" s="136">
        <v>12080</v>
      </c>
      <c r="L1430" s="283">
        <v>12080</v>
      </c>
      <c r="M1430" s="283"/>
      <c r="N1430" s="136">
        <f t="shared" si="89"/>
        <v>0</v>
      </c>
      <c r="O1430" s="143" t="s">
        <v>1364</v>
      </c>
      <c r="P1430" s="143" t="s">
        <v>762</v>
      </c>
      <c r="XFC1430"/>
    </row>
    <row r="1431" s="84" customFormat="1" spans="1:16383">
      <c r="A1431" s="111">
        <v>46054</v>
      </c>
      <c r="B1431" s="269" t="str">
        <f t="shared" si="92"/>
        <v>5F</v>
      </c>
      <c r="C1431" s="114" t="s">
        <v>758</v>
      </c>
      <c r="D1431" s="114" t="s">
        <v>759</v>
      </c>
      <c r="E1431" s="114" t="s">
        <v>760</v>
      </c>
      <c r="F1431" s="117">
        <v>46066</v>
      </c>
      <c r="G1431" s="114" t="s">
        <v>352</v>
      </c>
      <c r="H1431" s="114" t="s">
        <v>23</v>
      </c>
      <c r="I1431" s="136">
        <v>12080</v>
      </c>
      <c r="J1431" s="283"/>
      <c r="K1431" s="136">
        <v>12080</v>
      </c>
      <c r="L1431" s="283">
        <v>12080</v>
      </c>
      <c r="M1431" s="283"/>
      <c r="N1431" s="136">
        <f t="shared" si="89"/>
        <v>0</v>
      </c>
      <c r="O1431" s="143" t="s">
        <v>1364</v>
      </c>
      <c r="P1431" s="143" t="s">
        <v>762</v>
      </c>
      <c r="XFC1431"/>
    </row>
    <row r="1432" s="84" customFormat="1" spans="1:16383">
      <c r="A1432" s="111">
        <v>46054</v>
      </c>
      <c r="B1432" s="269" t="str">
        <f t="shared" si="92"/>
        <v>5F</v>
      </c>
      <c r="C1432" s="114" t="s">
        <v>758</v>
      </c>
      <c r="D1432" s="114" t="s">
        <v>759</v>
      </c>
      <c r="E1432" s="114" t="s">
        <v>760</v>
      </c>
      <c r="F1432" s="117">
        <v>46066</v>
      </c>
      <c r="G1432" s="114" t="s">
        <v>350</v>
      </c>
      <c r="H1432" s="114" t="s">
        <v>21</v>
      </c>
      <c r="I1432" s="136">
        <v>10570</v>
      </c>
      <c r="J1432" s="283"/>
      <c r="K1432" s="136">
        <v>10570</v>
      </c>
      <c r="L1432" s="283">
        <v>10570</v>
      </c>
      <c r="M1432" s="283"/>
      <c r="N1432" s="136">
        <f t="shared" si="89"/>
        <v>0</v>
      </c>
      <c r="O1432" s="143" t="s">
        <v>1364</v>
      </c>
      <c r="P1432" s="143" t="s">
        <v>762</v>
      </c>
      <c r="XFC1432"/>
    </row>
    <row r="1433" s="84" customFormat="1" spans="1:16383">
      <c r="A1433" s="111">
        <v>46054</v>
      </c>
      <c r="B1433" s="269" t="str">
        <f t="shared" si="92"/>
        <v>5F</v>
      </c>
      <c r="C1433" s="114" t="s">
        <v>758</v>
      </c>
      <c r="D1433" s="114" t="s">
        <v>759</v>
      </c>
      <c r="E1433" s="114" t="s">
        <v>760</v>
      </c>
      <c r="F1433" s="117">
        <v>46066</v>
      </c>
      <c r="G1433" s="114" t="s">
        <v>351</v>
      </c>
      <c r="H1433" s="114" t="s">
        <v>21</v>
      </c>
      <c r="I1433" s="136">
        <v>10570</v>
      </c>
      <c r="J1433" s="283"/>
      <c r="K1433" s="136">
        <v>10570</v>
      </c>
      <c r="L1433" s="283">
        <v>10570</v>
      </c>
      <c r="M1433" s="283"/>
      <c r="N1433" s="136">
        <f t="shared" si="89"/>
        <v>0</v>
      </c>
      <c r="O1433" s="143" t="s">
        <v>1364</v>
      </c>
      <c r="P1433" s="143" t="s">
        <v>762</v>
      </c>
      <c r="XFC1433"/>
    </row>
    <row r="1434" s="84" customFormat="1" spans="1:16383">
      <c r="A1434" s="111">
        <v>46054</v>
      </c>
      <c r="B1434" s="269" t="str">
        <f t="shared" si="92"/>
        <v>5F</v>
      </c>
      <c r="C1434" s="114" t="s">
        <v>758</v>
      </c>
      <c r="D1434" s="114" t="s">
        <v>759</v>
      </c>
      <c r="E1434" s="114" t="s">
        <v>760</v>
      </c>
      <c r="F1434" s="117">
        <v>46066</v>
      </c>
      <c r="G1434" s="114" t="s">
        <v>352</v>
      </c>
      <c r="H1434" s="114" t="s">
        <v>21</v>
      </c>
      <c r="I1434" s="136">
        <v>10570</v>
      </c>
      <c r="J1434" s="283"/>
      <c r="K1434" s="136">
        <v>10570</v>
      </c>
      <c r="L1434" s="283">
        <v>10570</v>
      </c>
      <c r="M1434" s="283"/>
      <c r="N1434" s="136">
        <f t="shared" si="89"/>
        <v>0</v>
      </c>
      <c r="O1434" s="143" t="s">
        <v>1364</v>
      </c>
      <c r="P1434" s="143" t="s">
        <v>762</v>
      </c>
      <c r="XFC1434"/>
    </row>
    <row r="1435" s="88" customFormat="1" spans="1:16">
      <c r="A1435" s="111">
        <v>46054</v>
      </c>
      <c r="B1435" s="138" t="str">
        <f t="shared" si="92"/>
        <v>5F</v>
      </c>
      <c r="C1435" s="114" t="s">
        <v>680</v>
      </c>
      <c r="D1435" s="114" t="s">
        <v>681</v>
      </c>
      <c r="E1435" s="114" t="s">
        <v>682</v>
      </c>
      <c r="F1435" s="117">
        <v>46066</v>
      </c>
      <c r="G1435" s="114" t="s">
        <v>1176</v>
      </c>
      <c r="H1435" s="114" t="s">
        <v>23</v>
      </c>
      <c r="I1435" s="136">
        <v>6500</v>
      </c>
      <c r="J1435" s="131">
        <v>500</v>
      </c>
      <c r="K1435" s="130">
        <f>I1435-J1435</f>
        <v>6000</v>
      </c>
      <c r="L1435" s="131">
        <v>6000</v>
      </c>
      <c r="M1435" s="131"/>
      <c r="N1435" s="136">
        <f t="shared" si="89"/>
        <v>0</v>
      </c>
      <c r="O1435" s="269" t="s">
        <v>1365</v>
      </c>
      <c r="P1435" s="138"/>
    </row>
    <row r="1436" s="84" customFormat="1" spans="1:16383">
      <c r="A1436" s="111">
        <v>46054</v>
      </c>
      <c r="B1436" s="269" t="str">
        <f t="shared" si="92"/>
        <v>5F</v>
      </c>
      <c r="C1436" s="114" t="s">
        <v>680</v>
      </c>
      <c r="D1436" s="114" t="s">
        <v>681</v>
      </c>
      <c r="E1436" s="114" t="s">
        <v>682</v>
      </c>
      <c r="F1436" s="117">
        <v>46066</v>
      </c>
      <c r="G1436" s="114" t="s">
        <v>1176</v>
      </c>
      <c r="H1436" s="114" t="s">
        <v>21</v>
      </c>
      <c r="I1436" s="136">
        <v>25278.5</v>
      </c>
      <c r="J1436" s="283">
        <v>25278.5</v>
      </c>
      <c r="K1436" s="130">
        <f>I1436-J1436</f>
        <v>0</v>
      </c>
      <c r="L1436" s="283">
        <v>0</v>
      </c>
      <c r="M1436" s="283"/>
      <c r="N1436" s="136">
        <f t="shared" si="89"/>
        <v>0</v>
      </c>
      <c r="O1436" s="143"/>
      <c r="P1436" s="269"/>
      <c r="XFC1436"/>
    </row>
    <row r="1437" s="84" customFormat="1" spans="1:16383">
      <c r="A1437" s="111">
        <v>46054</v>
      </c>
      <c r="B1437" s="269" t="str">
        <f t="shared" si="92"/>
        <v>1F</v>
      </c>
      <c r="C1437" s="114" t="s">
        <v>52</v>
      </c>
      <c r="D1437" s="114" t="s">
        <v>53</v>
      </c>
      <c r="E1437" s="114" t="s">
        <v>54</v>
      </c>
      <c r="F1437" s="117">
        <v>46066</v>
      </c>
      <c r="G1437" s="114" t="s">
        <v>1176</v>
      </c>
      <c r="H1437" s="114" t="s">
        <v>23</v>
      </c>
      <c r="I1437" s="136">
        <v>7315</v>
      </c>
      <c r="J1437" s="283"/>
      <c r="K1437" s="136">
        <v>7315</v>
      </c>
      <c r="L1437" s="283">
        <v>7315</v>
      </c>
      <c r="M1437" s="283"/>
      <c r="N1437" s="136">
        <f t="shared" si="89"/>
        <v>0</v>
      </c>
      <c r="O1437" s="143" t="s">
        <v>1167</v>
      </c>
      <c r="P1437" s="269"/>
      <c r="XFC1437"/>
    </row>
    <row r="1438" s="84" customFormat="1" spans="1:16383">
      <c r="A1438" s="111">
        <v>46054</v>
      </c>
      <c r="B1438" s="269" t="str">
        <f t="shared" si="92"/>
        <v>1F</v>
      </c>
      <c r="C1438" s="114" t="s">
        <v>52</v>
      </c>
      <c r="D1438" s="114" t="s">
        <v>53</v>
      </c>
      <c r="E1438" s="114" t="s">
        <v>54</v>
      </c>
      <c r="F1438" s="117">
        <v>46066</v>
      </c>
      <c r="G1438" s="114" t="s">
        <v>1176</v>
      </c>
      <c r="H1438" s="114" t="s">
        <v>21</v>
      </c>
      <c r="I1438" s="136">
        <v>8360</v>
      </c>
      <c r="J1438" s="283"/>
      <c r="K1438" s="136">
        <v>8360</v>
      </c>
      <c r="L1438" s="283">
        <v>8360</v>
      </c>
      <c r="M1438" s="283"/>
      <c r="N1438" s="136">
        <f t="shared" si="89"/>
        <v>0</v>
      </c>
      <c r="O1438" s="143" t="s">
        <v>1366</v>
      </c>
      <c r="P1438" s="269"/>
      <c r="XFC1438"/>
    </row>
    <row r="1439" s="84" customFormat="1" spans="1:16383">
      <c r="A1439" s="111">
        <v>46054</v>
      </c>
      <c r="B1439" s="269" t="str">
        <f t="shared" si="92"/>
        <v>1F</v>
      </c>
      <c r="C1439" s="114" t="s">
        <v>17</v>
      </c>
      <c r="D1439" s="114" t="s">
        <v>18</v>
      </c>
      <c r="E1439" s="114" t="s">
        <v>19</v>
      </c>
      <c r="F1439" s="117">
        <v>46066</v>
      </c>
      <c r="G1439" s="114" t="s">
        <v>1174</v>
      </c>
      <c r="H1439" s="114" t="s">
        <v>23</v>
      </c>
      <c r="I1439" s="136">
        <v>4890</v>
      </c>
      <c r="J1439" s="283"/>
      <c r="K1439" s="136">
        <v>4890</v>
      </c>
      <c r="L1439" s="283">
        <v>4890</v>
      </c>
      <c r="M1439" s="283"/>
      <c r="N1439" s="136">
        <f t="shared" ref="N1439:N1502" si="93">K1439-L1439</f>
        <v>0</v>
      </c>
      <c r="O1439" s="143" t="s">
        <v>1363</v>
      </c>
      <c r="P1439" s="269"/>
      <c r="XFC1439"/>
    </row>
    <row r="1440" s="84" customFormat="1" spans="1:16383">
      <c r="A1440" s="111">
        <v>46054</v>
      </c>
      <c r="B1440" s="269" t="str">
        <f t="shared" si="92"/>
        <v>1F</v>
      </c>
      <c r="C1440" s="114" t="s">
        <v>17</v>
      </c>
      <c r="D1440" s="114" t="s">
        <v>18</v>
      </c>
      <c r="E1440" s="114" t="s">
        <v>19</v>
      </c>
      <c r="F1440" s="117">
        <v>46066</v>
      </c>
      <c r="G1440" s="114" t="s">
        <v>1176</v>
      </c>
      <c r="H1440" s="114" t="s">
        <v>23</v>
      </c>
      <c r="I1440" s="136">
        <v>4890</v>
      </c>
      <c r="J1440" s="283"/>
      <c r="K1440" s="136">
        <v>4890</v>
      </c>
      <c r="L1440" s="283">
        <v>4890</v>
      </c>
      <c r="M1440" s="283"/>
      <c r="N1440" s="136">
        <f t="shared" si="93"/>
        <v>0</v>
      </c>
      <c r="O1440" s="143" t="s">
        <v>1363</v>
      </c>
      <c r="P1440" s="269"/>
      <c r="XFC1440"/>
    </row>
    <row r="1441" s="84" customFormat="1" spans="1:16383">
      <c r="A1441" s="111">
        <v>46054</v>
      </c>
      <c r="B1441" s="269" t="str">
        <f t="shared" si="92"/>
        <v>1F</v>
      </c>
      <c r="C1441" s="114" t="s">
        <v>17</v>
      </c>
      <c r="D1441" s="114" t="s">
        <v>18</v>
      </c>
      <c r="E1441" s="114" t="s">
        <v>19</v>
      </c>
      <c r="F1441" s="117">
        <v>46066</v>
      </c>
      <c r="G1441" s="114" t="s">
        <v>1174</v>
      </c>
      <c r="H1441" s="114" t="s">
        <v>21</v>
      </c>
      <c r="I1441" s="136">
        <v>5379</v>
      </c>
      <c r="J1441" s="283"/>
      <c r="K1441" s="136">
        <v>5379</v>
      </c>
      <c r="L1441" s="283">
        <v>5379</v>
      </c>
      <c r="M1441" s="283"/>
      <c r="N1441" s="136">
        <f t="shared" si="93"/>
        <v>0</v>
      </c>
      <c r="O1441" s="143" t="s">
        <v>1363</v>
      </c>
      <c r="P1441" s="269"/>
      <c r="XFC1441"/>
    </row>
    <row r="1442" s="84" customFormat="1" spans="1:16383">
      <c r="A1442" s="111">
        <v>46054</v>
      </c>
      <c r="B1442" s="269" t="str">
        <f t="shared" si="92"/>
        <v>1F</v>
      </c>
      <c r="C1442" s="114" t="s">
        <v>17</v>
      </c>
      <c r="D1442" s="114" t="s">
        <v>18</v>
      </c>
      <c r="E1442" s="114" t="s">
        <v>19</v>
      </c>
      <c r="F1442" s="117">
        <v>46066</v>
      </c>
      <c r="G1442" s="114" t="s">
        <v>1176</v>
      </c>
      <c r="H1442" s="114" t="s">
        <v>21</v>
      </c>
      <c r="I1442" s="136">
        <v>5379</v>
      </c>
      <c r="J1442" s="283"/>
      <c r="K1442" s="136">
        <v>5379</v>
      </c>
      <c r="L1442" s="283">
        <v>5379</v>
      </c>
      <c r="M1442" s="283"/>
      <c r="N1442" s="136">
        <f t="shared" si="93"/>
        <v>0</v>
      </c>
      <c r="O1442" s="143" t="s">
        <v>1363</v>
      </c>
      <c r="P1442" s="269"/>
      <c r="XFC1442"/>
    </row>
    <row r="1443" s="84" customFormat="1" spans="1:16383">
      <c r="A1443" s="111">
        <v>46054</v>
      </c>
      <c r="B1443" s="269" t="str">
        <f t="shared" si="92"/>
        <v>5F</v>
      </c>
      <c r="C1443" s="114" t="s">
        <v>1122</v>
      </c>
      <c r="D1443" s="114" t="s">
        <v>1123</v>
      </c>
      <c r="E1443" s="114" t="s">
        <v>1124</v>
      </c>
      <c r="F1443" s="117">
        <v>46066</v>
      </c>
      <c r="G1443" s="114" t="s">
        <v>1174</v>
      </c>
      <c r="H1443" s="114" t="s">
        <v>23</v>
      </c>
      <c r="I1443" s="136">
        <v>2800</v>
      </c>
      <c r="J1443" s="283"/>
      <c r="K1443" s="136">
        <v>2800</v>
      </c>
      <c r="L1443" s="283">
        <v>2800</v>
      </c>
      <c r="M1443" s="283"/>
      <c r="N1443" s="136">
        <f t="shared" si="93"/>
        <v>0</v>
      </c>
      <c r="O1443" s="143" t="s">
        <v>1367</v>
      </c>
      <c r="P1443" s="269"/>
      <c r="XFC1443"/>
    </row>
    <row r="1444" s="84" customFormat="1" spans="1:16383">
      <c r="A1444" s="111">
        <v>46054</v>
      </c>
      <c r="B1444" s="269" t="str">
        <f t="shared" si="92"/>
        <v>5F</v>
      </c>
      <c r="C1444" s="114" t="s">
        <v>1122</v>
      </c>
      <c r="D1444" s="114" t="s">
        <v>1123</v>
      </c>
      <c r="E1444" s="114" t="s">
        <v>1124</v>
      </c>
      <c r="F1444" s="117">
        <v>46066</v>
      </c>
      <c r="G1444" s="114" t="s">
        <v>1176</v>
      </c>
      <c r="H1444" s="114" t="s">
        <v>23</v>
      </c>
      <c r="I1444" s="136">
        <v>2800</v>
      </c>
      <c r="J1444" s="283"/>
      <c r="K1444" s="136">
        <v>2800</v>
      </c>
      <c r="L1444" s="283">
        <f>770+2030</f>
        <v>2800</v>
      </c>
      <c r="M1444" s="283"/>
      <c r="N1444" s="136">
        <f t="shared" si="93"/>
        <v>0</v>
      </c>
      <c r="O1444" s="143" t="s">
        <v>1368</v>
      </c>
      <c r="P1444" s="269"/>
      <c r="XFC1444"/>
    </row>
    <row r="1445" s="84" customFormat="1" spans="1:16383">
      <c r="A1445" s="111">
        <v>46054</v>
      </c>
      <c r="B1445" s="269" t="str">
        <f t="shared" si="92"/>
        <v>5F</v>
      </c>
      <c r="C1445" s="114" t="s">
        <v>1122</v>
      </c>
      <c r="D1445" s="114" t="s">
        <v>1123</v>
      </c>
      <c r="E1445" s="114" t="s">
        <v>1124</v>
      </c>
      <c r="F1445" s="117">
        <v>46066</v>
      </c>
      <c r="G1445" s="114" t="s">
        <v>1174</v>
      </c>
      <c r="H1445" s="114" t="s">
        <v>21</v>
      </c>
      <c r="I1445" s="136">
        <v>5320</v>
      </c>
      <c r="J1445" s="283"/>
      <c r="K1445" s="136">
        <v>5320</v>
      </c>
      <c r="L1445" s="283">
        <v>5320</v>
      </c>
      <c r="M1445" s="283"/>
      <c r="N1445" s="136">
        <f t="shared" si="93"/>
        <v>0</v>
      </c>
      <c r="O1445" s="143" t="s">
        <v>1367</v>
      </c>
      <c r="P1445" s="269"/>
      <c r="XFC1445"/>
    </row>
    <row r="1446" s="84" customFormat="1" spans="1:16383">
      <c r="A1446" s="111">
        <v>46054</v>
      </c>
      <c r="B1446" s="269" t="str">
        <f t="shared" si="92"/>
        <v>5F</v>
      </c>
      <c r="C1446" s="114" t="s">
        <v>1122</v>
      </c>
      <c r="D1446" s="114" t="s">
        <v>1123</v>
      </c>
      <c r="E1446" s="114" t="s">
        <v>1124</v>
      </c>
      <c r="F1446" s="117">
        <v>46066</v>
      </c>
      <c r="G1446" s="114" t="s">
        <v>1176</v>
      </c>
      <c r="H1446" s="114" t="s">
        <v>21</v>
      </c>
      <c r="I1446" s="136">
        <v>5320</v>
      </c>
      <c r="J1446" s="283"/>
      <c r="K1446" s="136">
        <v>5320</v>
      </c>
      <c r="L1446" s="283">
        <v>5320</v>
      </c>
      <c r="M1446" s="283"/>
      <c r="N1446" s="136">
        <f t="shared" si="93"/>
        <v>0</v>
      </c>
      <c r="O1446" s="143" t="s">
        <v>1368</v>
      </c>
      <c r="P1446" s="269"/>
      <c r="XFC1446"/>
    </row>
    <row r="1447" s="84" customFormat="1" spans="1:16383">
      <c r="A1447" s="111">
        <v>46054</v>
      </c>
      <c r="B1447" s="269" t="str">
        <f t="shared" si="92"/>
        <v>4F</v>
      </c>
      <c r="C1447" s="114" t="s">
        <v>660</v>
      </c>
      <c r="D1447" s="114" t="s">
        <v>664</v>
      </c>
      <c r="E1447" s="114" t="s">
        <v>662</v>
      </c>
      <c r="F1447" s="117">
        <v>46066</v>
      </c>
      <c r="G1447" s="114" t="s">
        <v>1369</v>
      </c>
      <c r="H1447" s="114" t="s">
        <v>23</v>
      </c>
      <c r="I1447" s="136">
        <v>5680</v>
      </c>
      <c r="J1447" s="283"/>
      <c r="K1447" s="136">
        <v>5680</v>
      </c>
      <c r="L1447" s="283">
        <v>5680</v>
      </c>
      <c r="M1447" s="283"/>
      <c r="N1447" s="136">
        <f t="shared" si="93"/>
        <v>0</v>
      </c>
      <c r="O1447" s="143" t="s">
        <v>1370</v>
      </c>
      <c r="P1447" s="269"/>
      <c r="XFC1447"/>
    </row>
    <row r="1448" s="84" customFormat="1" spans="1:16383">
      <c r="A1448" s="111">
        <v>46054</v>
      </c>
      <c r="B1448" s="269" t="str">
        <f t="shared" si="92"/>
        <v>4F</v>
      </c>
      <c r="C1448" s="114" t="s">
        <v>660</v>
      </c>
      <c r="D1448" s="114" t="s">
        <v>664</v>
      </c>
      <c r="E1448" s="114" t="s">
        <v>662</v>
      </c>
      <c r="F1448" s="117">
        <v>46066</v>
      </c>
      <c r="G1448" s="114" t="s">
        <v>1371</v>
      </c>
      <c r="H1448" s="114" t="s">
        <v>23</v>
      </c>
      <c r="I1448" s="136">
        <v>5680</v>
      </c>
      <c r="J1448" s="283"/>
      <c r="K1448" s="136">
        <v>5680</v>
      </c>
      <c r="L1448" s="283">
        <v>5680</v>
      </c>
      <c r="M1448" s="283"/>
      <c r="N1448" s="136">
        <f t="shared" si="93"/>
        <v>0</v>
      </c>
      <c r="O1448" s="143" t="s">
        <v>1370</v>
      </c>
      <c r="P1448" s="269"/>
      <c r="XFC1448"/>
    </row>
    <row r="1449" s="84" customFormat="1" spans="1:16383">
      <c r="A1449" s="111">
        <v>46054</v>
      </c>
      <c r="B1449" s="269" t="str">
        <f t="shared" si="92"/>
        <v>4F</v>
      </c>
      <c r="C1449" s="114" t="s">
        <v>660</v>
      </c>
      <c r="D1449" s="114" t="s">
        <v>664</v>
      </c>
      <c r="E1449" s="114" t="s">
        <v>662</v>
      </c>
      <c r="F1449" s="117">
        <v>46066</v>
      </c>
      <c r="G1449" s="114" t="s">
        <v>1372</v>
      </c>
      <c r="H1449" s="114" t="s">
        <v>23</v>
      </c>
      <c r="I1449" s="136">
        <v>5680</v>
      </c>
      <c r="J1449" s="283"/>
      <c r="K1449" s="136">
        <v>5680</v>
      </c>
      <c r="L1449" s="283">
        <v>5680</v>
      </c>
      <c r="M1449" s="283"/>
      <c r="N1449" s="136">
        <f t="shared" si="93"/>
        <v>0</v>
      </c>
      <c r="O1449" s="143" t="s">
        <v>1370</v>
      </c>
      <c r="P1449" s="269"/>
      <c r="XFC1449"/>
    </row>
    <row r="1450" s="84" customFormat="1" spans="1:16383">
      <c r="A1450" s="111">
        <v>46054</v>
      </c>
      <c r="B1450" s="269" t="str">
        <f t="shared" si="92"/>
        <v>4F</v>
      </c>
      <c r="C1450" s="114" t="s">
        <v>660</v>
      </c>
      <c r="D1450" s="114" t="s">
        <v>664</v>
      </c>
      <c r="E1450" s="114" t="s">
        <v>662</v>
      </c>
      <c r="F1450" s="117">
        <v>46066</v>
      </c>
      <c r="G1450" s="114" t="s">
        <v>1369</v>
      </c>
      <c r="H1450" s="114" t="s">
        <v>21</v>
      </c>
      <c r="I1450" s="136">
        <v>2840</v>
      </c>
      <c r="J1450" s="283"/>
      <c r="K1450" s="136">
        <v>2840</v>
      </c>
      <c r="L1450" s="283">
        <v>2840</v>
      </c>
      <c r="M1450" s="283"/>
      <c r="N1450" s="136">
        <f t="shared" si="93"/>
        <v>0</v>
      </c>
      <c r="O1450" s="143" t="s">
        <v>1370</v>
      </c>
      <c r="P1450" s="269"/>
      <c r="XFC1450"/>
    </row>
    <row r="1451" s="84" customFormat="1" spans="1:16383">
      <c r="A1451" s="111">
        <v>46054</v>
      </c>
      <c r="B1451" s="269" t="str">
        <f t="shared" si="92"/>
        <v>4F</v>
      </c>
      <c r="C1451" s="114" t="s">
        <v>660</v>
      </c>
      <c r="D1451" s="114" t="s">
        <v>664</v>
      </c>
      <c r="E1451" s="114" t="s">
        <v>662</v>
      </c>
      <c r="F1451" s="117">
        <v>46066</v>
      </c>
      <c r="G1451" s="114" t="s">
        <v>1371</v>
      </c>
      <c r="H1451" s="114" t="s">
        <v>21</v>
      </c>
      <c r="I1451" s="136">
        <v>2840</v>
      </c>
      <c r="J1451" s="283"/>
      <c r="K1451" s="136">
        <v>2840</v>
      </c>
      <c r="L1451" s="283">
        <v>2840</v>
      </c>
      <c r="M1451" s="283"/>
      <c r="N1451" s="136">
        <f t="shared" si="93"/>
        <v>0</v>
      </c>
      <c r="O1451" s="143" t="s">
        <v>1370</v>
      </c>
      <c r="P1451" s="269"/>
      <c r="XFC1451"/>
    </row>
    <row r="1452" s="84" customFormat="1" spans="1:16383">
      <c r="A1452" s="111">
        <v>46054</v>
      </c>
      <c r="B1452" s="269" t="str">
        <f t="shared" si="92"/>
        <v>4F</v>
      </c>
      <c r="C1452" s="114" t="s">
        <v>660</v>
      </c>
      <c r="D1452" s="114" t="s">
        <v>664</v>
      </c>
      <c r="E1452" s="114" t="s">
        <v>662</v>
      </c>
      <c r="F1452" s="117">
        <v>46066</v>
      </c>
      <c r="G1452" s="114" t="s">
        <v>1372</v>
      </c>
      <c r="H1452" s="114" t="s">
        <v>21</v>
      </c>
      <c r="I1452" s="136">
        <v>2840</v>
      </c>
      <c r="J1452" s="283"/>
      <c r="K1452" s="136">
        <v>2840</v>
      </c>
      <c r="L1452" s="283">
        <v>2840</v>
      </c>
      <c r="M1452" s="283"/>
      <c r="N1452" s="136">
        <f t="shared" si="93"/>
        <v>0</v>
      </c>
      <c r="O1452" s="143" t="s">
        <v>1370</v>
      </c>
      <c r="P1452" s="269"/>
      <c r="XFC1452"/>
    </row>
    <row r="1453" s="84" customFormat="1" spans="1:16383">
      <c r="A1453" s="111">
        <v>46054</v>
      </c>
      <c r="B1453" s="269" t="str">
        <f t="shared" si="92"/>
        <v>2F</v>
      </c>
      <c r="C1453" s="114" t="s">
        <v>383</v>
      </c>
      <c r="D1453" s="114" t="s">
        <v>384</v>
      </c>
      <c r="E1453" s="114" t="s">
        <v>391</v>
      </c>
      <c r="F1453" s="117">
        <v>46066</v>
      </c>
      <c r="G1453" s="114" t="s">
        <v>1176</v>
      </c>
      <c r="H1453" s="114" t="s">
        <v>23</v>
      </c>
      <c r="I1453" s="136">
        <v>9170</v>
      </c>
      <c r="J1453" s="283"/>
      <c r="K1453" s="136">
        <v>9170</v>
      </c>
      <c r="L1453" s="283">
        <v>9170</v>
      </c>
      <c r="M1453" s="283"/>
      <c r="N1453" s="136">
        <f t="shared" si="93"/>
        <v>0</v>
      </c>
      <c r="O1453" s="143" t="s">
        <v>1373</v>
      </c>
      <c r="P1453" s="269"/>
      <c r="XFC1453"/>
    </row>
    <row r="1454" s="84" customFormat="1" spans="1:16383">
      <c r="A1454" s="111">
        <v>46054</v>
      </c>
      <c r="B1454" s="269" t="str">
        <f t="shared" si="92"/>
        <v>2F</v>
      </c>
      <c r="C1454" s="114" t="s">
        <v>383</v>
      </c>
      <c r="D1454" s="114" t="s">
        <v>384</v>
      </c>
      <c r="E1454" s="114" t="s">
        <v>391</v>
      </c>
      <c r="F1454" s="117">
        <v>46066</v>
      </c>
      <c r="G1454" s="114" t="s">
        <v>1176</v>
      </c>
      <c r="H1454" s="114" t="s">
        <v>21</v>
      </c>
      <c r="I1454" s="136">
        <v>9170</v>
      </c>
      <c r="J1454" s="283"/>
      <c r="K1454" s="136">
        <v>9170</v>
      </c>
      <c r="L1454" s="283">
        <v>9170</v>
      </c>
      <c r="M1454" s="283"/>
      <c r="N1454" s="136">
        <f t="shared" si="93"/>
        <v>0</v>
      </c>
      <c r="O1454" s="143" t="s">
        <v>1373</v>
      </c>
      <c r="P1454" s="269"/>
      <c r="XFC1454"/>
    </row>
    <row r="1455" s="84" customFormat="1" spans="1:16383">
      <c r="A1455" s="111">
        <v>46054</v>
      </c>
      <c r="B1455" s="269" t="str">
        <f t="shared" si="92"/>
        <v>4F</v>
      </c>
      <c r="C1455" s="114" t="s">
        <v>1374</v>
      </c>
      <c r="D1455" s="114" t="s">
        <v>1375</v>
      </c>
      <c r="E1455" s="114" t="s">
        <v>1106</v>
      </c>
      <c r="F1455" s="117">
        <v>46066</v>
      </c>
      <c r="G1455" s="114" t="s">
        <v>1376</v>
      </c>
      <c r="H1455" s="114" t="s">
        <v>30</v>
      </c>
      <c r="I1455" s="136">
        <v>250</v>
      </c>
      <c r="J1455" s="283"/>
      <c r="K1455" s="136">
        <v>250</v>
      </c>
      <c r="L1455" s="283">
        <v>250</v>
      </c>
      <c r="M1455" s="283"/>
      <c r="N1455" s="136">
        <f t="shared" si="93"/>
        <v>0</v>
      </c>
      <c r="O1455" s="143" t="s">
        <v>1377</v>
      </c>
      <c r="P1455" s="269"/>
      <c r="XFC1455"/>
    </row>
    <row r="1456" s="84" customFormat="1" spans="1:16383">
      <c r="A1456" s="111">
        <v>46054</v>
      </c>
      <c r="B1456" s="269" t="str">
        <f t="shared" si="92"/>
        <v>4F</v>
      </c>
      <c r="C1456" s="114" t="s">
        <v>1374</v>
      </c>
      <c r="D1456" s="114" t="s">
        <v>1375</v>
      </c>
      <c r="E1456" s="114" t="s">
        <v>1106</v>
      </c>
      <c r="F1456" s="117">
        <v>46066</v>
      </c>
      <c r="G1456" s="114" t="s">
        <v>1378</v>
      </c>
      <c r="H1456" s="114" t="s">
        <v>30</v>
      </c>
      <c r="I1456" s="136">
        <v>250</v>
      </c>
      <c r="J1456" s="283"/>
      <c r="K1456" s="136">
        <v>250</v>
      </c>
      <c r="L1456" s="283">
        <v>250</v>
      </c>
      <c r="M1456" s="283"/>
      <c r="N1456" s="136">
        <f t="shared" si="93"/>
        <v>0</v>
      </c>
      <c r="O1456" s="143" t="s">
        <v>1377</v>
      </c>
      <c r="P1456" s="269"/>
      <c r="XFC1456"/>
    </row>
    <row r="1457" s="84" customFormat="1" spans="1:16383">
      <c r="A1457" s="111">
        <v>46054</v>
      </c>
      <c r="B1457" s="269" t="str">
        <f t="shared" si="92"/>
        <v>4F</v>
      </c>
      <c r="C1457" s="114" t="s">
        <v>1374</v>
      </c>
      <c r="D1457" s="114" t="s">
        <v>1375</v>
      </c>
      <c r="E1457" s="114" t="s">
        <v>1106</v>
      </c>
      <c r="F1457" s="117">
        <v>46066</v>
      </c>
      <c r="G1457" s="114" t="s">
        <v>1379</v>
      </c>
      <c r="H1457" s="114" t="s">
        <v>30</v>
      </c>
      <c r="I1457" s="136">
        <v>250</v>
      </c>
      <c r="J1457" s="283"/>
      <c r="K1457" s="136">
        <v>250</v>
      </c>
      <c r="L1457" s="283">
        <v>250</v>
      </c>
      <c r="M1457" s="283"/>
      <c r="N1457" s="136">
        <f t="shared" si="93"/>
        <v>0</v>
      </c>
      <c r="O1457" s="143" t="s">
        <v>1377</v>
      </c>
      <c r="P1457" s="269"/>
      <c r="XFC1457"/>
    </row>
    <row r="1458" s="84" customFormat="1" spans="1:16383">
      <c r="A1458" s="111">
        <v>46054</v>
      </c>
      <c r="B1458" s="269" t="str">
        <f t="shared" si="92"/>
        <v>4F</v>
      </c>
      <c r="C1458" s="114" t="s">
        <v>1374</v>
      </c>
      <c r="D1458" s="114" t="s">
        <v>1375</v>
      </c>
      <c r="E1458" s="114" t="s">
        <v>1106</v>
      </c>
      <c r="F1458" s="117">
        <v>46066</v>
      </c>
      <c r="G1458" s="114" t="s">
        <v>1380</v>
      </c>
      <c r="H1458" s="114" t="s">
        <v>30</v>
      </c>
      <c r="I1458" s="136">
        <v>250</v>
      </c>
      <c r="J1458" s="283"/>
      <c r="K1458" s="136">
        <v>250</v>
      </c>
      <c r="L1458" s="283">
        <v>250</v>
      </c>
      <c r="M1458" s="283"/>
      <c r="N1458" s="136">
        <f t="shared" si="93"/>
        <v>0</v>
      </c>
      <c r="O1458" s="143" t="s">
        <v>1377</v>
      </c>
      <c r="P1458" s="269"/>
      <c r="XFC1458"/>
    </row>
    <row r="1459" s="84" customFormat="1" spans="1:16383">
      <c r="A1459" s="111">
        <v>46054</v>
      </c>
      <c r="B1459" s="269" t="str">
        <f t="shared" si="92"/>
        <v>4F</v>
      </c>
      <c r="C1459" s="114" t="s">
        <v>1374</v>
      </c>
      <c r="D1459" s="114" t="s">
        <v>1375</v>
      </c>
      <c r="E1459" s="114" t="s">
        <v>1106</v>
      </c>
      <c r="F1459" s="117">
        <v>46066</v>
      </c>
      <c r="G1459" s="114" t="s">
        <v>344</v>
      </c>
      <c r="H1459" s="114" t="s">
        <v>30</v>
      </c>
      <c r="I1459" s="136">
        <v>250</v>
      </c>
      <c r="J1459" s="283"/>
      <c r="K1459" s="136">
        <v>250</v>
      </c>
      <c r="L1459" s="283">
        <v>250</v>
      </c>
      <c r="M1459" s="283"/>
      <c r="N1459" s="136">
        <f t="shared" si="93"/>
        <v>0</v>
      </c>
      <c r="O1459" s="143" t="s">
        <v>1377</v>
      </c>
      <c r="P1459" s="269"/>
      <c r="XFC1459"/>
    </row>
    <row r="1460" s="84" customFormat="1" spans="1:16383">
      <c r="A1460" s="111">
        <v>46054</v>
      </c>
      <c r="B1460" s="269" t="str">
        <f t="shared" si="92"/>
        <v>4F</v>
      </c>
      <c r="C1460" s="114" t="s">
        <v>1374</v>
      </c>
      <c r="D1460" s="114" t="s">
        <v>1375</v>
      </c>
      <c r="E1460" s="114" t="s">
        <v>1106</v>
      </c>
      <c r="F1460" s="117">
        <v>46066</v>
      </c>
      <c r="G1460" s="114" t="s">
        <v>346</v>
      </c>
      <c r="H1460" s="114" t="s">
        <v>30</v>
      </c>
      <c r="I1460" s="136">
        <v>250</v>
      </c>
      <c r="J1460" s="283"/>
      <c r="K1460" s="136">
        <v>250</v>
      </c>
      <c r="L1460" s="283">
        <v>250</v>
      </c>
      <c r="M1460" s="283"/>
      <c r="N1460" s="136">
        <f t="shared" si="93"/>
        <v>0</v>
      </c>
      <c r="O1460" s="143" t="s">
        <v>1377</v>
      </c>
      <c r="P1460" s="269"/>
      <c r="XFC1460"/>
    </row>
    <row r="1461" s="84" customFormat="1" spans="1:16383">
      <c r="A1461" s="111">
        <v>46054</v>
      </c>
      <c r="B1461" s="269" t="str">
        <f t="shared" si="92"/>
        <v>4F</v>
      </c>
      <c r="C1461" s="114" t="s">
        <v>1374</v>
      </c>
      <c r="D1461" s="114" t="s">
        <v>1375</v>
      </c>
      <c r="E1461" s="114" t="s">
        <v>1106</v>
      </c>
      <c r="F1461" s="117">
        <v>46066</v>
      </c>
      <c r="G1461" s="114" t="s">
        <v>347</v>
      </c>
      <c r="H1461" s="114" t="s">
        <v>30</v>
      </c>
      <c r="I1461" s="136">
        <v>250</v>
      </c>
      <c r="J1461" s="283"/>
      <c r="K1461" s="136">
        <v>250</v>
      </c>
      <c r="L1461" s="283">
        <v>250</v>
      </c>
      <c r="M1461" s="283"/>
      <c r="N1461" s="136">
        <f t="shared" si="93"/>
        <v>0</v>
      </c>
      <c r="O1461" s="143" t="s">
        <v>1377</v>
      </c>
      <c r="P1461" s="269"/>
      <c r="XFC1461"/>
    </row>
    <row r="1462" s="84" customFormat="1" spans="1:16383">
      <c r="A1462" s="111">
        <v>46054</v>
      </c>
      <c r="B1462" s="269" t="str">
        <f t="shared" si="92"/>
        <v>4F</v>
      </c>
      <c r="C1462" s="114" t="s">
        <v>1374</v>
      </c>
      <c r="D1462" s="114" t="s">
        <v>1375</v>
      </c>
      <c r="E1462" s="114" t="s">
        <v>1106</v>
      </c>
      <c r="F1462" s="117">
        <v>46066</v>
      </c>
      <c r="G1462" s="114" t="s">
        <v>348</v>
      </c>
      <c r="H1462" s="114" t="s">
        <v>30</v>
      </c>
      <c r="I1462" s="136">
        <v>250</v>
      </c>
      <c r="J1462" s="283"/>
      <c r="K1462" s="136">
        <v>250</v>
      </c>
      <c r="L1462" s="283">
        <v>250</v>
      </c>
      <c r="M1462" s="283"/>
      <c r="N1462" s="136">
        <f t="shared" si="93"/>
        <v>0</v>
      </c>
      <c r="O1462" s="143" t="s">
        <v>1377</v>
      </c>
      <c r="P1462" s="269"/>
      <c r="XFC1462"/>
    </row>
    <row r="1463" s="84" customFormat="1" spans="1:16383">
      <c r="A1463" s="111">
        <v>46054</v>
      </c>
      <c r="B1463" s="269" t="str">
        <f t="shared" si="92"/>
        <v>4F</v>
      </c>
      <c r="C1463" s="114" t="s">
        <v>1374</v>
      </c>
      <c r="D1463" s="114" t="s">
        <v>1375</v>
      </c>
      <c r="E1463" s="114" t="s">
        <v>1106</v>
      </c>
      <c r="F1463" s="117">
        <v>46066</v>
      </c>
      <c r="G1463" s="114" t="s">
        <v>349</v>
      </c>
      <c r="H1463" s="114" t="s">
        <v>30</v>
      </c>
      <c r="I1463" s="136">
        <v>250</v>
      </c>
      <c r="J1463" s="283"/>
      <c r="K1463" s="136">
        <v>250</v>
      </c>
      <c r="L1463" s="283">
        <v>250</v>
      </c>
      <c r="M1463" s="283"/>
      <c r="N1463" s="136">
        <f t="shared" si="93"/>
        <v>0</v>
      </c>
      <c r="O1463" s="143" t="s">
        <v>1377</v>
      </c>
      <c r="P1463" s="269"/>
      <c r="XFC1463"/>
    </row>
    <row r="1464" s="84" customFormat="1" spans="1:16383">
      <c r="A1464" s="111">
        <v>46054</v>
      </c>
      <c r="B1464" s="269" t="str">
        <f t="shared" si="92"/>
        <v>4F</v>
      </c>
      <c r="C1464" s="114" t="s">
        <v>1374</v>
      </c>
      <c r="D1464" s="114" t="s">
        <v>1375</v>
      </c>
      <c r="E1464" s="114" t="s">
        <v>1106</v>
      </c>
      <c r="F1464" s="117">
        <v>46066</v>
      </c>
      <c r="G1464" s="114" t="s">
        <v>350</v>
      </c>
      <c r="H1464" s="114" t="s">
        <v>30</v>
      </c>
      <c r="I1464" s="136">
        <v>250</v>
      </c>
      <c r="J1464" s="283"/>
      <c r="K1464" s="136">
        <v>250</v>
      </c>
      <c r="L1464" s="283">
        <v>250</v>
      </c>
      <c r="M1464" s="283"/>
      <c r="N1464" s="136">
        <f t="shared" si="93"/>
        <v>0</v>
      </c>
      <c r="O1464" s="143" t="s">
        <v>1377</v>
      </c>
      <c r="P1464" s="269"/>
      <c r="XFC1464"/>
    </row>
    <row r="1465" s="84" customFormat="1" spans="1:16383">
      <c r="A1465" s="111">
        <v>46054</v>
      </c>
      <c r="B1465" s="269" t="str">
        <f t="shared" si="92"/>
        <v>4F</v>
      </c>
      <c r="C1465" s="114" t="s">
        <v>1374</v>
      </c>
      <c r="D1465" s="114" t="s">
        <v>1375</v>
      </c>
      <c r="E1465" s="114" t="s">
        <v>1106</v>
      </c>
      <c r="F1465" s="117">
        <v>46066</v>
      </c>
      <c r="G1465" s="114" t="s">
        <v>351</v>
      </c>
      <c r="H1465" s="114" t="s">
        <v>30</v>
      </c>
      <c r="I1465" s="136">
        <v>250</v>
      </c>
      <c r="J1465" s="283"/>
      <c r="K1465" s="136">
        <v>250</v>
      </c>
      <c r="L1465" s="283">
        <v>250</v>
      </c>
      <c r="M1465" s="283"/>
      <c r="N1465" s="136">
        <f t="shared" si="93"/>
        <v>0</v>
      </c>
      <c r="O1465" s="143" t="s">
        <v>1377</v>
      </c>
      <c r="P1465" s="269"/>
      <c r="XFC1465"/>
    </row>
    <row r="1466" s="84" customFormat="1" spans="1:16383">
      <c r="A1466" s="111">
        <v>46054</v>
      </c>
      <c r="B1466" s="269" t="str">
        <f t="shared" si="92"/>
        <v>4F</v>
      </c>
      <c r="C1466" s="114" t="s">
        <v>1374</v>
      </c>
      <c r="D1466" s="114" t="s">
        <v>1375</v>
      </c>
      <c r="E1466" s="114" t="s">
        <v>1106</v>
      </c>
      <c r="F1466" s="117">
        <v>46066</v>
      </c>
      <c r="G1466" s="114" t="s">
        <v>352</v>
      </c>
      <c r="H1466" s="114" t="s">
        <v>30</v>
      </c>
      <c r="I1466" s="136">
        <v>250</v>
      </c>
      <c r="J1466" s="283"/>
      <c r="K1466" s="136">
        <v>250</v>
      </c>
      <c r="L1466" s="283">
        <v>250</v>
      </c>
      <c r="M1466" s="283"/>
      <c r="N1466" s="136">
        <f t="shared" si="93"/>
        <v>0</v>
      </c>
      <c r="O1466" s="143" t="s">
        <v>1377</v>
      </c>
      <c r="P1466" s="269"/>
      <c r="XFC1466"/>
    </row>
    <row r="1467" s="84" customFormat="1" spans="1:16383">
      <c r="A1467" s="111">
        <v>46054</v>
      </c>
      <c r="B1467" s="269" t="str">
        <f t="shared" si="92"/>
        <v>4F</v>
      </c>
      <c r="C1467" s="114" t="s">
        <v>1381</v>
      </c>
      <c r="D1467" s="114" t="s">
        <v>1375</v>
      </c>
      <c r="E1467" s="114" t="s">
        <v>1106</v>
      </c>
      <c r="F1467" s="117">
        <v>46066</v>
      </c>
      <c r="G1467" s="114" t="s">
        <v>1376</v>
      </c>
      <c r="H1467" s="114" t="s">
        <v>30</v>
      </c>
      <c r="I1467" s="136">
        <v>250</v>
      </c>
      <c r="J1467" s="283"/>
      <c r="K1467" s="136">
        <v>250</v>
      </c>
      <c r="L1467" s="283">
        <v>250</v>
      </c>
      <c r="M1467" s="283"/>
      <c r="N1467" s="136">
        <f t="shared" si="93"/>
        <v>0</v>
      </c>
      <c r="O1467" s="143" t="s">
        <v>1377</v>
      </c>
      <c r="P1467" s="269"/>
      <c r="XFC1467"/>
    </row>
    <row r="1468" s="84" customFormat="1" spans="1:16383">
      <c r="A1468" s="111">
        <v>46054</v>
      </c>
      <c r="B1468" s="269" t="str">
        <f t="shared" si="92"/>
        <v>4F</v>
      </c>
      <c r="C1468" s="114" t="s">
        <v>1381</v>
      </c>
      <c r="D1468" s="114" t="s">
        <v>1375</v>
      </c>
      <c r="E1468" s="114" t="s">
        <v>1106</v>
      </c>
      <c r="F1468" s="117">
        <v>46066</v>
      </c>
      <c r="G1468" s="114" t="s">
        <v>1378</v>
      </c>
      <c r="H1468" s="114" t="s">
        <v>30</v>
      </c>
      <c r="I1468" s="136">
        <v>250</v>
      </c>
      <c r="J1468" s="283"/>
      <c r="K1468" s="136">
        <v>250</v>
      </c>
      <c r="L1468" s="283">
        <v>250</v>
      </c>
      <c r="M1468" s="283"/>
      <c r="N1468" s="136">
        <f t="shared" si="93"/>
        <v>0</v>
      </c>
      <c r="O1468" s="143" t="s">
        <v>1377</v>
      </c>
      <c r="P1468" s="269"/>
      <c r="XFC1468"/>
    </row>
    <row r="1469" s="84" customFormat="1" spans="1:16383">
      <c r="A1469" s="111">
        <v>46054</v>
      </c>
      <c r="B1469" s="269" t="str">
        <f t="shared" si="92"/>
        <v>4F</v>
      </c>
      <c r="C1469" s="114" t="s">
        <v>1381</v>
      </c>
      <c r="D1469" s="114" t="s">
        <v>1375</v>
      </c>
      <c r="E1469" s="114" t="s">
        <v>1106</v>
      </c>
      <c r="F1469" s="117">
        <v>46066</v>
      </c>
      <c r="G1469" s="114" t="s">
        <v>1379</v>
      </c>
      <c r="H1469" s="114" t="s">
        <v>30</v>
      </c>
      <c r="I1469" s="136">
        <v>250</v>
      </c>
      <c r="J1469" s="283"/>
      <c r="K1469" s="136">
        <v>250</v>
      </c>
      <c r="L1469" s="283">
        <v>250</v>
      </c>
      <c r="M1469" s="283"/>
      <c r="N1469" s="136">
        <f t="shared" si="93"/>
        <v>0</v>
      </c>
      <c r="O1469" s="143" t="s">
        <v>1377</v>
      </c>
      <c r="P1469" s="269"/>
      <c r="XFC1469"/>
    </row>
    <row r="1470" s="84" customFormat="1" spans="1:16383">
      <c r="A1470" s="111">
        <v>46054</v>
      </c>
      <c r="B1470" s="269" t="str">
        <f t="shared" si="92"/>
        <v>4F</v>
      </c>
      <c r="C1470" s="114" t="s">
        <v>1381</v>
      </c>
      <c r="D1470" s="114" t="s">
        <v>1375</v>
      </c>
      <c r="E1470" s="114" t="s">
        <v>1106</v>
      </c>
      <c r="F1470" s="117">
        <v>46066</v>
      </c>
      <c r="G1470" s="114" t="s">
        <v>1380</v>
      </c>
      <c r="H1470" s="114" t="s">
        <v>30</v>
      </c>
      <c r="I1470" s="136">
        <v>250</v>
      </c>
      <c r="J1470" s="283"/>
      <c r="K1470" s="136">
        <v>250</v>
      </c>
      <c r="L1470" s="283">
        <v>250</v>
      </c>
      <c r="M1470" s="283"/>
      <c r="N1470" s="136">
        <f t="shared" si="93"/>
        <v>0</v>
      </c>
      <c r="O1470" s="143" t="s">
        <v>1377</v>
      </c>
      <c r="P1470" s="269"/>
      <c r="XFC1470"/>
    </row>
    <row r="1471" s="84" customFormat="1" spans="1:16383">
      <c r="A1471" s="111">
        <v>46054</v>
      </c>
      <c r="B1471" s="269" t="str">
        <f t="shared" si="92"/>
        <v>4F</v>
      </c>
      <c r="C1471" s="114" t="s">
        <v>1381</v>
      </c>
      <c r="D1471" s="114" t="s">
        <v>1375</v>
      </c>
      <c r="E1471" s="114" t="s">
        <v>1106</v>
      </c>
      <c r="F1471" s="117">
        <v>46066</v>
      </c>
      <c r="G1471" s="114" t="s">
        <v>344</v>
      </c>
      <c r="H1471" s="114" t="s">
        <v>30</v>
      </c>
      <c r="I1471" s="136">
        <v>250</v>
      </c>
      <c r="J1471" s="283"/>
      <c r="K1471" s="136">
        <v>250</v>
      </c>
      <c r="L1471" s="283">
        <v>250</v>
      </c>
      <c r="M1471" s="283"/>
      <c r="N1471" s="136">
        <f t="shared" si="93"/>
        <v>0</v>
      </c>
      <c r="O1471" s="143" t="s">
        <v>1377</v>
      </c>
      <c r="P1471" s="269"/>
      <c r="XFC1471"/>
    </row>
    <row r="1472" s="84" customFormat="1" spans="1:16383">
      <c r="A1472" s="111">
        <v>46054</v>
      </c>
      <c r="B1472" s="269" t="str">
        <f t="shared" si="92"/>
        <v>4F</v>
      </c>
      <c r="C1472" s="114" t="s">
        <v>1381</v>
      </c>
      <c r="D1472" s="114" t="s">
        <v>1375</v>
      </c>
      <c r="E1472" s="114" t="s">
        <v>1106</v>
      </c>
      <c r="F1472" s="117">
        <v>46066</v>
      </c>
      <c r="G1472" s="114" t="s">
        <v>346</v>
      </c>
      <c r="H1472" s="114" t="s">
        <v>30</v>
      </c>
      <c r="I1472" s="136">
        <v>250</v>
      </c>
      <c r="J1472" s="283"/>
      <c r="K1472" s="136">
        <v>250</v>
      </c>
      <c r="L1472" s="283">
        <v>250</v>
      </c>
      <c r="M1472" s="283"/>
      <c r="N1472" s="136">
        <f t="shared" si="93"/>
        <v>0</v>
      </c>
      <c r="O1472" s="143" t="s">
        <v>1377</v>
      </c>
      <c r="P1472" s="269"/>
      <c r="XFC1472"/>
    </row>
    <row r="1473" s="84" customFormat="1" spans="1:16383">
      <c r="A1473" s="111">
        <v>46054</v>
      </c>
      <c r="B1473" s="269" t="str">
        <f t="shared" si="92"/>
        <v>4F</v>
      </c>
      <c r="C1473" s="114" t="s">
        <v>1381</v>
      </c>
      <c r="D1473" s="114" t="s">
        <v>1375</v>
      </c>
      <c r="E1473" s="114" t="s">
        <v>1106</v>
      </c>
      <c r="F1473" s="117">
        <v>46066</v>
      </c>
      <c r="G1473" s="114" t="s">
        <v>347</v>
      </c>
      <c r="H1473" s="114" t="s">
        <v>30</v>
      </c>
      <c r="I1473" s="136">
        <v>250</v>
      </c>
      <c r="J1473" s="283"/>
      <c r="K1473" s="136">
        <v>250</v>
      </c>
      <c r="L1473" s="283">
        <v>250</v>
      </c>
      <c r="M1473" s="283"/>
      <c r="N1473" s="136">
        <f t="shared" si="93"/>
        <v>0</v>
      </c>
      <c r="O1473" s="143" t="s">
        <v>1377</v>
      </c>
      <c r="P1473" s="269"/>
      <c r="XFC1473"/>
    </row>
    <row r="1474" s="84" customFormat="1" spans="1:16383">
      <c r="A1474" s="111">
        <v>46054</v>
      </c>
      <c r="B1474" s="269" t="str">
        <f t="shared" si="92"/>
        <v>4F</v>
      </c>
      <c r="C1474" s="114" t="s">
        <v>1381</v>
      </c>
      <c r="D1474" s="114" t="s">
        <v>1375</v>
      </c>
      <c r="E1474" s="114" t="s">
        <v>1106</v>
      </c>
      <c r="F1474" s="117">
        <v>46066</v>
      </c>
      <c r="G1474" s="114" t="s">
        <v>348</v>
      </c>
      <c r="H1474" s="114" t="s">
        <v>30</v>
      </c>
      <c r="I1474" s="136">
        <v>250</v>
      </c>
      <c r="J1474" s="283"/>
      <c r="K1474" s="136">
        <v>250</v>
      </c>
      <c r="L1474" s="283">
        <v>250</v>
      </c>
      <c r="M1474" s="283"/>
      <c r="N1474" s="136">
        <f t="shared" si="93"/>
        <v>0</v>
      </c>
      <c r="O1474" s="143" t="s">
        <v>1377</v>
      </c>
      <c r="P1474" s="269"/>
      <c r="XFC1474"/>
    </row>
    <row r="1475" s="84" customFormat="1" spans="1:16383">
      <c r="A1475" s="111">
        <v>46054</v>
      </c>
      <c r="B1475" s="269" t="str">
        <f t="shared" si="92"/>
        <v>4F</v>
      </c>
      <c r="C1475" s="114" t="s">
        <v>1381</v>
      </c>
      <c r="D1475" s="114" t="s">
        <v>1375</v>
      </c>
      <c r="E1475" s="114" t="s">
        <v>1106</v>
      </c>
      <c r="F1475" s="117">
        <v>46066</v>
      </c>
      <c r="G1475" s="114" t="s">
        <v>349</v>
      </c>
      <c r="H1475" s="114" t="s">
        <v>30</v>
      </c>
      <c r="I1475" s="136">
        <v>250</v>
      </c>
      <c r="J1475" s="283"/>
      <c r="K1475" s="136">
        <v>250</v>
      </c>
      <c r="L1475" s="283">
        <v>250</v>
      </c>
      <c r="M1475" s="283"/>
      <c r="N1475" s="136">
        <f t="shared" si="93"/>
        <v>0</v>
      </c>
      <c r="O1475" s="143" t="s">
        <v>1377</v>
      </c>
      <c r="P1475" s="269"/>
      <c r="XFC1475"/>
    </row>
    <row r="1476" s="84" customFormat="1" spans="1:16383">
      <c r="A1476" s="111">
        <v>46054</v>
      </c>
      <c r="B1476" s="269" t="str">
        <f t="shared" si="92"/>
        <v>4F</v>
      </c>
      <c r="C1476" s="114" t="s">
        <v>1381</v>
      </c>
      <c r="D1476" s="114" t="s">
        <v>1375</v>
      </c>
      <c r="E1476" s="114" t="s">
        <v>1106</v>
      </c>
      <c r="F1476" s="117">
        <v>46066</v>
      </c>
      <c r="G1476" s="114" t="s">
        <v>350</v>
      </c>
      <c r="H1476" s="114" t="s">
        <v>30</v>
      </c>
      <c r="I1476" s="136">
        <v>250</v>
      </c>
      <c r="J1476" s="283"/>
      <c r="K1476" s="136">
        <v>250</v>
      </c>
      <c r="L1476" s="283">
        <v>250</v>
      </c>
      <c r="M1476" s="283"/>
      <c r="N1476" s="136">
        <f t="shared" si="93"/>
        <v>0</v>
      </c>
      <c r="O1476" s="143" t="s">
        <v>1377</v>
      </c>
      <c r="P1476" s="269"/>
      <c r="XFC1476"/>
    </row>
    <row r="1477" s="84" customFormat="1" spans="1:16383">
      <c r="A1477" s="111">
        <v>46054</v>
      </c>
      <c r="B1477" s="269" t="str">
        <f t="shared" si="92"/>
        <v>4F</v>
      </c>
      <c r="C1477" s="114" t="s">
        <v>1381</v>
      </c>
      <c r="D1477" s="114" t="s">
        <v>1375</v>
      </c>
      <c r="E1477" s="114" t="s">
        <v>1106</v>
      </c>
      <c r="F1477" s="117">
        <v>46066</v>
      </c>
      <c r="G1477" s="114" t="s">
        <v>351</v>
      </c>
      <c r="H1477" s="114" t="s">
        <v>30</v>
      </c>
      <c r="I1477" s="136">
        <v>250</v>
      </c>
      <c r="J1477" s="283"/>
      <c r="K1477" s="136">
        <v>250</v>
      </c>
      <c r="L1477" s="283">
        <v>250</v>
      </c>
      <c r="M1477" s="283"/>
      <c r="N1477" s="136">
        <f t="shared" si="93"/>
        <v>0</v>
      </c>
      <c r="O1477" s="143" t="s">
        <v>1377</v>
      </c>
      <c r="P1477" s="269"/>
      <c r="XFC1477"/>
    </row>
    <row r="1478" s="84" customFormat="1" spans="1:16383">
      <c r="A1478" s="111">
        <v>46054</v>
      </c>
      <c r="B1478" s="269" t="str">
        <f t="shared" si="92"/>
        <v>4F</v>
      </c>
      <c r="C1478" s="114" t="s">
        <v>1381</v>
      </c>
      <c r="D1478" s="114" t="s">
        <v>1375</v>
      </c>
      <c r="E1478" s="114" t="s">
        <v>1106</v>
      </c>
      <c r="F1478" s="117">
        <v>46066</v>
      </c>
      <c r="G1478" s="114" t="s">
        <v>352</v>
      </c>
      <c r="H1478" s="114" t="s">
        <v>30</v>
      </c>
      <c r="I1478" s="136">
        <v>250</v>
      </c>
      <c r="J1478" s="283"/>
      <c r="K1478" s="136">
        <v>250</v>
      </c>
      <c r="L1478" s="283">
        <v>250</v>
      </c>
      <c r="M1478" s="283"/>
      <c r="N1478" s="136">
        <f t="shared" si="93"/>
        <v>0</v>
      </c>
      <c r="O1478" s="143" t="s">
        <v>1377</v>
      </c>
      <c r="P1478" s="269"/>
      <c r="XFC1478"/>
    </row>
    <row r="1479" s="84" customFormat="1" spans="1:16383">
      <c r="A1479" s="111">
        <v>46054</v>
      </c>
      <c r="B1479" s="269" t="str">
        <f t="shared" si="92"/>
        <v>3F</v>
      </c>
      <c r="C1479" s="114" t="s">
        <v>552</v>
      </c>
      <c r="D1479" s="114" t="s">
        <v>553</v>
      </c>
      <c r="E1479" s="114" t="s">
        <v>554</v>
      </c>
      <c r="F1479" s="117">
        <v>46066</v>
      </c>
      <c r="G1479" s="114" t="s">
        <v>1176</v>
      </c>
      <c r="H1479" s="114" t="s">
        <v>23</v>
      </c>
      <c r="I1479" s="136">
        <v>11030</v>
      </c>
      <c r="J1479" s="283"/>
      <c r="K1479" s="136">
        <v>11030</v>
      </c>
      <c r="L1479" s="283">
        <v>11030</v>
      </c>
      <c r="M1479" s="283"/>
      <c r="N1479" s="136">
        <f t="shared" si="93"/>
        <v>0</v>
      </c>
      <c r="O1479" s="143" t="s">
        <v>1382</v>
      </c>
      <c r="P1479" s="269"/>
      <c r="XFC1479"/>
    </row>
    <row r="1480" s="84" customFormat="1" spans="1:16383">
      <c r="A1480" s="111">
        <v>46054</v>
      </c>
      <c r="B1480" s="269" t="str">
        <f t="shared" si="92"/>
        <v>3F</v>
      </c>
      <c r="C1480" s="114" t="s">
        <v>552</v>
      </c>
      <c r="D1480" s="114" t="s">
        <v>553</v>
      </c>
      <c r="E1480" s="114" t="s">
        <v>554</v>
      </c>
      <c r="F1480" s="117">
        <v>46066</v>
      </c>
      <c r="G1480" s="114" t="s">
        <v>1176</v>
      </c>
      <c r="H1480" s="114" t="s">
        <v>21</v>
      </c>
      <c r="I1480" s="136">
        <v>35296</v>
      </c>
      <c r="J1480" s="283"/>
      <c r="K1480" s="136">
        <v>35296</v>
      </c>
      <c r="L1480" s="283">
        <v>35296</v>
      </c>
      <c r="M1480" s="283"/>
      <c r="N1480" s="136">
        <f t="shared" si="93"/>
        <v>0</v>
      </c>
      <c r="O1480" s="143" t="s">
        <v>1382</v>
      </c>
      <c r="P1480" s="269"/>
      <c r="XFC1480"/>
    </row>
    <row r="1481" s="84" customFormat="1" spans="1:16383">
      <c r="A1481" s="111">
        <v>46054</v>
      </c>
      <c r="B1481" s="269" t="str">
        <f t="shared" si="92"/>
        <v>1F</v>
      </c>
      <c r="C1481" s="114" t="s">
        <v>99</v>
      </c>
      <c r="D1481" s="114" t="s">
        <v>100</v>
      </c>
      <c r="E1481" s="114" t="s">
        <v>101</v>
      </c>
      <c r="F1481" s="117">
        <v>46066</v>
      </c>
      <c r="G1481" s="114" t="s">
        <v>98</v>
      </c>
      <c r="H1481" s="114" t="s">
        <v>21</v>
      </c>
      <c r="I1481" s="136">
        <v>21777.46</v>
      </c>
      <c r="J1481" s="283"/>
      <c r="K1481" s="136">
        <v>21777.46</v>
      </c>
      <c r="L1481" s="283">
        <v>21777.46</v>
      </c>
      <c r="M1481" s="283"/>
      <c r="N1481" s="136">
        <f t="shared" si="93"/>
        <v>0</v>
      </c>
      <c r="O1481" s="216" t="s">
        <v>1383</v>
      </c>
      <c r="P1481" s="143" t="s">
        <v>1384</v>
      </c>
      <c r="XFC1481"/>
    </row>
    <row r="1482" s="88" customFormat="1" spans="1:16">
      <c r="A1482" s="111">
        <v>46054</v>
      </c>
      <c r="B1482" s="138" t="str">
        <f t="shared" si="92"/>
        <v>1F</v>
      </c>
      <c r="C1482" s="114" t="s">
        <v>99</v>
      </c>
      <c r="D1482" s="114" t="s">
        <v>100</v>
      </c>
      <c r="E1482" s="114" t="s">
        <v>101</v>
      </c>
      <c r="F1482" s="117">
        <v>46066</v>
      </c>
      <c r="G1482" s="114" t="s">
        <v>98</v>
      </c>
      <c r="H1482" s="114" t="s">
        <v>23</v>
      </c>
      <c r="I1482" s="136">
        <v>2860</v>
      </c>
      <c r="J1482" s="131"/>
      <c r="K1482" s="136">
        <v>2860</v>
      </c>
      <c r="L1482" s="131">
        <v>2860</v>
      </c>
      <c r="M1482" s="131"/>
      <c r="N1482" s="136">
        <f t="shared" si="93"/>
        <v>0</v>
      </c>
      <c r="O1482" s="216" t="s">
        <v>1383</v>
      </c>
      <c r="P1482" s="138"/>
    </row>
    <row r="1483" s="88" customFormat="1" spans="1:16">
      <c r="A1483" s="111">
        <v>46054</v>
      </c>
      <c r="B1483" s="138" t="str">
        <f t="shared" si="92"/>
        <v>1F</v>
      </c>
      <c r="C1483" s="114" t="s">
        <v>112</v>
      </c>
      <c r="D1483" s="114" t="s">
        <v>113</v>
      </c>
      <c r="E1483" s="114" t="s">
        <v>114</v>
      </c>
      <c r="F1483" s="117">
        <v>46066</v>
      </c>
      <c r="G1483" s="135" t="s">
        <v>98</v>
      </c>
      <c r="H1483" s="114" t="s">
        <v>21</v>
      </c>
      <c r="I1483" s="136">
        <v>29571.04</v>
      </c>
      <c r="J1483" s="131"/>
      <c r="K1483" s="136">
        <v>29571.04</v>
      </c>
      <c r="L1483" s="131">
        <v>29571.04</v>
      </c>
      <c r="M1483" s="131"/>
      <c r="N1483" s="136">
        <f t="shared" si="93"/>
        <v>0</v>
      </c>
      <c r="O1483" s="216" t="s">
        <v>1385</v>
      </c>
      <c r="P1483" s="138"/>
    </row>
    <row r="1484" s="88" customFormat="1" spans="1:16">
      <c r="A1484" s="111">
        <v>46054</v>
      </c>
      <c r="B1484" s="138" t="str">
        <f t="shared" si="92"/>
        <v>1F</v>
      </c>
      <c r="C1484" s="114" t="s">
        <v>112</v>
      </c>
      <c r="D1484" s="114" t="s">
        <v>113</v>
      </c>
      <c r="E1484" s="114" t="s">
        <v>114</v>
      </c>
      <c r="F1484" s="117">
        <v>46066</v>
      </c>
      <c r="G1484" s="114" t="s">
        <v>96</v>
      </c>
      <c r="H1484" s="114" t="s">
        <v>23</v>
      </c>
      <c r="I1484" s="136">
        <v>2760</v>
      </c>
      <c r="J1484" s="131"/>
      <c r="K1484" s="136">
        <v>2760</v>
      </c>
      <c r="L1484" s="131">
        <v>2760</v>
      </c>
      <c r="M1484" s="131"/>
      <c r="N1484" s="136">
        <f t="shared" si="93"/>
        <v>0</v>
      </c>
      <c r="O1484" s="216" t="s">
        <v>1386</v>
      </c>
      <c r="P1484" s="138"/>
    </row>
    <row r="1485" s="88" customFormat="1" spans="1:16">
      <c r="A1485" s="111">
        <v>46054</v>
      </c>
      <c r="B1485" s="138" t="str">
        <f t="shared" si="92"/>
        <v>5F</v>
      </c>
      <c r="C1485" s="114" t="s">
        <v>783</v>
      </c>
      <c r="D1485" s="114" t="s">
        <v>784</v>
      </c>
      <c r="E1485" s="114" t="s">
        <v>785</v>
      </c>
      <c r="F1485" s="117">
        <v>46066</v>
      </c>
      <c r="G1485" s="114" t="s">
        <v>1387</v>
      </c>
      <c r="H1485" s="114" t="s">
        <v>23</v>
      </c>
      <c r="I1485" s="136">
        <v>1645.48</v>
      </c>
      <c r="J1485" s="131"/>
      <c r="K1485" s="136">
        <v>1645.48</v>
      </c>
      <c r="L1485" s="131">
        <v>1645.48</v>
      </c>
      <c r="M1485" s="131"/>
      <c r="N1485" s="136">
        <f t="shared" si="93"/>
        <v>0</v>
      </c>
      <c r="O1485" s="216" t="s">
        <v>1388</v>
      </c>
      <c r="P1485" s="138"/>
    </row>
    <row r="1486" s="88" customFormat="1" spans="1:16">
      <c r="A1486" s="111">
        <v>46054</v>
      </c>
      <c r="B1486" s="138" t="str">
        <f t="shared" si="92"/>
        <v>5F</v>
      </c>
      <c r="C1486" s="114" t="s">
        <v>783</v>
      </c>
      <c r="D1486" s="114" t="s">
        <v>784</v>
      </c>
      <c r="E1486" s="114" t="s">
        <v>785</v>
      </c>
      <c r="F1486" s="117">
        <v>46066</v>
      </c>
      <c r="G1486" s="114" t="s">
        <v>1174</v>
      </c>
      <c r="H1486" s="114" t="s">
        <v>23</v>
      </c>
      <c r="I1486" s="136">
        <v>3575</v>
      </c>
      <c r="J1486" s="131"/>
      <c r="K1486" s="136">
        <v>3575</v>
      </c>
      <c r="L1486" s="131">
        <v>3575</v>
      </c>
      <c r="M1486" s="131"/>
      <c r="N1486" s="136">
        <f t="shared" si="93"/>
        <v>0</v>
      </c>
      <c r="O1486" s="216" t="s">
        <v>1388</v>
      </c>
      <c r="P1486" s="138"/>
    </row>
    <row r="1487" s="88" customFormat="1" spans="1:16">
      <c r="A1487" s="111">
        <v>46054</v>
      </c>
      <c r="B1487" s="138" t="str">
        <f t="shared" si="92"/>
        <v>5F</v>
      </c>
      <c r="C1487" s="114" t="s">
        <v>783</v>
      </c>
      <c r="D1487" s="114" t="s">
        <v>784</v>
      </c>
      <c r="E1487" s="114" t="s">
        <v>785</v>
      </c>
      <c r="F1487" s="117">
        <v>46066</v>
      </c>
      <c r="G1487" s="114" t="s">
        <v>1176</v>
      </c>
      <c r="H1487" s="114" t="s">
        <v>23</v>
      </c>
      <c r="I1487" s="136">
        <v>3575</v>
      </c>
      <c r="J1487" s="131"/>
      <c r="K1487" s="136">
        <v>3575</v>
      </c>
      <c r="L1487" s="131">
        <v>3575</v>
      </c>
      <c r="M1487" s="131"/>
      <c r="N1487" s="136">
        <f t="shared" si="93"/>
        <v>0</v>
      </c>
      <c r="O1487" s="216" t="s">
        <v>1388</v>
      </c>
      <c r="P1487" s="138"/>
    </row>
    <row r="1488" s="88" customFormat="1" spans="1:16">
      <c r="A1488" s="111">
        <v>46054</v>
      </c>
      <c r="B1488" s="138" t="str">
        <f t="shared" si="92"/>
        <v>5F</v>
      </c>
      <c r="C1488" s="114" t="s">
        <v>783</v>
      </c>
      <c r="D1488" s="114" t="s">
        <v>784</v>
      </c>
      <c r="E1488" s="114" t="s">
        <v>785</v>
      </c>
      <c r="F1488" s="117">
        <v>46066</v>
      </c>
      <c r="G1488" s="114" t="s">
        <v>1387</v>
      </c>
      <c r="H1488" s="114" t="s">
        <v>21</v>
      </c>
      <c r="I1488" s="136">
        <v>2496.94</v>
      </c>
      <c r="J1488" s="131"/>
      <c r="K1488" s="136">
        <v>2496.94</v>
      </c>
      <c r="L1488" s="131">
        <v>2496.94</v>
      </c>
      <c r="M1488" s="131"/>
      <c r="N1488" s="136">
        <f t="shared" si="93"/>
        <v>0</v>
      </c>
      <c r="O1488" s="216" t="s">
        <v>1388</v>
      </c>
      <c r="P1488" s="138"/>
    </row>
    <row r="1489" s="88" customFormat="1" spans="1:16">
      <c r="A1489" s="111">
        <v>46054</v>
      </c>
      <c r="B1489" s="138" t="str">
        <f t="shared" si="92"/>
        <v>5F</v>
      </c>
      <c r="C1489" s="114" t="s">
        <v>783</v>
      </c>
      <c r="D1489" s="114" t="s">
        <v>784</v>
      </c>
      <c r="E1489" s="114" t="s">
        <v>785</v>
      </c>
      <c r="F1489" s="117">
        <v>46066</v>
      </c>
      <c r="G1489" s="114" t="s">
        <v>1174</v>
      </c>
      <c r="H1489" s="114" t="s">
        <v>21</v>
      </c>
      <c r="I1489" s="136">
        <v>5424.9</v>
      </c>
      <c r="J1489" s="131"/>
      <c r="K1489" s="136">
        <v>5424.9</v>
      </c>
      <c r="L1489" s="131">
        <v>5424.9</v>
      </c>
      <c r="M1489" s="131"/>
      <c r="N1489" s="136">
        <f t="shared" si="93"/>
        <v>0</v>
      </c>
      <c r="O1489" s="216" t="s">
        <v>1388</v>
      </c>
      <c r="P1489" s="138"/>
    </row>
    <row r="1490" s="88" customFormat="1" spans="1:16">
      <c r="A1490" s="111">
        <v>46054</v>
      </c>
      <c r="B1490" s="138" t="str">
        <f t="shared" si="92"/>
        <v>5F</v>
      </c>
      <c r="C1490" s="114" t="s">
        <v>783</v>
      </c>
      <c r="D1490" s="114" t="s">
        <v>784</v>
      </c>
      <c r="E1490" s="114" t="s">
        <v>785</v>
      </c>
      <c r="F1490" s="117">
        <v>46066</v>
      </c>
      <c r="G1490" s="114" t="s">
        <v>1176</v>
      </c>
      <c r="H1490" s="114" t="s">
        <v>21</v>
      </c>
      <c r="I1490" s="136">
        <v>5424.9</v>
      </c>
      <c r="J1490" s="131"/>
      <c r="K1490" s="136">
        <v>5424.9</v>
      </c>
      <c r="L1490" s="131">
        <v>5424.9</v>
      </c>
      <c r="M1490" s="131"/>
      <c r="N1490" s="136">
        <f t="shared" si="93"/>
        <v>0</v>
      </c>
      <c r="O1490" s="216" t="s">
        <v>1388</v>
      </c>
      <c r="P1490" s="138"/>
    </row>
    <row r="1491" s="88" customFormat="1" spans="1:16">
      <c r="A1491" s="111">
        <v>46054</v>
      </c>
      <c r="B1491" s="138" t="str">
        <f t="shared" si="92"/>
        <v>1F</v>
      </c>
      <c r="C1491" s="114" t="s">
        <v>148</v>
      </c>
      <c r="D1491" s="114" t="s">
        <v>149</v>
      </c>
      <c r="E1491" s="114" t="s">
        <v>150</v>
      </c>
      <c r="F1491" s="117">
        <v>46066</v>
      </c>
      <c r="G1491" s="135" t="s">
        <v>98</v>
      </c>
      <c r="H1491" s="114" t="s">
        <v>21</v>
      </c>
      <c r="I1491" s="136">
        <v>17578.62</v>
      </c>
      <c r="J1491" s="131"/>
      <c r="K1491" s="136">
        <v>17578.62</v>
      </c>
      <c r="L1491" s="131">
        <v>17578.62</v>
      </c>
      <c r="M1491" s="131"/>
      <c r="N1491" s="136">
        <f t="shared" si="93"/>
        <v>0</v>
      </c>
      <c r="O1491" s="216" t="s">
        <v>1389</v>
      </c>
      <c r="P1491" s="138"/>
    </row>
    <row r="1492" s="88" customFormat="1" spans="1:16">
      <c r="A1492" s="111">
        <v>46054</v>
      </c>
      <c r="B1492" s="138" t="str">
        <f t="shared" si="92"/>
        <v>1F</v>
      </c>
      <c r="C1492" s="114" t="s">
        <v>148</v>
      </c>
      <c r="D1492" s="114" t="s">
        <v>149</v>
      </c>
      <c r="E1492" s="114" t="s">
        <v>150</v>
      </c>
      <c r="F1492" s="117">
        <v>46066</v>
      </c>
      <c r="G1492" s="114" t="s">
        <v>96</v>
      </c>
      <c r="H1492" s="114" t="s">
        <v>23</v>
      </c>
      <c r="I1492" s="136">
        <v>4155</v>
      </c>
      <c r="J1492" s="131"/>
      <c r="K1492" s="136">
        <v>4155</v>
      </c>
      <c r="L1492" s="131">
        <v>4155</v>
      </c>
      <c r="M1492" s="131"/>
      <c r="N1492" s="136">
        <f t="shared" si="93"/>
        <v>0</v>
      </c>
      <c r="O1492" s="216" t="s">
        <v>1386</v>
      </c>
      <c r="P1492" s="138"/>
    </row>
    <row r="1493" s="88" customFormat="1" spans="1:16">
      <c r="A1493" s="111">
        <v>46054</v>
      </c>
      <c r="B1493" s="138" t="str">
        <f t="shared" ref="B1493:B1530" si="94">MID(C1493,1,2)</f>
        <v>1F</v>
      </c>
      <c r="C1493" s="114" t="s">
        <v>186</v>
      </c>
      <c r="D1493" s="114" t="s">
        <v>187</v>
      </c>
      <c r="E1493" s="114" t="s">
        <v>188</v>
      </c>
      <c r="F1493" s="117">
        <v>46066</v>
      </c>
      <c r="G1493" s="114" t="s">
        <v>1176</v>
      </c>
      <c r="H1493" s="114" t="s">
        <v>23</v>
      </c>
      <c r="I1493" s="136">
        <v>11880</v>
      </c>
      <c r="J1493" s="131"/>
      <c r="K1493" s="136">
        <v>11880</v>
      </c>
      <c r="L1493" s="131">
        <v>11880</v>
      </c>
      <c r="M1493" s="131"/>
      <c r="N1493" s="136">
        <f t="shared" si="93"/>
        <v>0</v>
      </c>
      <c r="O1493" s="216" t="s">
        <v>1390</v>
      </c>
      <c r="P1493" s="138"/>
    </row>
    <row r="1494" s="88" customFormat="1" spans="1:16">
      <c r="A1494" s="111">
        <v>46054</v>
      </c>
      <c r="B1494" s="138" t="str">
        <f t="shared" si="94"/>
        <v>1F</v>
      </c>
      <c r="C1494" s="114" t="s">
        <v>186</v>
      </c>
      <c r="D1494" s="114" t="s">
        <v>187</v>
      </c>
      <c r="E1494" s="114" t="s">
        <v>188</v>
      </c>
      <c r="F1494" s="117">
        <v>46066</v>
      </c>
      <c r="G1494" s="114" t="s">
        <v>1176</v>
      </c>
      <c r="H1494" s="114" t="s">
        <v>21</v>
      </c>
      <c r="I1494" s="136">
        <v>5400</v>
      </c>
      <c r="J1494" s="131"/>
      <c r="K1494" s="136">
        <v>5400</v>
      </c>
      <c r="L1494" s="131">
        <v>5400</v>
      </c>
      <c r="M1494" s="131"/>
      <c r="N1494" s="136">
        <f t="shared" si="93"/>
        <v>0</v>
      </c>
      <c r="O1494" s="216" t="s">
        <v>1390</v>
      </c>
      <c r="P1494" s="138"/>
    </row>
    <row r="1495" s="88" customFormat="1" spans="1:16">
      <c r="A1495" s="111">
        <v>46054</v>
      </c>
      <c r="B1495" s="138" t="str">
        <f t="shared" si="94"/>
        <v>6F</v>
      </c>
      <c r="C1495" s="114" t="s">
        <v>817</v>
      </c>
      <c r="D1495" s="114" t="s">
        <v>818</v>
      </c>
      <c r="E1495" s="114" t="s">
        <v>819</v>
      </c>
      <c r="F1495" s="117">
        <v>46066</v>
      </c>
      <c r="G1495" s="114" t="s">
        <v>1176</v>
      </c>
      <c r="H1495" s="114" t="s">
        <v>23</v>
      </c>
      <c r="I1495" s="136">
        <v>12500</v>
      </c>
      <c r="J1495" s="131">
        <v>5000</v>
      </c>
      <c r="K1495" s="252">
        <f>I1495-J1495</f>
        <v>7500</v>
      </c>
      <c r="L1495" s="131">
        <v>7500</v>
      </c>
      <c r="M1495" s="131"/>
      <c r="N1495" s="136">
        <f t="shared" si="93"/>
        <v>0</v>
      </c>
      <c r="O1495" s="143" t="s">
        <v>1208</v>
      </c>
      <c r="P1495" s="138"/>
    </row>
    <row r="1496" s="88" customFormat="1" spans="1:16">
      <c r="A1496" s="111">
        <v>46054</v>
      </c>
      <c r="B1496" s="138" t="str">
        <f t="shared" si="94"/>
        <v>6F</v>
      </c>
      <c r="C1496" s="114" t="s">
        <v>817</v>
      </c>
      <c r="D1496" s="114" t="s">
        <v>818</v>
      </c>
      <c r="E1496" s="114" t="s">
        <v>819</v>
      </c>
      <c r="F1496" s="117">
        <v>46066</v>
      </c>
      <c r="G1496" s="114" t="s">
        <v>1176</v>
      </c>
      <c r="H1496" s="114" t="s">
        <v>21</v>
      </c>
      <c r="I1496" s="136">
        <v>15000</v>
      </c>
      <c r="J1496" s="131">
        <v>7500</v>
      </c>
      <c r="K1496" s="252">
        <f>I1496-J1496</f>
        <v>7500</v>
      </c>
      <c r="L1496" s="131">
        <v>7500</v>
      </c>
      <c r="M1496" s="131"/>
      <c r="N1496" s="136">
        <f t="shared" si="93"/>
        <v>0</v>
      </c>
      <c r="O1496" s="143" t="s">
        <v>1208</v>
      </c>
      <c r="P1496" s="138"/>
    </row>
    <row r="1497" s="84" customFormat="1" spans="1:16383">
      <c r="A1497" s="111">
        <v>46054</v>
      </c>
      <c r="B1497" s="269" t="str">
        <f t="shared" si="94"/>
        <v>1F</v>
      </c>
      <c r="C1497" s="114" t="s">
        <v>226</v>
      </c>
      <c r="D1497" s="114" t="s">
        <v>227</v>
      </c>
      <c r="E1497" s="114" t="s">
        <v>228</v>
      </c>
      <c r="F1497" s="117">
        <v>46066</v>
      </c>
      <c r="G1497" s="114" t="s">
        <v>1176</v>
      </c>
      <c r="H1497" s="114" t="s">
        <v>23</v>
      </c>
      <c r="I1497" s="136">
        <v>3905</v>
      </c>
      <c r="J1497" s="283"/>
      <c r="K1497" s="136">
        <v>3905</v>
      </c>
      <c r="L1497" s="283">
        <v>3905</v>
      </c>
      <c r="M1497" s="283"/>
      <c r="N1497" s="136">
        <f t="shared" si="93"/>
        <v>0</v>
      </c>
      <c r="O1497" s="143" t="s">
        <v>1178</v>
      </c>
      <c r="P1497" s="269"/>
      <c r="XFC1497"/>
    </row>
    <row r="1498" s="84" customFormat="1" spans="1:16383">
      <c r="A1498" s="111">
        <v>46054</v>
      </c>
      <c r="B1498" s="269" t="str">
        <f t="shared" si="94"/>
        <v>1F</v>
      </c>
      <c r="C1498" s="114" t="s">
        <v>226</v>
      </c>
      <c r="D1498" s="114" t="s">
        <v>227</v>
      </c>
      <c r="E1498" s="114" t="s">
        <v>228</v>
      </c>
      <c r="F1498" s="117">
        <v>46066</v>
      </c>
      <c r="G1498" s="114" t="s">
        <v>1176</v>
      </c>
      <c r="H1498" s="114" t="s">
        <v>21</v>
      </c>
      <c r="I1498" s="136">
        <v>18264.75</v>
      </c>
      <c r="J1498" s="283"/>
      <c r="K1498" s="136">
        <v>18264.75</v>
      </c>
      <c r="L1498" s="283">
        <v>18264.75</v>
      </c>
      <c r="M1498" s="283"/>
      <c r="N1498" s="136">
        <f t="shared" si="93"/>
        <v>0</v>
      </c>
      <c r="O1498" s="143" t="s">
        <v>1178</v>
      </c>
      <c r="P1498" s="269"/>
      <c r="XFC1498"/>
    </row>
    <row r="1499" s="84" customFormat="1" spans="1:16383">
      <c r="A1499" s="111">
        <v>46054</v>
      </c>
      <c r="B1499" s="269" t="str">
        <f t="shared" si="94"/>
        <v>1F</v>
      </c>
      <c r="C1499" s="114" t="s">
        <v>162</v>
      </c>
      <c r="D1499" s="114" t="s">
        <v>163</v>
      </c>
      <c r="E1499" s="114" t="s">
        <v>164</v>
      </c>
      <c r="F1499" s="117">
        <v>46066</v>
      </c>
      <c r="G1499" s="114" t="s">
        <v>350</v>
      </c>
      <c r="H1499" s="114" t="s">
        <v>23</v>
      </c>
      <c r="I1499" s="136">
        <v>4180</v>
      </c>
      <c r="J1499" s="283"/>
      <c r="K1499" s="136">
        <v>4180</v>
      </c>
      <c r="L1499" s="283">
        <v>4180</v>
      </c>
      <c r="M1499" s="283"/>
      <c r="N1499" s="136">
        <f t="shared" si="93"/>
        <v>0</v>
      </c>
      <c r="O1499" s="216" t="s">
        <v>1391</v>
      </c>
      <c r="P1499" s="269"/>
      <c r="XFC1499"/>
    </row>
    <row r="1500" s="84" customFormat="1" spans="1:16383">
      <c r="A1500" s="111">
        <v>46054</v>
      </c>
      <c r="B1500" s="269" t="str">
        <f t="shared" si="94"/>
        <v>1F</v>
      </c>
      <c r="C1500" s="114" t="s">
        <v>162</v>
      </c>
      <c r="D1500" s="114" t="s">
        <v>163</v>
      </c>
      <c r="E1500" s="114" t="s">
        <v>164</v>
      </c>
      <c r="F1500" s="117">
        <v>46066</v>
      </c>
      <c r="G1500" s="114" t="s">
        <v>351</v>
      </c>
      <c r="H1500" s="114" t="s">
        <v>23</v>
      </c>
      <c r="I1500" s="136">
        <v>4180</v>
      </c>
      <c r="J1500" s="283"/>
      <c r="K1500" s="136">
        <v>4180</v>
      </c>
      <c r="L1500" s="283">
        <v>4180</v>
      </c>
      <c r="M1500" s="283"/>
      <c r="N1500" s="136">
        <f t="shared" si="93"/>
        <v>0</v>
      </c>
      <c r="O1500" s="216" t="s">
        <v>1391</v>
      </c>
      <c r="P1500" s="269"/>
      <c r="XFC1500"/>
    </row>
    <row r="1501" s="84" customFormat="1" spans="1:16383">
      <c r="A1501" s="111">
        <v>46054</v>
      </c>
      <c r="B1501" s="269" t="str">
        <f t="shared" si="94"/>
        <v>1F</v>
      </c>
      <c r="C1501" s="114" t="s">
        <v>162</v>
      </c>
      <c r="D1501" s="114" t="s">
        <v>163</v>
      </c>
      <c r="E1501" s="114" t="s">
        <v>164</v>
      </c>
      <c r="F1501" s="117">
        <v>46066</v>
      </c>
      <c r="G1501" s="114" t="s">
        <v>352</v>
      </c>
      <c r="H1501" s="114" t="s">
        <v>23</v>
      </c>
      <c r="I1501" s="136">
        <v>4180</v>
      </c>
      <c r="J1501" s="283"/>
      <c r="K1501" s="136">
        <v>4180</v>
      </c>
      <c r="L1501" s="283">
        <v>3630</v>
      </c>
      <c r="M1501" s="283"/>
      <c r="N1501" s="136">
        <f t="shared" si="93"/>
        <v>550</v>
      </c>
      <c r="O1501" s="216" t="s">
        <v>1391</v>
      </c>
      <c r="P1501" s="269"/>
      <c r="XFC1501"/>
    </row>
    <row r="1502" s="84" customFormat="1" spans="1:16383">
      <c r="A1502" s="111">
        <v>46054</v>
      </c>
      <c r="B1502" s="269" t="str">
        <f t="shared" si="94"/>
        <v>1F</v>
      </c>
      <c r="C1502" s="114" t="s">
        <v>162</v>
      </c>
      <c r="D1502" s="114" t="s">
        <v>163</v>
      </c>
      <c r="E1502" s="114" t="s">
        <v>164</v>
      </c>
      <c r="F1502" s="117">
        <v>46066</v>
      </c>
      <c r="G1502" s="114" t="s">
        <v>350</v>
      </c>
      <c r="H1502" s="114" t="s">
        <v>21</v>
      </c>
      <c r="I1502" s="136">
        <v>4430.8</v>
      </c>
      <c r="J1502" s="283"/>
      <c r="K1502" s="136">
        <v>4430.8</v>
      </c>
      <c r="L1502" s="283">
        <v>4430.8</v>
      </c>
      <c r="M1502" s="283"/>
      <c r="N1502" s="136">
        <f t="shared" si="93"/>
        <v>0</v>
      </c>
      <c r="O1502" s="216" t="s">
        <v>1391</v>
      </c>
      <c r="P1502" s="269"/>
      <c r="XFC1502"/>
    </row>
    <row r="1503" s="84" customFormat="1" spans="1:16383">
      <c r="A1503" s="111">
        <v>46054</v>
      </c>
      <c r="B1503" s="269" t="str">
        <f t="shared" si="94"/>
        <v>1F</v>
      </c>
      <c r="C1503" s="114" t="s">
        <v>162</v>
      </c>
      <c r="D1503" s="114" t="s">
        <v>163</v>
      </c>
      <c r="E1503" s="114" t="s">
        <v>164</v>
      </c>
      <c r="F1503" s="117">
        <v>46066</v>
      </c>
      <c r="G1503" s="114" t="s">
        <v>351</v>
      </c>
      <c r="H1503" s="114" t="s">
        <v>21</v>
      </c>
      <c r="I1503" s="136">
        <v>4430.8</v>
      </c>
      <c r="J1503" s="283"/>
      <c r="K1503" s="136">
        <v>4430.8</v>
      </c>
      <c r="L1503" s="283">
        <v>4430.8</v>
      </c>
      <c r="M1503" s="283"/>
      <c r="N1503" s="136">
        <f t="shared" ref="N1503:N1566" si="95">K1503-L1503</f>
        <v>0</v>
      </c>
      <c r="O1503" s="216" t="s">
        <v>1391</v>
      </c>
      <c r="P1503" s="269"/>
      <c r="XFC1503"/>
    </row>
    <row r="1504" s="84" customFormat="1" spans="1:16383">
      <c r="A1504" s="111">
        <v>46054</v>
      </c>
      <c r="B1504" s="269" t="str">
        <f t="shared" si="94"/>
        <v>1F</v>
      </c>
      <c r="C1504" s="114" t="s">
        <v>162</v>
      </c>
      <c r="D1504" s="114" t="s">
        <v>163</v>
      </c>
      <c r="E1504" s="114" t="s">
        <v>164</v>
      </c>
      <c r="F1504" s="117">
        <v>46066</v>
      </c>
      <c r="G1504" s="114" t="s">
        <v>352</v>
      </c>
      <c r="H1504" s="114" t="s">
        <v>21</v>
      </c>
      <c r="I1504" s="136">
        <v>4430.8</v>
      </c>
      <c r="J1504" s="283"/>
      <c r="K1504" s="136">
        <v>4430.8</v>
      </c>
      <c r="L1504" s="283">
        <v>4430.8</v>
      </c>
      <c r="M1504" s="283"/>
      <c r="N1504" s="136">
        <f t="shared" si="95"/>
        <v>0</v>
      </c>
      <c r="O1504" s="216" t="s">
        <v>1391</v>
      </c>
      <c r="P1504" s="269"/>
      <c r="XFC1504"/>
    </row>
    <row r="1505" s="84" customFormat="1" spans="1:16383">
      <c r="A1505" s="111">
        <v>46054</v>
      </c>
      <c r="B1505" s="269" t="str">
        <f t="shared" si="94"/>
        <v>5F</v>
      </c>
      <c r="C1505" s="114" t="s">
        <v>752</v>
      </c>
      <c r="D1505" s="114" t="s">
        <v>753</v>
      </c>
      <c r="E1505" s="114" t="s">
        <v>754</v>
      </c>
      <c r="F1505" s="117">
        <v>46066</v>
      </c>
      <c r="G1505" s="114" t="s">
        <v>1174</v>
      </c>
      <c r="H1505" s="114" t="s">
        <v>23</v>
      </c>
      <c r="I1505" s="136">
        <v>8300</v>
      </c>
      <c r="J1505" s="283"/>
      <c r="K1505" s="136">
        <v>8300</v>
      </c>
      <c r="L1505" s="283">
        <v>8300</v>
      </c>
      <c r="M1505" s="283"/>
      <c r="N1505" s="136">
        <f t="shared" si="95"/>
        <v>0</v>
      </c>
      <c r="O1505" s="216" t="s">
        <v>1204</v>
      </c>
      <c r="P1505" s="269"/>
      <c r="XFC1505"/>
    </row>
    <row r="1506" s="84" customFormat="1" spans="1:16383">
      <c r="A1506" s="111">
        <v>46054</v>
      </c>
      <c r="B1506" s="269" t="str">
        <f t="shared" si="94"/>
        <v>5F</v>
      </c>
      <c r="C1506" s="114" t="s">
        <v>752</v>
      </c>
      <c r="D1506" s="114" t="s">
        <v>753</v>
      </c>
      <c r="E1506" s="114" t="s">
        <v>754</v>
      </c>
      <c r="F1506" s="117">
        <v>46066</v>
      </c>
      <c r="G1506" s="114" t="s">
        <v>1176</v>
      </c>
      <c r="H1506" s="114" t="s">
        <v>23</v>
      </c>
      <c r="I1506" s="136">
        <v>8300</v>
      </c>
      <c r="J1506" s="283"/>
      <c r="K1506" s="136">
        <v>8300</v>
      </c>
      <c r="L1506" s="283">
        <v>8300</v>
      </c>
      <c r="M1506" s="283"/>
      <c r="N1506" s="136">
        <f t="shared" si="95"/>
        <v>0</v>
      </c>
      <c r="O1506" s="216" t="s">
        <v>1204</v>
      </c>
      <c r="P1506" s="269"/>
      <c r="XFC1506"/>
    </row>
    <row r="1507" s="84" customFormat="1" spans="1:16383">
      <c r="A1507" s="111">
        <v>46054</v>
      </c>
      <c r="B1507" s="269" t="str">
        <f t="shared" si="94"/>
        <v>2F</v>
      </c>
      <c r="C1507" s="114" t="s">
        <v>418</v>
      </c>
      <c r="D1507" s="114" t="s">
        <v>419</v>
      </c>
      <c r="E1507" s="114" t="s">
        <v>420</v>
      </c>
      <c r="F1507" s="117">
        <v>46066</v>
      </c>
      <c r="G1507" s="114" t="s">
        <v>1338</v>
      </c>
      <c r="H1507" s="114" t="s">
        <v>23</v>
      </c>
      <c r="I1507" s="136">
        <v>3780</v>
      </c>
      <c r="J1507" s="283"/>
      <c r="K1507" s="136">
        <v>3780</v>
      </c>
      <c r="L1507" s="283">
        <v>3780</v>
      </c>
      <c r="M1507" s="283"/>
      <c r="N1507" s="136">
        <f t="shared" si="95"/>
        <v>0</v>
      </c>
      <c r="O1507" s="216" t="s">
        <v>1392</v>
      </c>
      <c r="P1507" s="269"/>
      <c r="XFC1507"/>
    </row>
    <row r="1508" s="84" customFormat="1" spans="1:16383">
      <c r="A1508" s="111">
        <v>46054</v>
      </c>
      <c r="B1508" s="269" t="str">
        <f t="shared" si="94"/>
        <v>2F</v>
      </c>
      <c r="C1508" s="114" t="s">
        <v>418</v>
      </c>
      <c r="D1508" s="114" t="s">
        <v>419</v>
      </c>
      <c r="E1508" s="114" t="s">
        <v>420</v>
      </c>
      <c r="F1508" s="117">
        <v>46066</v>
      </c>
      <c r="G1508" s="114" t="s">
        <v>1174</v>
      </c>
      <c r="H1508" s="114" t="s">
        <v>23</v>
      </c>
      <c r="I1508" s="136">
        <v>3780</v>
      </c>
      <c r="J1508" s="283"/>
      <c r="K1508" s="136">
        <v>3780</v>
      </c>
      <c r="L1508" s="283">
        <v>3780</v>
      </c>
      <c r="M1508" s="283"/>
      <c r="N1508" s="136">
        <f t="shared" si="95"/>
        <v>0</v>
      </c>
      <c r="O1508" s="216" t="s">
        <v>1392</v>
      </c>
      <c r="P1508" s="269"/>
      <c r="XFC1508"/>
    </row>
    <row r="1509" s="88" customFormat="1" spans="1:16">
      <c r="A1509" s="111">
        <v>46054</v>
      </c>
      <c r="B1509" s="138" t="str">
        <f t="shared" si="94"/>
        <v>2F</v>
      </c>
      <c r="C1509" s="114" t="s">
        <v>418</v>
      </c>
      <c r="D1509" s="114" t="s">
        <v>419</v>
      </c>
      <c r="E1509" s="114" t="s">
        <v>420</v>
      </c>
      <c r="F1509" s="117">
        <v>46066</v>
      </c>
      <c r="G1509" s="114" t="s">
        <v>1176</v>
      </c>
      <c r="H1509" s="114" t="s">
        <v>23</v>
      </c>
      <c r="I1509" s="136">
        <v>3780</v>
      </c>
      <c r="J1509" s="131"/>
      <c r="K1509" s="136">
        <v>3780</v>
      </c>
      <c r="L1509" s="131">
        <v>3780</v>
      </c>
      <c r="M1509" s="131"/>
      <c r="N1509" s="136">
        <f t="shared" si="95"/>
        <v>0</v>
      </c>
      <c r="O1509" s="216" t="s">
        <v>422</v>
      </c>
      <c r="P1509" s="138"/>
    </row>
    <row r="1510" s="88" customFormat="1" spans="1:16">
      <c r="A1510" s="111">
        <v>46054</v>
      </c>
      <c r="B1510" s="138" t="str">
        <f t="shared" si="94"/>
        <v>2F</v>
      </c>
      <c r="C1510" s="114" t="s">
        <v>418</v>
      </c>
      <c r="D1510" s="114" t="s">
        <v>419</v>
      </c>
      <c r="E1510" s="114" t="s">
        <v>420</v>
      </c>
      <c r="F1510" s="117">
        <v>46066</v>
      </c>
      <c r="G1510" s="114" t="s">
        <v>1338</v>
      </c>
      <c r="H1510" s="114" t="s">
        <v>21</v>
      </c>
      <c r="I1510" s="136">
        <v>3150</v>
      </c>
      <c r="J1510" s="131"/>
      <c r="K1510" s="136">
        <v>3150</v>
      </c>
      <c r="L1510" s="131">
        <f>2150+1000</f>
        <v>3150</v>
      </c>
      <c r="M1510" s="131"/>
      <c r="N1510" s="136">
        <f t="shared" si="95"/>
        <v>0</v>
      </c>
      <c r="O1510" s="216" t="s">
        <v>1393</v>
      </c>
      <c r="P1510" s="138"/>
    </row>
    <row r="1511" s="88" customFormat="1" spans="1:16">
      <c r="A1511" s="111">
        <v>46054</v>
      </c>
      <c r="B1511" s="138" t="str">
        <f t="shared" si="94"/>
        <v>2F</v>
      </c>
      <c r="C1511" s="114" t="s">
        <v>418</v>
      </c>
      <c r="D1511" s="114" t="s">
        <v>419</v>
      </c>
      <c r="E1511" s="114" t="s">
        <v>420</v>
      </c>
      <c r="F1511" s="117">
        <v>46066</v>
      </c>
      <c r="G1511" s="114" t="s">
        <v>1174</v>
      </c>
      <c r="H1511" s="114" t="s">
        <v>21</v>
      </c>
      <c r="I1511" s="136">
        <v>3150</v>
      </c>
      <c r="J1511" s="131"/>
      <c r="K1511" s="136">
        <v>3150</v>
      </c>
      <c r="L1511" s="131">
        <v>3150</v>
      </c>
      <c r="M1511" s="131"/>
      <c r="N1511" s="136">
        <f t="shared" si="95"/>
        <v>0</v>
      </c>
      <c r="O1511" s="216" t="s">
        <v>1392</v>
      </c>
      <c r="P1511" s="138"/>
    </row>
    <row r="1512" s="88" customFormat="1" spans="1:16">
      <c r="A1512" s="111">
        <v>46054</v>
      </c>
      <c r="B1512" s="138" t="str">
        <f t="shared" si="94"/>
        <v>2F</v>
      </c>
      <c r="C1512" s="114" t="s">
        <v>418</v>
      </c>
      <c r="D1512" s="114" t="s">
        <v>419</v>
      </c>
      <c r="E1512" s="114" t="s">
        <v>420</v>
      </c>
      <c r="F1512" s="117">
        <v>46066</v>
      </c>
      <c r="G1512" s="114" t="s">
        <v>1176</v>
      </c>
      <c r="H1512" s="114" t="s">
        <v>21</v>
      </c>
      <c r="I1512" s="136">
        <v>3150</v>
      </c>
      <c r="J1512" s="131"/>
      <c r="K1512" s="136">
        <v>3150</v>
      </c>
      <c r="L1512" s="131">
        <v>3150</v>
      </c>
      <c r="M1512" s="131"/>
      <c r="N1512" s="136">
        <f t="shared" si="95"/>
        <v>0</v>
      </c>
      <c r="O1512" s="216" t="s">
        <v>422</v>
      </c>
      <c r="P1512" s="138"/>
    </row>
    <row r="1513" s="88" customFormat="1" spans="1:16">
      <c r="A1513" s="111">
        <v>46054</v>
      </c>
      <c r="B1513" s="138" t="str">
        <f t="shared" si="94"/>
        <v>1F</v>
      </c>
      <c r="C1513" s="114" t="s">
        <v>179</v>
      </c>
      <c r="D1513" s="114" t="s">
        <v>180</v>
      </c>
      <c r="E1513" s="114" t="s">
        <v>181</v>
      </c>
      <c r="F1513" s="117">
        <v>46066</v>
      </c>
      <c r="G1513" s="114" t="s">
        <v>1176</v>
      </c>
      <c r="H1513" s="114" t="s">
        <v>23</v>
      </c>
      <c r="I1513" s="136">
        <v>2600</v>
      </c>
      <c r="J1513" s="131"/>
      <c r="K1513" s="136">
        <v>2600</v>
      </c>
      <c r="L1513" s="131">
        <v>2600</v>
      </c>
      <c r="M1513" s="131"/>
      <c r="N1513" s="136">
        <f t="shared" si="95"/>
        <v>0</v>
      </c>
      <c r="O1513" s="216" t="s">
        <v>1165</v>
      </c>
      <c r="P1513" s="138"/>
    </row>
    <row r="1514" s="84" customFormat="1" spans="1:16383">
      <c r="A1514" s="111">
        <v>46054</v>
      </c>
      <c r="B1514" s="269" t="str">
        <f t="shared" si="94"/>
        <v>1F</v>
      </c>
      <c r="C1514" s="114" t="s">
        <v>179</v>
      </c>
      <c r="D1514" s="114" t="s">
        <v>180</v>
      </c>
      <c r="E1514" s="114" t="s">
        <v>181</v>
      </c>
      <c r="F1514" s="117">
        <v>46066</v>
      </c>
      <c r="G1514" s="114" t="s">
        <v>1176</v>
      </c>
      <c r="H1514" s="114" t="s">
        <v>21</v>
      </c>
      <c r="I1514" s="136">
        <v>2600</v>
      </c>
      <c r="J1514" s="283"/>
      <c r="K1514" s="136">
        <v>2600</v>
      </c>
      <c r="L1514" s="283">
        <v>2600</v>
      </c>
      <c r="M1514" s="283"/>
      <c r="N1514" s="136">
        <f t="shared" si="95"/>
        <v>0</v>
      </c>
      <c r="O1514" s="216" t="s">
        <v>1165</v>
      </c>
      <c r="P1514" s="269"/>
      <c r="XFC1514"/>
    </row>
    <row r="1515" s="84" customFormat="1" spans="1:16383">
      <c r="A1515" s="111">
        <v>46054</v>
      </c>
      <c r="B1515" s="269" t="str">
        <f t="shared" si="94"/>
        <v>1F</v>
      </c>
      <c r="C1515" s="114" t="s">
        <v>253</v>
      </c>
      <c r="D1515" s="114" t="s">
        <v>258</v>
      </c>
      <c r="E1515" s="114" t="s">
        <v>259</v>
      </c>
      <c r="F1515" s="117">
        <v>46066</v>
      </c>
      <c r="G1515" s="114" t="s">
        <v>1176</v>
      </c>
      <c r="H1515" s="114" t="s">
        <v>23</v>
      </c>
      <c r="I1515" s="136">
        <v>8195</v>
      </c>
      <c r="J1515" s="283"/>
      <c r="K1515" s="136">
        <v>8195</v>
      </c>
      <c r="L1515" s="283">
        <v>8195</v>
      </c>
      <c r="M1515" s="283"/>
      <c r="N1515" s="136">
        <f t="shared" si="95"/>
        <v>0</v>
      </c>
      <c r="O1515" s="216" t="s">
        <v>1221</v>
      </c>
      <c r="P1515" s="269"/>
      <c r="XFC1515"/>
    </row>
    <row r="1516" s="84" customFormat="1" spans="1:16383">
      <c r="A1516" s="111">
        <v>46054</v>
      </c>
      <c r="B1516" s="269" t="str">
        <f t="shared" si="94"/>
        <v>1F</v>
      </c>
      <c r="C1516" s="114" t="s">
        <v>253</v>
      </c>
      <c r="D1516" s="114" t="s">
        <v>258</v>
      </c>
      <c r="E1516" s="114" t="s">
        <v>259</v>
      </c>
      <c r="F1516" s="117">
        <v>46066</v>
      </c>
      <c r="G1516" s="114" t="s">
        <v>1176</v>
      </c>
      <c r="H1516" s="114" t="s">
        <v>21</v>
      </c>
      <c r="I1516" s="136">
        <v>5960</v>
      </c>
      <c r="J1516" s="283"/>
      <c r="K1516" s="136">
        <v>5960</v>
      </c>
      <c r="L1516" s="283">
        <v>5960</v>
      </c>
      <c r="M1516" s="283"/>
      <c r="N1516" s="136">
        <f t="shared" si="95"/>
        <v>0</v>
      </c>
      <c r="O1516" s="216" t="s">
        <v>1221</v>
      </c>
      <c r="P1516" s="269"/>
      <c r="XFC1516"/>
    </row>
    <row r="1517" s="84" customFormat="1" spans="1:16383">
      <c r="A1517" s="111">
        <v>46054</v>
      </c>
      <c r="B1517" s="269" t="str">
        <f t="shared" si="94"/>
        <v>5F</v>
      </c>
      <c r="C1517" s="114" t="s">
        <v>763</v>
      </c>
      <c r="D1517" s="114" t="s">
        <v>764</v>
      </c>
      <c r="E1517" s="114" t="s">
        <v>765</v>
      </c>
      <c r="F1517" s="117">
        <v>46066</v>
      </c>
      <c r="G1517" s="114" t="s">
        <v>96</v>
      </c>
      <c r="H1517" s="114" t="s">
        <v>23</v>
      </c>
      <c r="I1517" s="252">
        <v>47910</v>
      </c>
      <c r="J1517" s="139"/>
      <c r="K1517" s="252">
        <v>47910</v>
      </c>
      <c r="L1517" s="139">
        <v>47910</v>
      </c>
      <c r="M1517" s="139"/>
      <c r="N1517" s="131">
        <f t="shared" si="95"/>
        <v>0</v>
      </c>
      <c r="O1517" s="216" t="s">
        <v>1394</v>
      </c>
      <c r="P1517" s="269"/>
      <c r="XFC1517"/>
    </row>
    <row r="1518" s="84" customFormat="1" spans="1:16383">
      <c r="A1518" s="111">
        <v>46054</v>
      </c>
      <c r="B1518" s="269" t="str">
        <f t="shared" si="94"/>
        <v>5F</v>
      </c>
      <c r="C1518" s="114" t="s">
        <v>763</v>
      </c>
      <c r="D1518" s="114" t="s">
        <v>764</v>
      </c>
      <c r="E1518" s="114" t="s">
        <v>765</v>
      </c>
      <c r="F1518" s="117">
        <v>46066</v>
      </c>
      <c r="G1518" s="114" t="s">
        <v>96</v>
      </c>
      <c r="H1518" s="114" t="s">
        <v>21</v>
      </c>
      <c r="I1518" s="252">
        <v>85423</v>
      </c>
      <c r="J1518" s="139"/>
      <c r="K1518" s="252">
        <v>85423</v>
      </c>
      <c r="L1518" s="139">
        <v>85423</v>
      </c>
      <c r="M1518" s="139"/>
      <c r="N1518" s="131">
        <f t="shared" si="95"/>
        <v>0</v>
      </c>
      <c r="O1518" s="216" t="s">
        <v>1394</v>
      </c>
      <c r="P1518" s="269"/>
      <c r="XFC1518"/>
    </row>
    <row r="1519" s="84" customFormat="1" spans="1:16383">
      <c r="A1519" s="111">
        <v>46054</v>
      </c>
      <c r="B1519" s="269" t="str">
        <f t="shared" si="94"/>
        <v>2F</v>
      </c>
      <c r="C1519" s="114" t="s">
        <v>327</v>
      </c>
      <c r="D1519" s="114" t="s">
        <v>328</v>
      </c>
      <c r="E1519" s="114" t="s">
        <v>329</v>
      </c>
      <c r="F1519" s="117">
        <v>46066</v>
      </c>
      <c r="G1519" s="114" t="s">
        <v>296</v>
      </c>
      <c r="H1519" s="114" t="s">
        <v>23</v>
      </c>
      <c r="I1519" s="136">
        <v>2500.56</v>
      </c>
      <c r="J1519" s="283"/>
      <c r="K1519" s="136">
        <v>2500.56</v>
      </c>
      <c r="L1519" s="283">
        <v>2500.56</v>
      </c>
      <c r="M1519" s="283"/>
      <c r="N1519" s="136">
        <f t="shared" si="95"/>
        <v>0</v>
      </c>
      <c r="O1519" s="286" t="s">
        <v>1395</v>
      </c>
      <c r="P1519" s="269"/>
      <c r="XFC1519"/>
    </row>
    <row r="1520" s="84" customFormat="1" spans="1:16383">
      <c r="A1520" s="111">
        <v>46054</v>
      </c>
      <c r="B1520" s="269" t="str">
        <f t="shared" si="94"/>
        <v>2F</v>
      </c>
      <c r="C1520" s="114" t="s">
        <v>327</v>
      </c>
      <c r="D1520" s="114" t="s">
        <v>328</v>
      </c>
      <c r="E1520" s="114" t="s">
        <v>329</v>
      </c>
      <c r="F1520" s="117">
        <v>46066</v>
      </c>
      <c r="G1520" s="114" t="s">
        <v>297</v>
      </c>
      <c r="H1520" s="114" t="s">
        <v>23</v>
      </c>
      <c r="I1520" s="136">
        <v>2500.56</v>
      </c>
      <c r="J1520" s="283"/>
      <c r="K1520" s="136">
        <v>2500.56</v>
      </c>
      <c r="L1520" s="283">
        <v>2500.56</v>
      </c>
      <c r="M1520" s="283"/>
      <c r="N1520" s="136">
        <f t="shared" si="95"/>
        <v>0</v>
      </c>
      <c r="O1520" s="286" t="s">
        <v>1395</v>
      </c>
      <c r="P1520" s="269"/>
      <c r="XFC1520"/>
    </row>
    <row r="1521" s="84" customFormat="1" spans="1:16383">
      <c r="A1521" s="111">
        <v>46054</v>
      </c>
      <c r="B1521" s="269" t="str">
        <f t="shared" si="94"/>
        <v>2F</v>
      </c>
      <c r="C1521" s="114" t="s">
        <v>327</v>
      </c>
      <c r="D1521" s="114" t="s">
        <v>328</v>
      </c>
      <c r="E1521" s="114" t="s">
        <v>329</v>
      </c>
      <c r="F1521" s="117">
        <v>46066</v>
      </c>
      <c r="G1521" s="114" t="s">
        <v>298</v>
      </c>
      <c r="H1521" s="114" t="s">
        <v>23</v>
      </c>
      <c r="I1521" s="136">
        <v>2500.56</v>
      </c>
      <c r="J1521" s="283"/>
      <c r="K1521" s="136">
        <v>2500.56</v>
      </c>
      <c r="L1521" s="283">
        <v>2500.56</v>
      </c>
      <c r="M1521" s="283"/>
      <c r="N1521" s="136">
        <f t="shared" si="95"/>
        <v>0</v>
      </c>
      <c r="O1521" s="286" t="s">
        <v>1395</v>
      </c>
      <c r="P1521" s="269"/>
      <c r="XFC1521"/>
    </row>
    <row r="1522" s="84" customFormat="1" spans="1:16383">
      <c r="A1522" s="111">
        <v>46054</v>
      </c>
      <c r="B1522" s="269" t="str">
        <f t="shared" si="94"/>
        <v>2F</v>
      </c>
      <c r="C1522" s="114" t="s">
        <v>327</v>
      </c>
      <c r="D1522" s="114" t="s">
        <v>328</v>
      </c>
      <c r="E1522" s="114" t="s">
        <v>329</v>
      </c>
      <c r="F1522" s="117">
        <v>46066</v>
      </c>
      <c r="G1522" s="114" t="s">
        <v>296</v>
      </c>
      <c r="H1522" s="114" t="s">
        <v>21</v>
      </c>
      <c r="I1522" s="136">
        <v>2500.56</v>
      </c>
      <c r="J1522" s="283"/>
      <c r="K1522" s="136">
        <v>2500.56</v>
      </c>
      <c r="L1522" s="283">
        <v>2500.56</v>
      </c>
      <c r="M1522" s="283"/>
      <c r="N1522" s="136">
        <f t="shared" si="95"/>
        <v>0</v>
      </c>
      <c r="O1522" s="286" t="s">
        <v>1395</v>
      </c>
      <c r="P1522" s="269"/>
      <c r="XFC1522"/>
    </row>
    <row r="1523" s="84" customFormat="1" spans="1:16383">
      <c r="A1523" s="111">
        <v>46054</v>
      </c>
      <c r="B1523" s="269" t="str">
        <f t="shared" si="94"/>
        <v>2F</v>
      </c>
      <c r="C1523" s="114" t="s">
        <v>327</v>
      </c>
      <c r="D1523" s="114" t="s">
        <v>328</v>
      </c>
      <c r="E1523" s="114" t="s">
        <v>329</v>
      </c>
      <c r="F1523" s="117">
        <v>46066</v>
      </c>
      <c r="G1523" s="114" t="s">
        <v>297</v>
      </c>
      <c r="H1523" s="114" t="s">
        <v>21</v>
      </c>
      <c r="I1523" s="136">
        <v>2500.56</v>
      </c>
      <c r="J1523" s="283"/>
      <c r="K1523" s="136">
        <v>2500.56</v>
      </c>
      <c r="L1523" s="283">
        <v>2500.56</v>
      </c>
      <c r="M1523" s="283"/>
      <c r="N1523" s="136">
        <f t="shared" si="95"/>
        <v>0</v>
      </c>
      <c r="O1523" s="286" t="s">
        <v>1395</v>
      </c>
      <c r="P1523" s="269"/>
      <c r="XFC1523"/>
    </row>
    <row r="1524" s="84" customFormat="1" spans="1:16383">
      <c r="A1524" s="111">
        <v>46054</v>
      </c>
      <c r="B1524" s="269" t="str">
        <f t="shared" si="94"/>
        <v>2F</v>
      </c>
      <c r="C1524" s="114" t="s">
        <v>327</v>
      </c>
      <c r="D1524" s="114" t="s">
        <v>328</v>
      </c>
      <c r="E1524" s="114" t="s">
        <v>329</v>
      </c>
      <c r="F1524" s="117">
        <v>46066</v>
      </c>
      <c r="G1524" s="114" t="s">
        <v>298</v>
      </c>
      <c r="H1524" s="114" t="s">
        <v>21</v>
      </c>
      <c r="I1524" s="136">
        <v>2500.56</v>
      </c>
      <c r="J1524" s="283"/>
      <c r="K1524" s="136">
        <v>2500.56</v>
      </c>
      <c r="L1524" s="283">
        <v>2500.56</v>
      </c>
      <c r="M1524" s="283"/>
      <c r="N1524" s="136">
        <f t="shared" si="95"/>
        <v>0</v>
      </c>
      <c r="O1524" s="286" t="s">
        <v>1395</v>
      </c>
      <c r="P1524" s="269"/>
      <c r="XFC1524"/>
    </row>
    <row r="1525" s="84" customFormat="1" spans="1:16383">
      <c r="A1525" s="111">
        <v>46054</v>
      </c>
      <c r="B1525" s="269" t="str">
        <f t="shared" si="94"/>
        <v>1F</v>
      </c>
      <c r="C1525" s="114" t="s">
        <v>89</v>
      </c>
      <c r="D1525" s="114" t="s">
        <v>94</v>
      </c>
      <c r="E1525" s="114" t="s">
        <v>95</v>
      </c>
      <c r="F1525" s="117">
        <v>46066</v>
      </c>
      <c r="G1525" s="114" t="s">
        <v>1338</v>
      </c>
      <c r="H1525" s="114" t="s">
        <v>23</v>
      </c>
      <c r="I1525" s="136">
        <v>5115</v>
      </c>
      <c r="J1525" s="283"/>
      <c r="K1525" s="136">
        <v>5115</v>
      </c>
      <c r="L1525" s="283">
        <v>5115</v>
      </c>
      <c r="M1525" s="283"/>
      <c r="N1525" s="136">
        <f t="shared" si="95"/>
        <v>0</v>
      </c>
      <c r="O1525" s="84" t="s">
        <v>1396</v>
      </c>
      <c r="P1525" s="269"/>
      <c r="XFC1525"/>
    </row>
    <row r="1526" s="84" customFormat="1" spans="1:16383">
      <c r="A1526" s="111">
        <v>46054</v>
      </c>
      <c r="B1526" s="269" t="str">
        <f t="shared" si="94"/>
        <v>1F</v>
      </c>
      <c r="C1526" s="114" t="s">
        <v>89</v>
      </c>
      <c r="D1526" s="114" t="s">
        <v>94</v>
      </c>
      <c r="E1526" s="114" t="s">
        <v>95</v>
      </c>
      <c r="F1526" s="117">
        <v>46066</v>
      </c>
      <c r="G1526" s="114" t="s">
        <v>1174</v>
      </c>
      <c r="H1526" s="114" t="s">
        <v>23</v>
      </c>
      <c r="I1526" s="136">
        <v>5115</v>
      </c>
      <c r="J1526" s="283"/>
      <c r="K1526" s="136">
        <v>5115</v>
      </c>
      <c r="L1526" s="283">
        <v>5115</v>
      </c>
      <c r="M1526" s="283"/>
      <c r="N1526" s="136">
        <f t="shared" si="95"/>
        <v>0</v>
      </c>
      <c r="O1526" s="286" t="s">
        <v>1396</v>
      </c>
      <c r="P1526" s="269"/>
      <c r="XFC1526"/>
    </row>
    <row r="1527" s="84" customFormat="1" spans="1:16383">
      <c r="A1527" s="111">
        <v>46054</v>
      </c>
      <c r="B1527" s="269" t="str">
        <f t="shared" si="94"/>
        <v>1F</v>
      </c>
      <c r="C1527" s="114" t="s">
        <v>89</v>
      </c>
      <c r="D1527" s="114" t="s">
        <v>94</v>
      </c>
      <c r="E1527" s="114" t="s">
        <v>95</v>
      </c>
      <c r="F1527" s="117">
        <v>46066</v>
      </c>
      <c r="G1527" s="114" t="s">
        <v>1176</v>
      </c>
      <c r="H1527" s="114" t="s">
        <v>23</v>
      </c>
      <c r="I1527" s="136">
        <v>5115</v>
      </c>
      <c r="J1527" s="283"/>
      <c r="K1527" s="136">
        <v>5115</v>
      </c>
      <c r="L1527" s="283">
        <v>5115</v>
      </c>
      <c r="M1527" s="283"/>
      <c r="N1527" s="136">
        <f t="shared" si="95"/>
        <v>0</v>
      </c>
      <c r="O1527" s="286" t="s">
        <v>1396</v>
      </c>
      <c r="P1527" s="269"/>
      <c r="XFC1527"/>
    </row>
    <row r="1528" s="84" customFormat="1" spans="1:16383">
      <c r="A1528" s="111">
        <v>46054</v>
      </c>
      <c r="B1528" s="269" t="str">
        <f t="shared" si="94"/>
        <v>1F</v>
      </c>
      <c r="C1528" s="114" t="s">
        <v>89</v>
      </c>
      <c r="D1528" s="114" t="s">
        <v>94</v>
      </c>
      <c r="E1528" s="114" t="s">
        <v>95</v>
      </c>
      <c r="F1528" s="117">
        <v>46066</v>
      </c>
      <c r="G1528" s="114" t="s">
        <v>1338</v>
      </c>
      <c r="H1528" s="114" t="s">
        <v>21</v>
      </c>
      <c r="I1528" s="136">
        <v>8835</v>
      </c>
      <c r="J1528" s="283"/>
      <c r="K1528" s="136">
        <v>8835</v>
      </c>
      <c r="L1528" s="283">
        <v>8835</v>
      </c>
      <c r="M1528" s="283"/>
      <c r="N1528" s="136">
        <f t="shared" si="95"/>
        <v>0</v>
      </c>
      <c r="O1528" s="286" t="s">
        <v>1396</v>
      </c>
      <c r="P1528" s="269"/>
      <c r="XFC1528"/>
    </row>
    <row r="1529" s="84" customFormat="1" spans="1:16383">
      <c r="A1529" s="111">
        <v>46054</v>
      </c>
      <c r="B1529" s="269" t="str">
        <f t="shared" si="94"/>
        <v>1F</v>
      </c>
      <c r="C1529" s="114" t="s">
        <v>89</v>
      </c>
      <c r="D1529" s="114" t="s">
        <v>94</v>
      </c>
      <c r="E1529" s="114" t="s">
        <v>95</v>
      </c>
      <c r="F1529" s="117">
        <v>46066</v>
      </c>
      <c r="G1529" s="114" t="s">
        <v>1174</v>
      </c>
      <c r="H1529" s="114" t="s">
        <v>21</v>
      </c>
      <c r="I1529" s="136">
        <v>8835</v>
      </c>
      <c r="J1529" s="283"/>
      <c r="K1529" s="136">
        <v>8835</v>
      </c>
      <c r="L1529" s="283">
        <v>8835</v>
      </c>
      <c r="M1529" s="283"/>
      <c r="N1529" s="136">
        <f t="shared" si="95"/>
        <v>0</v>
      </c>
      <c r="O1529" s="286" t="s">
        <v>1396</v>
      </c>
      <c r="P1529" s="269"/>
      <c r="XFC1529"/>
    </row>
    <row r="1530" s="84" customFormat="1" spans="1:16383">
      <c r="A1530" s="111">
        <v>46054</v>
      </c>
      <c r="B1530" s="269" t="str">
        <f t="shared" si="94"/>
        <v>1F</v>
      </c>
      <c r="C1530" s="114" t="s">
        <v>89</v>
      </c>
      <c r="D1530" s="114" t="s">
        <v>94</v>
      </c>
      <c r="E1530" s="114" t="s">
        <v>95</v>
      </c>
      <c r="F1530" s="117">
        <v>46066</v>
      </c>
      <c r="G1530" s="114" t="s">
        <v>1176</v>
      </c>
      <c r="H1530" s="114" t="s">
        <v>21</v>
      </c>
      <c r="I1530" s="136">
        <v>8835</v>
      </c>
      <c r="J1530" s="283"/>
      <c r="K1530" s="136">
        <v>8835</v>
      </c>
      <c r="L1530" s="283">
        <v>8835</v>
      </c>
      <c r="M1530" s="283"/>
      <c r="N1530" s="136">
        <f t="shared" si="95"/>
        <v>0</v>
      </c>
      <c r="O1530" s="286" t="s">
        <v>1396</v>
      </c>
      <c r="P1530" s="269"/>
      <c r="XFC1530"/>
    </row>
    <row r="1531" s="84" customFormat="1" spans="1:16383">
      <c r="A1531" s="111">
        <v>46054</v>
      </c>
      <c r="B1531" s="269" t="s">
        <v>909</v>
      </c>
      <c r="C1531" s="114" t="s">
        <v>910</v>
      </c>
      <c r="D1531" s="114" t="s">
        <v>553</v>
      </c>
      <c r="E1531" s="114" t="s">
        <v>554</v>
      </c>
      <c r="F1531" s="117">
        <v>46066</v>
      </c>
      <c r="G1531" s="114" t="s">
        <v>1176</v>
      </c>
      <c r="H1531" s="114" t="s">
        <v>833</v>
      </c>
      <c r="I1531" s="136">
        <v>500</v>
      </c>
      <c r="J1531" s="283"/>
      <c r="K1531" s="136">
        <v>500</v>
      </c>
      <c r="L1531" s="283">
        <v>500</v>
      </c>
      <c r="M1531" s="283"/>
      <c r="N1531" s="136">
        <f t="shared" si="95"/>
        <v>0</v>
      </c>
      <c r="O1531" s="216" t="s">
        <v>1382</v>
      </c>
      <c r="P1531" s="269"/>
      <c r="XFC1531"/>
    </row>
    <row r="1532" s="88" customFormat="1" spans="1:16">
      <c r="A1532" s="111">
        <v>46054</v>
      </c>
      <c r="B1532" s="284" t="s">
        <v>16</v>
      </c>
      <c r="C1532" s="78" t="s">
        <v>1397</v>
      </c>
      <c r="D1532" s="116" t="s">
        <v>1398</v>
      </c>
      <c r="E1532" s="116" t="s">
        <v>1399</v>
      </c>
      <c r="F1532" s="117">
        <v>46066</v>
      </c>
      <c r="G1532" s="284" t="s">
        <v>320</v>
      </c>
      <c r="H1532" s="112" t="s">
        <v>30</v>
      </c>
      <c r="I1532" s="161">
        <v>1000</v>
      </c>
      <c r="J1532" s="161"/>
      <c r="K1532" s="139">
        <f t="shared" ref="K1532:K1545" si="96">I1532-J1532</f>
        <v>1000</v>
      </c>
      <c r="L1532" s="161">
        <v>1000</v>
      </c>
      <c r="M1532" s="161"/>
      <c r="N1532" s="161">
        <f t="shared" si="95"/>
        <v>0</v>
      </c>
      <c r="O1532" s="138" t="s">
        <v>1400</v>
      </c>
      <c r="P1532" s="138"/>
    </row>
    <row r="1533" s="88" customFormat="1" spans="1:16">
      <c r="A1533" s="111">
        <v>46054</v>
      </c>
      <c r="B1533" s="284" t="s">
        <v>16</v>
      </c>
      <c r="C1533" s="78" t="s">
        <v>1401</v>
      </c>
      <c r="D1533" s="116" t="s">
        <v>1398</v>
      </c>
      <c r="E1533" s="116" t="s">
        <v>1399</v>
      </c>
      <c r="F1533" s="117">
        <v>46066</v>
      </c>
      <c r="G1533" s="284" t="s">
        <v>320</v>
      </c>
      <c r="H1533" s="112" t="s">
        <v>30</v>
      </c>
      <c r="I1533" s="161">
        <v>1000</v>
      </c>
      <c r="J1533" s="161"/>
      <c r="K1533" s="139">
        <f t="shared" si="96"/>
        <v>1000</v>
      </c>
      <c r="L1533" s="161">
        <v>1000</v>
      </c>
      <c r="M1533" s="161"/>
      <c r="N1533" s="161">
        <f t="shared" si="95"/>
        <v>0</v>
      </c>
      <c r="O1533" s="138" t="s">
        <v>1400</v>
      </c>
      <c r="P1533" s="138"/>
    </row>
    <row r="1534" s="94" customFormat="1" spans="1:16">
      <c r="A1534" s="200">
        <v>46054</v>
      </c>
      <c r="B1534" s="199" t="s">
        <v>854</v>
      </c>
      <c r="C1534" s="201" t="s">
        <v>943</v>
      </c>
      <c r="D1534" s="199" t="s">
        <v>944</v>
      </c>
      <c r="E1534" s="199" t="s">
        <v>945</v>
      </c>
      <c r="F1534" s="117">
        <v>46066</v>
      </c>
      <c r="G1534" s="285" t="s">
        <v>96</v>
      </c>
      <c r="H1534" s="146" t="s">
        <v>833</v>
      </c>
      <c r="I1534" s="179">
        <v>8600</v>
      </c>
      <c r="J1534" s="287"/>
      <c r="K1534" s="179">
        <v>8600</v>
      </c>
      <c r="L1534" s="179">
        <v>8600</v>
      </c>
      <c r="M1534" s="287"/>
      <c r="N1534" s="131">
        <f t="shared" si="95"/>
        <v>0</v>
      </c>
      <c r="O1534" s="288" t="s">
        <v>1179</v>
      </c>
      <c r="P1534" s="190"/>
    </row>
    <row r="1535" s="94" customFormat="1" spans="1:16">
      <c r="A1535" s="200">
        <v>46054</v>
      </c>
      <c r="B1535" s="199" t="s">
        <v>854</v>
      </c>
      <c r="C1535" s="201" t="s">
        <v>943</v>
      </c>
      <c r="D1535" s="199" t="s">
        <v>944</v>
      </c>
      <c r="E1535" s="199" t="s">
        <v>945</v>
      </c>
      <c r="F1535" s="117">
        <v>46066</v>
      </c>
      <c r="G1535" s="199" t="s">
        <v>1176</v>
      </c>
      <c r="H1535" s="146" t="s">
        <v>833</v>
      </c>
      <c r="I1535" s="179">
        <v>8600</v>
      </c>
      <c r="J1535" s="287"/>
      <c r="K1535" s="179">
        <v>8600</v>
      </c>
      <c r="L1535" s="179">
        <v>8600</v>
      </c>
      <c r="M1535" s="287"/>
      <c r="N1535" s="131">
        <f t="shared" si="95"/>
        <v>0</v>
      </c>
      <c r="O1535" s="288" t="s">
        <v>1221</v>
      </c>
      <c r="P1535" s="190"/>
    </row>
    <row r="1536" s="94" customFormat="1" spans="1:16">
      <c r="A1536" s="200">
        <v>46054</v>
      </c>
      <c r="B1536" s="199" t="s">
        <v>854</v>
      </c>
      <c r="C1536" s="201" t="s">
        <v>943</v>
      </c>
      <c r="D1536" s="199" t="s">
        <v>944</v>
      </c>
      <c r="E1536" s="199" t="s">
        <v>945</v>
      </c>
      <c r="F1536" s="117">
        <v>46066</v>
      </c>
      <c r="G1536" s="199" t="s">
        <v>98</v>
      </c>
      <c r="H1536" s="146" t="s">
        <v>833</v>
      </c>
      <c r="I1536" s="179">
        <v>8600</v>
      </c>
      <c r="J1536" s="179">
        <v>0</v>
      </c>
      <c r="K1536" s="179">
        <f t="shared" si="96"/>
        <v>8600</v>
      </c>
      <c r="L1536" s="179">
        <v>8600</v>
      </c>
      <c r="M1536" s="179"/>
      <c r="N1536" s="287">
        <f t="shared" si="95"/>
        <v>0</v>
      </c>
      <c r="O1536" s="288" t="s">
        <v>1179</v>
      </c>
      <c r="P1536" s="190"/>
    </row>
    <row r="1537" s="88" customFormat="1" spans="1:16">
      <c r="A1537" s="111">
        <v>46054</v>
      </c>
      <c r="B1537" s="284" t="s">
        <v>16</v>
      </c>
      <c r="C1537" s="78" t="s">
        <v>1397</v>
      </c>
      <c r="D1537" s="116" t="s">
        <v>1398</v>
      </c>
      <c r="E1537" s="116" t="s">
        <v>1399</v>
      </c>
      <c r="F1537" s="117">
        <v>46170</v>
      </c>
      <c r="G1537" s="284" t="s">
        <v>1402</v>
      </c>
      <c r="H1537" s="116" t="s">
        <v>21</v>
      </c>
      <c r="I1537" s="161">
        <v>20250</v>
      </c>
      <c r="J1537" s="161"/>
      <c r="K1537" s="139">
        <f t="shared" si="96"/>
        <v>20250</v>
      </c>
      <c r="L1537" s="161">
        <v>20250</v>
      </c>
      <c r="M1537" s="161"/>
      <c r="N1537" s="161">
        <f t="shared" si="95"/>
        <v>0</v>
      </c>
      <c r="O1537" s="138" t="s">
        <v>1400</v>
      </c>
      <c r="P1537" s="138"/>
    </row>
    <row r="1538" s="88" customFormat="1" spans="1:16">
      <c r="A1538" s="111">
        <v>46054</v>
      </c>
      <c r="B1538" s="284" t="s">
        <v>16</v>
      </c>
      <c r="C1538" s="78" t="s">
        <v>1397</v>
      </c>
      <c r="D1538" s="116" t="s">
        <v>1398</v>
      </c>
      <c r="E1538" s="116" t="s">
        <v>1399</v>
      </c>
      <c r="F1538" s="117">
        <v>46066</v>
      </c>
      <c r="G1538" s="284" t="s">
        <v>1402</v>
      </c>
      <c r="H1538" s="116" t="s">
        <v>23</v>
      </c>
      <c r="I1538" s="161">
        <v>16200</v>
      </c>
      <c r="J1538" s="161"/>
      <c r="K1538" s="139">
        <f t="shared" si="96"/>
        <v>16200</v>
      </c>
      <c r="L1538" s="161">
        <v>16200</v>
      </c>
      <c r="M1538" s="161"/>
      <c r="N1538" s="161">
        <f t="shared" si="95"/>
        <v>0</v>
      </c>
      <c r="O1538" s="138" t="s">
        <v>1400</v>
      </c>
      <c r="P1538" s="138"/>
    </row>
    <row r="1539" s="88" customFormat="1" spans="1:16">
      <c r="A1539" s="111">
        <v>46054</v>
      </c>
      <c r="B1539" s="284" t="s">
        <v>16</v>
      </c>
      <c r="C1539" s="78" t="s">
        <v>1401</v>
      </c>
      <c r="D1539" s="116" t="s">
        <v>1398</v>
      </c>
      <c r="E1539" s="116" t="s">
        <v>1399</v>
      </c>
      <c r="F1539" s="117">
        <v>46066</v>
      </c>
      <c r="G1539" s="284" t="s">
        <v>1402</v>
      </c>
      <c r="H1539" s="116" t="s">
        <v>21</v>
      </c>
      <c r="I1539" s="161">
        <v>18000</v>
      </c>
      <c r="J1539" s="161"/>
      <c r="K1539" s="139">
        <f t="shared" si="96"/>
        <v>18000</v>
      </c>
      <c r="L1539" s="161">
        <v>18000</v>
      </c>
      <c r="M1539" s="161"/>
      <c r="N1539" s="161">
        <f t="shared" si="95"/>
        <v>0</v>
      </c>
      <c r="O1539" s="138" t="s">
        <v>1400</v>
      </c>
      <c r="P1539" s="138"/>
    </row>
    <row r="1540" s="88" customFormat="1" spans="1:16">
      <c r="A1540" s="111">
        <v>46054</v>
      </c>
      <c r="B1540" s="284" t="s">
        <v>16</v>
      </c>
      <c r="C1540" s="78" t="s">
        <v>1401</v>
      </c>
      <c r="D1540" s="116" t="s">
        <v>1398</v>
      </c>
      <c r="E1540" s="116" t="s">
        <v>1399</v>
      </c>
      <c r="F1540" s="117">
        <v>46066</v>
      </c>
      <c r="G1540" s="284" t="s">
        <v>1402</v>
      </c>
      <c r="H1540" s="116" t="s">
        <v>23</v>
      </c>
      <c r="I1540" s="161">
        <v>14400</v>
      </c>
      <c r="J1540" s="161"/>
      <c r="K1540" s="139">
        <f t="shared" si="96"/>
        <v>14400</v>
      </c>
      <c r="L1540" s="161">
        <v>14400</v>
      </c>
      <c r="M1540" s="161"/>
      <c r="N1540" s="161">
        <f t="shared" si="95"/>
        <v>0</v>
      </c>
      <c r="O1540" s="138" t="s">
        <v>1403</v>
      </c>
      <c r="P1540" s="225"/>
    </row>
    <row r="1541" s="88" customFormat="1" spans="1:17">
      <c r="A1541" s="111">
        <v>46054</v>
      </c>
      <c r="B1541" s="284" t="s">
        <v>16</v>
      </c>
      <c r="C1541" s="78" t="s">
        <v>43</v>
      </c>
      <c r="D1541" s="116" t="s">
        <v>44</v>
      </c>
      <c r="E1541" s="116" t="s">
        <v>45</v>
      </c>
      <c r="F1541" s="117">
        <v>46066</v>
      </c>
      <c r="G1541" s="284" t="s">
        <v>1404</v>
      </c>
      <c r="H1541" s="116" t="s">
        <v>23</v>
      </c>
      <c r="I1541" s="161">
        <v>10421.92</v>
      </c>
      <c r="J1541" s="161">
        <v>0</v>
      </c>
      <c r="K1541" s="139">
        <f t="shared" si="96"/>
        <v>10421.92</v>
      </c>
      <c r="L1541" s="161">
        <v>10421.92</v>
      </c>
      <c r="M1541" s="161"/>
      <c r="N1541" s="161">
        <f t="shared" si="95"/>
        <v>0</v>
      </c>
      <c r="O1541" s="138" t="s">
        <v>1405</v>
      </c>
      <c r="P1541" s="138"/>
      <c r="Q1541" s="88" t="s">
        <v>51</v>
      </c>
    </row>
    <row r="1542" s="88" customFormat="1" spans="1:17">
      <c r="A1542" s="111">
        <v>46054</v>
      </c>
      <c r="B1542" s="284" t="s">
        <v>16</v>
      </c>
      <c r="C1542" s="78" t="s">
        <v>43</v>
      </c>
      <c r="D1542" s="116" t="s">
        <v>44</v>
      </c>
      <c r="E1542" s="116" t="s">
        <v>45</v>
      </c>
      <c r="F1542" s="117">
        <v>46066</v>
      </c>
      <c r="G1542" s="284" t="s">
        <v>1404</v>
      </c>
      <c r="H1542" s="116" t="s">
        <v>21</v>
      </c>
      <c r="I1542" s="161">
        <v>16284.25</v>
      </c>
      <c r="J1542" s="161">
        <v>0</v>
      </c>
      <c r="K1542" s="139">
        <f t="shared" si="96"/>
        <v>16284.25</v>
      </c>
      <c r="L1542" s="161">
        <v>16284.25</v>
      </c>
      <c r="M1542" s="161"/>
      <c r="N1542" s="161">
        <f t="shared" si="95"/>
        <v>0</v>
      </c>
      <c r="O1542" s="138" t="s">
        <v>1405</v>
      </c>
      <c r="P1542" s="138"/>
      <c r="Q1542" s="88" t="s">
        <v>51</v>
      </c>
    </row>
    <row r="1543" s="88" customFormat="1" spans="1:16">
      <c r="A1543" s="111">
        <v>46054</v>
      </c>
      <c r="B1543" s="284" t="s">
        <v>16</v>
      </c>
      <c r="C1543" s="78" t="s">
        <v>43</v>
      </c>
      <c r="D1543" s="116" t="s">
        <v>44</v>
      </c>
      <c r="E1543" s="116" t="s">
        <v>45</v>
      </c>
      <c r="F1543" s="117">
        <v>46066</v>
      </c>
      <c r="G1543" s="284" t="s">
        <v>98</v>
      </c>
      <c r="H1543" s="116" t="s">
        <v>21</v>
      </c>
      <c r="I1543" s="161">
        <v>18750</v>
      </c>
      <c r="J1543" s="161">
        <v>0</v>
      </c>
      <c r="K1543" s="139">
        <f t="shared" si="96"/>
        <v>18750</v>
      </c>
      <c r="L1543" s="161">
        <v>18750</v>
      </c>
      <c r="M1543" s="161"/>
      <c r="N1543" s="161">
        <f t="shared" si="95"/>
        <v>0</v>
      </c>
      <c r="O1543" s="138" t="s">
        <v>1405</v>
      </c>
      <c r="P1543" s="138"/>
    </row>
    <row r="1544" s="88" customFormat="1" spans="1:16">
      <c r="A1544" s="111">
        <v>46054</v>
      </c>
      <c r="B1544" s="284" t="s">
        <v>16</v>
      </c>
      <c r="C1544" s="78" t="s">
        <v>43</v>
      </c>
      <c r="D1544" s="116" t="s">
        <v>44</v>
      </c>
      <c r="E1544" s="116" t="s">
        <v>45</v>
      </c>
      <c r="F1544" s="117">
        <v>46066</v>
      </c>
      <c r="G1544" s="284" t="s">
        <v>98</v>
      </c>
      <c r="H1544" s="116" t="s">
        <v>23</v>
      </c>
      <c r="I1544" s="161">
        <v>12000</v>
      </c>
      <c r="J1544" s="161">
        <v>0</v>
      </c>
      <c r="K1544" s="139">
        <f t="shared" si="96"/>
        <v>12000</v>
      </c>
      <c r="L1544" s="161">
        <v>12000</v>
      </c>
      <c r="M1544" s="161"/>
      <c r="N1544" s="161">
        <f t="shared" si="95"/>
        <v>0</v>
      </c>
      <c r="O1544" s="138" t="s">
        <v>1405</v>
      </c>
      <c r="P1544" s="138"/>
    </row>
    <row r="1545" s="88" customFormat="1" spans="1:16">
      <c r="A1545" s="111">
        <v>46023</v>
      </c>
      <c r="B1545" s="284" t="s">
        <v>16</v>
      </c>
      <c r="C1545" s="78" t="s">
        <v>43</v>
      </c>
      <c r="D1545" s="116" t="s">
        <v>44</v>
      </c>
      <c r="E1545" s="116" t="s">
        <v>45</v>
      </c>
      <c r="F1545" s="117">
        <v>46035</v>
      </c>
      <c r="G1545" s="284" t="s">
        <v>1406</v>
      </c>
      <c r="H1545" s="112" t="s">
        <v>30</v>
      </c>
      <c r="I1545" s="161">
        <v>953.42</v>
      </c>
      <c r="J1545" s="161"/>
      <c r="K1545" s="139">
        <f t="shared" si="96"/>
        <v>953.42</v>
      </c>
      <c r="L1545" s="161">
        <v>953.42</v>
      </c>
      <c r="M1545" s="161"/>
      <c r="N1545" s="161">
        <f t="shared" si="95"/>
        <v>0</v>
      </c>
      <c r="O1545" s="138" t="s">
        <v>1405</v>
      </c>
      <c r="P1545" s="138"/>
    </row>
    <row r="1546" s="95" customFormat="1" spans="1:16">
      <c r="A1546" s="200">
        <v>46023</v>
      </c>
      <c r="B1546" s="199" t="s">
        <v>16</v>
      </c>
      <c r="C1546" s="201" t="s">
        <v>89</v>
      </c>
      <c r="D1546" s="199" t="s">
        <v>90</v>
      </c>
      <c r="E1546" s="199" t="s">
        <v>91</v>
      </c>
      <c r="F1546" s="117">
        <v>46066</v>
      </c>
      <c r="G1546" s="199" t="s">
        <v>1407</v>
      </c>
      <c r="H1546" s="199" t="s">
        <v>21</v>
      </c>
      <c r="I1546" s="179">
        <v>7948.52</v>
      </c>
      <c r="J1546" s="179">
        <v>0</v>
      </c>
      <c r="K1546" s="179">
        <v>7948.52</v>
      </c>
      <c r="L1546" s="179">
        <v>7948.52</v>
      </c>
      <c r="M1546" s="179"/>
      <c r="N1546" s="287">
        <f t="shared" si="95"/>
        <v>0</v>
      </c>
      <c r="O1546" s="221" t="s">
        <v>1408</v>
      </c>
      <c r="P1546" s="199"/>
    </row>
    <row r="1547" s="95" customFormat="1" spans="1:16">
      <c r="A1547" s="200">
        <v>46023</v>
      </c>
      <c r="B1547" s="199" t="s">
        <v>16</v>
      </c>
      <c r="C1547" s="201" t="s">
        <v>89</v>
      </c>
      <c r="D1547" s="199" t="s">
        <v>90</v>
      </c>
      <c r="E1547" s="199" t="s">
        <v>91</v>
      </c>
      <c r="F1547" s="117">
        <v>46066</v>
      </c>
      <c r="G1547" s="199" t="s">
        <v>1407</v>
      </c>
      <c r="H1547" s="199" t="s">
        <v>23</v>
      </c>
      <c r="I1547" s="179">
        <v>8912.71</v>
      </c>
      <c r="J1547" s="179">
        <v>0</v>
      </c>
      <c r="K1547" s="179">
        <v>8912.71</v>
      </c>
      <c r="L1547" s="179">
        <v>8912.71</v>
      </c>
      <c r="M1547" s="179"/>
      <c r="N1547" s="287">
        <f t="shared" si="95"/>
        <v>0</v>
      </c>
      <c r="O1547" s="221" t="s">
        <v>1408</v>
      </c>
      <c r="P1547" s="199"/>
    </row>
    <row r="1548" s="90" customFormat="1" spans="1:17">
      <c r="A1548" s="200">
        <v>46023</v>
      </c>
      <c r="B1548" s="146" t="s">
        <v>285</v>
      </c>
      <c r="C1548" s="147" t="s">
        <v>413</v>
      </c>
      <c r="D1548" s="146" t="s">
        <v>414</v>
      </c>
      <c r="E1548" s="146" t="s">
        <v>415</v>
      </c>
      <c r="F1548" s="117">
        <v>46066</v>
      </c>
      <c r="G1548" s="146" t="s">
        <v>28</v>
      </c>
      <c r="H1548" s="199" t="s">
        <v>21</v>
      </c>
      <c r="I1548" s="156">
        <v>1800</v>
      </c>
      <c r="J1548" s="156">
        <v>0</v>
      </c>
      <c r="K1548" s="156">
        <f t="shared" ref="K1548:K1551" si="97">I1548-J1548</f>
        <v>1800</v>
      </c>
      <c r="L1548" s="156">
        <v>1800</v>
      </c>
      <c r="M1548" s="156"/>
      <c r="N1548" s="144">
        <f t="shared" si="95"/>
        <v>0</v>
      </c>
      <c r="O1548" s="157" t="s">
        <v>1179</v>
      </c>
      <c r="P1548" s="158" t="s">
        <v>1409</v>
      </c>
      <c r="Q1548" s="90" t="s">
        <v>51</v>
      </c>
    </row>
    <row r="1549" s="90" customFormat="1" spans="1:17">
      <c r="A1549" s="200">
        <v>46023</v>
      </c>
      <c r="B1549" s="146" t="s">
        <v>285</v>
      </c>
      <c r="C1549" s="147" t="s">
        <v>413</v>
      </c>
      <c r="D1549" s="146" t="s">
        <v>414</v>
      </c>
      <c r="E1549" s="146" t="s">
        <v>415</v>
      </c>
      <c r="F1549" s="117">
        <v>46066</v>
      </c>
      <c r="G1549" s="146" t="s">
        <v>26</v>
      </c>
      <c r="H1549" s="199" t="s">
        <v>21</v>
      </c>
      <c r="I1549" s="156">
        <v>1800</v>
      </c>
      <c r="J1549" s="156">
        <v>0</v>
      </c>
      <c r="K1549" s="156">
        <f t="shared" si="97"/>
        <v>1800</v>
      </c>
      <c r="L1549" s="156">
        <v>1800</v>
      </c>
      <c r="M1549" s="156"/>
      <c r="N1549" s="144">
        <f t="shared" si="95"/>
        <v>0</v>
      </c>
      <c r="O1549" s="157" t="s">
        <v>1410</v>
      </c>
      <c r="P1549" s="158" t="s">
        <v>1409</v>
      </c>
      <c r="Q1549" s="90" t="s">
        <v>51</v>
      </c>
    </row>
    <row r="1550" s="90" customFormat="1" spans="1:17">
      <c r="A1550" s="200">
        <v>46023</v>
      </c>
      <c r="B1550" s="146" t="s">
        <v>285</v>
      </c>
      <c r="C1550" s="147" t="s">
        <v>413</v>
      </c>
      <c r="D1550" s="146" t="s">
        <v>414</v>
      </c>
      <c r="E1550" s="146" t="s">
        <v>415</v>
      </c>
      <c r="F1550" s="117">
        <v>46066</v>
      </c>
      <c r="G1550" s="146" t="s">
        <v>98</v>
      </c>
      <c r="H1550" s="199" t="s">
        <v>21</v>
      </c>
      <c r="I1550" s="156">
        <v>1800</v>
      </c>
      <c r="J1550" s="156">
        <v>0</v>
      </c>
      <c r="K1550" s="156">
        <f t="shared" si="97"/>
        <v>1800</v>
      </c>
      <c r="L1550" s="156">
        <v>1800</v>
      </c>
      <c r="M1550" s="156"/>
      <c r="N1550" s="144">
        <f t="shared" si="95"/>
        <v>0</v>
      </c>
      <c r="O1550" s="157" t="s">
        <v>1410</v>
      </c>
      <c r="P1550" s="158" t="s">
        <v>1409</v>
      </c>
      <c r="Q1550" s="90" t="s">
        <v>51</v>
      </c>
    </row>
    <row r="1551" s="90" customFormat="1" spans="1:17">
      <c r="A1551" s="200">
        <v>46023</v>
      </c>
      <c r="B1551" s="146" t="s">
        <v>285</v>
      </c>
      <c r="C1551" s="147" t="s">
        <v>413</v>
      </c>
      <c r="D1551" s="146" t="s">
        <v>414</v>
      </c>
      <c r="E1551" s="146" t="s">
        <v>415</v>
      </c>
      <c r="F1551" s="117">
        <v>46066</v>
      </c>
      <c r="G1551" s="146" t="s">
        <v>96</v>
      </c>
      <c r="H1551" s="199" t="s">
        <v>21</v>
      </c>
      <c r="I1551" s="156">
        <v>1800</v>
      </c>
      <c r="J1551" s="156">
        <v>0</v>
      </c>
      <c r="K1551" s="156">
        <f t="shared" si="97"/>
        <v>1800</v>
      </c>
      <c r="L1551" s="156">
        <v>1800</v>
      </c>
      <c r="M1551" s="156"/>
      <c r="N1551" s="144">
        <f t="shared" si="95"/>
        <v>0</v>
      </c>
      <c r="O1551" s="157" t="s">
        <v>1411</v>
      </c>
      <c r="P1551" s="158" t="s">
        <v>1409</v>
      </c>
      <c r="Q1551" s="90" t="s">
        <v>51</v>
      </c>
    </row>
    <row r="1552" s="94" customFormat="1" spans="1:16">
      <c r="A1552" s="200">
        <v>46054</v>
      </c>
      <c r="B1552" s="190" t="str">
        <f>MID(C1552,1,2)</f>
        <v>5F</v>
      </c>
      <c r="C1552" s="198" t="s">
        <v>797</v>
      </c>
      <c r="D1552" s="198" t="s">
        <v>1245</v>
      </c>
      <c r="E1552" s="198" t="s">
        <v>1412</v>
      </c>
      <c r="F1552" s="117">
        <v>46066</v>
      </c>
      <c r="G1552" s="198" t="s">
        <v>1413</v>
      </c>
      <c r="H1552" s="198" t="s">
        <v>833</v>
      </c>
      <c r="I1552" s="156">
        <v>2400</v>
      </c>
      <c r="J1552" s="156"/>
      <c r="K1552" s="156">
        <f>2400</f>
        <v>2400</v>
      </c>
      <c r="L1552" s="156">
        <f>535.4+1864.6</f>
        <v>2400</v>
      </c>
      <c r="M1552" s="156"/>
      <c r="N1552" s="144">
        <f t="shared" si="95"/>
        <v>0</v>
      </c>
      <c r="O1552" s="157" t="s">
        <v>1414</v>
      </c>
      <c r="P1552" s="190"/>
    </row>
    <row r="1553" s="94" customFormat="1" spans="1:16">
      <c r="A1553" s="200">
        <v>46054</v>
      </c>
      <c r="B1553" s="190"/>
      <c r="C1553" s="198" t="s">
        <v>1415</v>
      </c>
      <c r="D1553" s="198" t="s">
        <v>119</v>
      </c>
      <c r="E1553" s="198" t="s">
        <v>1416</v>
      </c>
      <c r="F1553" s="117">
        <v>46066</v>
      </c>
      <c r="G1553" s="198" t="s">
        <v>1417</v>
      </c>
      <c r="H1553" s="198" t="s">
        <v>833</v>
      </c>
      <c r="I1553" s="156">
        <v>4777.95</v>
      </c>
      <c r="J1553" s="156"/>
      <c r="K1553" s="156">
        <f t="shared" ref="K1553:K1558" si="98">I1553-J1553</f>
        <v>4777.95</v>
      </c>
      <c r="L1553" s="156">
        <v>4777.95</v>
      </c>
      <c r="M1553" s="156"/>
      <c r="N1553" s="144">
        <f t="shared" si="95"/>
        <v>0</v>
      </c>
      <c r="O1553" s="157" t="s">
        <v>1418</v>
      </c>
      <c r="P1553" s="190"/>
    </row>
    <row r="1554" s="94" customFormat="1" spans="1:16">
      <c r="A1554" s="200">
        <v>46054</v>
      </c>
      <c r="B1554" s="190" t="s">
        <v>1419</v>
      </c>
      <c r="C1554" s="198" t="s">
        <v>1420</v>
      </c>
      <c r="D1554" s="198" t="s">
        <v>1421</v>
      </c>
      <c r="E1554" s="198" t="s">
        <v>1422</v>
      </c>
      <c r="F1554" s="117">
        <v>46066</v>
      </c>
      <c r="G1554" s="198" t="s">
        <v>1423</v>
      </c>
      <c r="H1554" s="198" t="s">
        <v>833</v>
      </c>
      <c r="I1554" s="156">
        <v>12600</v>
      </c>
      <c r="J1554" s="156"/>
      <c r="K1554" s="156">
        <f>4200*3</f>
        <v>12600</v>
      </c>
      <c r="L1554" s="156">
        <f>4200*3</f>
        <v>12600</v>
      </c>
      <c r="M1554" s="156"/>
      <c r="N1554" s="144">
        <f t="shared" si="95"/>
        <v>0</v>
      </c>
      <c r="O1554" s="157" t="s">
        <v>1424</v>
      </c>
      <c r="P1554" s="190"/>
    </row>
    <row r="1555" s="94" customFormat="1" spans="1:16">
      <c r="A1555" s="200">
        <v>46054</v>
      </c>
      <c r="B1555" s="190"/>
      <c r="C1555" s="198" t="s">
        <v>1425</v>
      </c>
      <c r="D1555" s="198" t="s">
        <v>1426</v>
      </c>
      <c r="E1555" s="198" t="s">
        <v>1427</v>
      </c>
      <c r="F1555" s="117">
        <v>46066</v>
      </c>
      <c r="G1555" s="198" t="s">
        <v>96</v>
      </c>
      <c r="H1555" s="198" t="s">
        <v>833</v>
      </c>
      <c r="I1555" s="156">
        <v>6000</v>
      </c>
      <c r="J1555" s="156"/>
      <c r="K1555" s="156">
        <v>6000</v>
      </c>
      <c r="L1555" s="156">
        <v>6000</v>
      </c>
      <c r="M1555" s="156"/>
      <c r="N1555" s="144">
        <f t="shared" si="95"/>
        <v>0</v>
      </c>
      <c r="O1555" s="157" t="s">
        <v>1428</v>
      </c>
      <c r="P1555" s="190"/>
    </row>
    <row r="1556" s="94" customFormat="1" spans="1:16">
      <c r="A1556" s="200">
        <v>46054</v>
      </c>
      <c r="B1556" s="116" t="s">
        <v>854</v>
      </c>
      <c r="C1556" s="198" t="s">
        <v>851</v>
      </c>
      <c r="D1556" s="198" t="s">
        <v>287</v>
      </c>
      <c r="E1556" s="198" t="s">
        <v>852</v>
      </c>
      <c r="F1556" s="117">
        <v>46066</v>
      </c>
      <c r="G1556" s="198" t="s">
        <v>1176</v>
      </c>
      <c r="H1556" s="116" t="s">
        <v>833</v>
      </c>
      <c r="I1556" s="156">
        <v>800</v>
      </c>
      <c r="J1556" s="156"/>
      <c r="K1556" s="156">
        <v>800</v>
      </c>
      <c r="L1556" s="156">
        <v>800</v>
      </c>
      <c r="M1556" s="156"/>
      <c r="N1556" s="144">
        <f t="shared" si="95"/>
        <v>0</v>
      </c>
      <c r="O1556" s="157" t="s">
        <v>1185</v>
      </c>
      <c r="P1556" s="190"/>
    </row>
    <row r="1557" s="100" customFormat="1" spans="1:16">
      <c r="A1557" s="200">
        <v>46054</v>
      </c>
      <c r="B1557" s="192" t="s">
        <v>285</v>
      </c>
      <c r="C1557" s="257" t="s">
        <v>396</v>
      </c>
      <c r="D1557" s="192" t="s">
        <v>397</v>
      </c>
      <c r="E1557" s="192" t="s">
        <v>398</v>
      </c>
      <c r="F1557" s="117">
        <v>46066</v>
      </c>
      <c r="G1557" s="146" t="s">
        <v>98</v>
      </c>
      <c r="H1557" s="146" t="s">
        <v>21</v>
      </c>
      <c r="I1557" s="260">
        <v>4189.149</v>
      </c>
      <c r="J1557" s="156">
        <v>0</v>
      </c>
      <c r="K1557" s="260">
        <f t="shared" si="98"/>
        <v>4189.149</v>
      </c>
      <c r="L1557" s="156">
        <v>4189.149</v>
      </c>
      <c r="M1557" s="156"/>
      <c r="N1557" s="144">
        <f t="shared" si="95"/>
        <v>0</v>
      </c>
      <c r="O1557" s="157" t="s">
        <v>1429</v>
      </c>
      <c r="P1557" s="192"/>
    </row>
    <row r="1558" s="100" customFormat="1" spans="1:16">
      <c r="A1558" s="145">
        <v>46054</v>
      </c>
      <c r="B1558" s="192" t="s">
        <v>16</v>
      </c>
      <c r="C1558" s="257" t="s">
        <v>157</v>
      </c>
      <c r="D1558" s="192" t="s">
        <v>158</v>
      </c>
      <c r="E1558" s="192" t="s">
        <v>159</v>
      </c>
      <c r="F1558" s="117">
        <v>46066</v>
      </c>
      <c r="G1558" s="146" t="s">
        <v>98</v>
      </c>
      <c r="H1558" s="146" t="s">
        <v>21</v>
      </c>
      <c r="I1558" s="260">
        <v>14789.16</v>
      </c>
      <c r="J1558" s="156">
        <v>0</v>
      </c>
      <c r="K1558" s="260">
        <f t="shared" si="98"/>
        <v>14789.16</v>
      </c>
      <c r="L1558" s="156">
        <v>14789.16</v>
      </c>
      <c r="M1558" s="156"/>
      <c r="N1558" s="144">
        <f t="shared" si="95"/>
        <v>0</v>
      </c>
      <c r="O1558" s="216" t="s">
        <v>1430</v>
      </c>
      <c r="P1558" s="143" t="s">
        <v>1431</v>
      </c>
    </row>
    <row r="1559" s="90" customFormat="1" spans="1:16">
      <c r="A1559" s="145">
        <v>46054</v>
      </c>
      <c r="B1559" s="146" t="s">
        <v>491</v>
      </c>
      <c r="C1559" s="147" t="s">
        <v>526</v>
      </c>
      <c r="D1559" s="146" t="s">
        <v>518</v>
      </c>
      <c r="E1559" s="146" t="s">
        <v>1081</v>
      </c>
      <c r="F1559" s="117">
        <v>46066</v>
      </c>
      <c r="G1559" s="146" t="s">
        <v>98</v>
      </c>
      <c r="H1559" s="146" t="s">
        <v>23</v>
      </c>
      <c r="I1559" s="156">
        <v>1449.67</v>
      </c>
      <c r="J1559" s="156">
        <v>0</v>
      </c>
      <c r="K1559" s="156">
        <v>1449.67</v>
      </c>
      <c r="L1559" s="156">
        <v>1449.67</v>
      </c>
      <c r="M1559" s="156"/>
      <c r="N1559" s="144">
        <f t="shared" si="95"/>
        <v>0</v>
      </c>
      <c r="O1559" s="143" t="s">
        <v>1383</v>
      </c>
      <c r="P1559" s="158" t="s">
        <v>1432</v>
      </c>
    </row>
    <row r="1560" s="90" customFormat="1" spans="1:16">
      <c r="A1560" s="145">
        <v>46054</v>
      </c>
      <c r="B1560" s="146" t="s">
        <v>491</v>
      </c>
      <c r="C1560" s="147" t="s">
        <v>526</v>
      </c>
      <c r="D1560" s="146" t="s">
        <v>518</v>
      </c>
      <c r="E1560" s="146" t="s">
        <v>1081</v>
      </c>
      <c r="F1560" s="117">
        <v>46066</v>
      </c>
      <c r="G1560" s="146" t="s">
        <v>98</v>
      </c>
      <c r="H1560" s="146" t="s">
        <v>21</v>
      </c>
      <c r="I1560" s="156">
        <v>11597.4</v>
      </c>
      <c r="J1560" s="156">
        <v>0</v>
      </c>
      <c r="K1560" s="156">
        <v>11597.4</v>
      </c>
      <c r="L1560" s="156">
        <v>11597.4</v>
      </c>
      <c r="M1560" s="156"/>
      <c r="N1560" s="144">
        <f t="shared" si="95"/>
        <v>0</v>
      </c>
      <c r="O1560" s="143" t="s">
        <v>1383</v>
      </c>
      <c r="P1560" s="158" t="s">
        <v>1432</v>
      </c>
    </row>
    <row r="1561" s="89" customFormat="1" spans="1:17">
      <c r="A1561" s="122">
        <v>46082</v>
      </c>
      <c r="B1561" s="116" t="s">
        <v>16</v>
      </c>
      <c r="C1561" s="113" t="s">
        <v>980</v>
      </c>
      <c r="D1561" s="116" t="s">
        <v>981</v>
      </c>
      <c r="E1561" s="116" t="s">
        <v>982</v>
      </c>
      <c r="F1561" s="117">
        <v>46094</v>
      </c>
      <c r="G1561" s="116" t="s">
        <v>1433</v>
      </c>
      <c r="H1561" s="116" t="s">
        <v>833</v>
      </c>
      <c r="I1561" s="139">
        <v>4800</v>
      </c>
      <c r="J1561" s="139">
        <v>0</v>
      </c>
      <c r="K1561" s="139">
        <f t="shared" ref="K1561:K1564" si="99">I1561-J1561</f>
        <v>4800</v>
      </c>
      <c r="L1561" s="139">
        <v>4800</v>
      </c>
      <c r="M1561" s="139"/>
      <c r="N1561" s="131">
        <f t="shared" si="95"/>
        <v>0</v>
      </c>
      <c r="O1561" s="141" t="s">
        <v>1221</v>
      </c>
      <c r="P1561" s="141" t="s">
        <v>1434</v>
      </c>
      <c r="Q1561" s="89" t="s">
        <v>51</v>
      </c>
    </row>
    <row r="1562" s="101" customFormat="1" spans="1:16">
      <c r="A1562" s="227">
        <v>46082</v>
      </c>
      <c r="B1562" s="263" t="s">
        <v>285</v>
      </c>
      <c r="C1562" s="264" t="s">
        <v>322</v>
      </c>
      <c r="D1562" s="263" t="s">
        <v>323</v>
      </c>
      <c r="E1562" s="263" t="s">
        <v>324</v>
      </c>
      <c r="F1562" s="117">
        <v>46094</v>
      </c>
      <c r="G1562" s="263" t="s">
        <v>1435</v>
      </c>
      <c r="H1562" s="228" t="s">
        <v>21</v>
      </c>
      <c r="I1562" s="270">
        <v>19575</v>
      </c>
      <c r="J1562" s="232">
        <v>0</v>
      </c>
      <c r="K1562" s="270">
        <f t="shared" si="99"/>
        <v>19575</v>
      </c>
      <c r="L1562" s="232">
        <v>19575</v>
      </c>
      <c r="M1562" s="232"/>
      <c r="N1562" s="233">
        <f t="shared" si="95"/>
        <v>0</v>
      </c>
      <c r="O1562" s="271" t="s">
        <v>1436</v>
      </c>
      <c r="P1562" s="263"/>
    </row>
    <row r="1563" s="96" customFormat="1" spans="1:17">
      <c r="A1563" s="227">
        <v>46082</v>
      </c>
      <c r="B1563" s="228" t="s">
        <v>285</v>
      </c>
      <c r="C1563" s="229" t="s">
        <v>462</v>
      </c>
      <c r="D1563" s="228" t="s">
        <v>463</v>
      </c>
      <c r="E1563" s="228" t="s">
        <v>464</v>
      </c>
      <c r="F1563" s="117">
        <v>46094</v>
      </c>
      <c r="G1563" s="228" t="s">
        <v>1160</v>
      </c>
      <c r="H1563" s="228" t="s">
        <v>23</v>
      </c>
      <c r="I1563" s="232">
        <f>33825+3758.33</f>
        <v>37583.33</v>
      </c>
      <c r="J1563" s="232">
        <v>0</v>
      </c>
      <c r="K1563" s="232">
        <f t="shared" si="99"/>
        <v>37583.33</v>
      </c>
      <c r="L1563" s="232">
        <f>33825+3758.33</f>
        <v>37583.33</v>
      </c>
      <c r="M1563" s="232"/>
      <c r="N1563" s="233">
        <f t="shared" si="95"/>
        <v>0</v>
      </c>
      <c r="O1563" s="293" t="s">
        <v>1437</v>
      </c>
      <c r="P1563" s="293" t="s">
        <v>1438</v>
      </c>
      <c r="Q1563" s="96" t="s">
        <v>51</v>
      </c>
    </row>
    <row r="1564" s="96" customFormat="1" spans="1:17">
      <c r="A1564" s="227">
        <v>46082</v>
      </c>
      <c r="B1564" s="228" t="s">
        <v>285</v>
      </c>
      <c r="C1564" s="229" t="s">
        <v>462</v>
      </c>
      <c r="D1564" s="228" t="s">
        <v>463</v>
      </c>
      <c r="E1564" s="228" t="s">
        <v>464</v>
      </c>
      <c r="F1564" s="117">
        <v>46094</v>
      </c>
      <c r="G1564" s="228" t="s">
        <v>1160</v>
      </c>
      <c r="H1564" s="231" t="s">
        <v>21</v>
      </c>
      <c r="I1564" s="232">
        <f>21918.6+2435.4</f>
        <v>24354</v>
      </c>
      <c r="J1564" s="232">
        <v>0</v>
      </c>
      <c r="K1564" s="232">
        <f t="shared" si="99"/>
        <v>24354</v>
      </c>
      <c r="L1564" s="232">
        <f>21918.6+2435.4</f>
        <v>24354</v>
      </c>
      <c r="M1564" s="232"/>
      <c r="N1564" s="233">
        <f t="shared" si="95"/>
        <v>0</v>
      </c>
      <c r="O1564" s="293" t="s">
        <v>1437</v>
      </c>
      <c r="P1564" s="293" t="s">
        <v>1439</v>
      </c>
      <c r="Q1564" s="96" t="s">
        <v>51</v>
      </c>
    </row>
    <row r="1565" s="84" customFormat="1" spans="1:16383">
      <c r="A1565" s="118">
        <v>46082</v>
      </c>
      <c r="B1565" s="114" t="str">
        <f t="shared" ref="B1565:B1628" si="100">MID(C1565,1,2)</f>
        <v>1F</v>
      </c>
      <c r="C1565" s="114" t="s">
        <v>52</v>
      </c>
      <c r="D1565" s="114" t="s">
        <v>53</v>
      </c>
      <c r="E1565" s="114" t="s">
        <v>54</v>
      </c>
      <c r="F1565" s="117" t="s">
        <v>1440</v>
      </c>
      <c r="G1565" s="114" t="s">
        <v>1174</v>
      </c>
      <c r="H1565" s="114" t="s">
        <v>23</v>
      </c>
      <c r="I1565" s="136">
        <v>7315</v>
      </c>
      <c r="J1565" s="114">
        <v>0</v>
      </c>
      <c r="K1565" s="136">
        <v>7315</v>
      </c>
      <c r="L1565" s="283">
        <v>7315</v>
      </c>
      <c r="M1565" s="283"/>
      <c r="N1565" s="136">
        <f t="shared" si="95"/>
        <v>0</v>
      </c>
      <c r="O1565" s="269" t="s">
        <v>1167</v>
      </c>
      <c r="P1565" s="269"/>
      <c r="XFC1565"/>
    </row>
    <row r="1566" s="102" customFormat="1" spans="1:16">
      <c r="A1566" s="118">
        <v>46082</v>
      </c>
      <c r="B1566" s="114" t="str">
        <f t="shared" si="100"/>
        <v>1F</v>
      </c>
      <c r="C1566" s="114" t="s">
        <v>52</v>
      </c>
      <c r="D1566" s="114" t="s">
        <v>53</v>
      </c>
      <c r="E1566" s="114" t="s">
        <v>54</v>
      </c>
      <c r="F1566" s="117" t="s">
        <v>1440</v>
      </c>
      <c r="G1566" s="114" t="s">
        <v>1174</v>
      </c>
      <c r="H1566" s="114" t="s">
        <v>21</v>
      </c>
      <c r="I1566" s="136">
        <v>8360</v>
      </c>
      <c r="J1566" s="114">
        <v>0</v>
      </c>
      <c r="K1566" s="136">
        <v>8360</v>
      </c>
      <c r="L1566" s="283">
        <f>2816.22+5543.78</f>
        <v>8360</v>
      </c>
      <c r="M1566" s="283"/>
      <c r="N1566" s="136">
        <f t="shared" si="95"/>
        <v>0</v>
      </c>
      <c r="O1566" s="269" t="s">
        <v>1441</v>
      </c>
      <c r="P1566" s="114"/>
    </row>
    <row r="1567" s="88" customFormat="1" spans="1:16">
      <c r="A1567" s="118">
        <v>46082</v>
      </c>
      <c r="B1567" s="114" t="str">
        <f t="shared" si="100"/>
        <v>1F</v>
      </c>
      <c r="C1567" s="114" t="s">
        <v>77</v>
      </c>
      <c r="D1567" s="114" t="s">
        <v>78</v>
      </c>
      <c r="E1567" s="114" t="s">
        <v>79</v>
      </c>
      <c r="F1567" s="117" t="s">
        <v>1440</v>
      </c>
      <c r="G1567" s="114" t="s">
        <v>1442</v>
      </c>
      <c r="H1567" s="114" t="s">
        <v>21</v>
      </c>
      <c r="I1567" s="136">
        <v>1073.92</v>
      </c>
      <c r="J1567" s="114"/>
      <c r="K1567" s="136">
        <f>I1567-J1567</f>
        <v>1073.92</v>
      </c>
      <c r="L1567" s="131">
        <v>1073.92</v>
      </c>
      <c r="M1567" s="131"/>
      <c r="N1567" s="136">
        <f t="shared" ref="N1567:N1630" si="101">K1567-L1567</f>
        <v>0</v>
      </c>
      <c r="O1567" s="143" t="s">
        <v>85</v>
      </c>
      <c r="P1567" s="138"/>
    </row>
    <row r="1568" s="88" customFormat="1" spans="1:16">
      <c r="A1568" s="118">
        <v>46082</v>
      </c>
      <c r="B1568" s="114" t="str">
        <f t="shared" si="100"/>
        <v>1F</v>
      </c>
      <c r="C1568" s="114" t="s">
        <v>77</v>
      </c>
      <c r="D1568" s="114" t="s">
        <v>78</v>
      </c>
      <c r="E1568" s="114" t="s">
        <v>79</v>
      </c>
      <c r="F1568" s="117" t="s">
        <v>1440</v>
      </c>
      <c r="G1568" s="114" t="s">
        <v>1442</v>
      </c>
      <c r="H1568" s="114" t="s">
        <v>23</v>
      </c>
      <c r="I1568" s="136">
        <v>575.01</v>
      </c>
      <c r="J1568" s="114"/>
      <c r="K1568" s="136">
        <f>I1568-J1568</f>
        <v>575.01</v>
      </c>
      <c r="L1568" s="131">
        <v>575.01</v>
      </c>
      <c r="M1568" s="131"/>
      <c r="N1568" s="136">
        <f t="shared" si="101"/>
        <v>0</v>
      </c>
      <c r="O1568" s="143" t="s">
        <v>85</v>
      </c>
      <c r="P1568" s="138"/>
    </row>
    <row r="1569" s="84" customFormat="1" spans="1:16383">
      <c r="A1569" s="118">
        <v>46082</v>
      </c>
      <c r="B1569" s="114" t="str">
        <f t="shared" si="100"/>
        <v>1F</v>
      </c>
      <c r="C1569" s="114" t="s">
        <v>99</v>
      </c>
      <c r="D1569" s="114" t="s">
        <v>100</v>
      </c>
      <c r="E1569" s="114" t="s">
        <v>101</v>
      </c>
      <c r="F1569" s="117" t="s">
        <v>1443</v>
      </c>
      <c r="G1569" s="114" t="s">
        <v>96</v>
      </c>
      <c r="H1569" s="114" t="s">
        <v>23</v>
      </c>
      <c r="I1569" s="136">
        <v>2860</v>
      </c>
      <c r="J1569" s="114">
        <v>0</v>
      </c>
      <c r="K1569" s="136">
        <v>2860</v>
      </c>
      <c r="L1569" s="283">
        <v>2860</v>
      </c>
      <c r="M1569" s="283"/>
      <c r="N1569" s="136">
        <f t="shared" si="101"/>
        <v>0</v>
      </c>
      <c r="O1569" s="269" t="s">
        <v>1444</v>
      </c>
      <c r="P1569" s="269"/>
      <c r="XFC1569"/>
    </row>
    <row r="1570" s="84" customFormat="1" spans="1:16383">
      <c r="A1570" s="289">
        <v>46082</v>
      </c>
      <c r="B1570" s="114" t="str">
        <f t="shared" si="100"/>
        <v>1F</v>
      </c>
      <c r="C1570" s="290" t="s">
        <v>99</v>
      </c>
      <c r="D1570" s="290" t="s">
        <v>100</v>
      </c>
      <c r="E1570" s="290" t="s">
        <v>101</v>
      </c>
      <c r="F1570" s="117" t="s">
        <v>1443</v>
      </c>
      <c r="G1570" s="290" t="s">
        <v>96</v>
      </c>
      <c r="H1570" s="290" t="s">
        <v>21</v>
      </c>
      <c r="I1570" s="294">
        <v>31477.22</v>
      </c>
      <c r="J1570" s="290">
        <v>0</v>
      </c>
      <c r="K1570" s="294">
        <v>31477.22</v>
      </c>
      <c r="L1570" s="283">
        <v>31477.22</v>
      </c>
      <c r="M1570" s="283"/>
      <c r="N1570" s="136">
        <f t="shared" si="101"/>
        <v>0</v>
      </c>
      <c r="O1570" s="262" t="s">
        <v>1445</v>
      </c>
      <c r="P1570" s="269"/>
      <c r="XFC1570"/>
    </row>
    <row r="1571" s="88" customFormat="1" spans="1:16">
      <c r="A1571" s="118">
        <v>46082</v>
      </c>
      <c r="B1571" s="114" t="str">
        <f t="shared" si="100"/>
        <v>1F</v>
      </c>
      <c r="C1571" s="114" t="s">
        <v>112</v>
      </c>
      <c r="D1571" s="114" t="s">
        <v>113</v>
      </c>
      <c r="E1571" s="114" t="s">
        <v>114</v>
      </c>
      <c r="F1571" s="117">
        <v>46097</v>
      </c>
      <c r="G1571" s="114" t="s">
        <v>1176</v>
      </c>
      <c r="H1571" s="114" t="s">
        <v>23</v>
      </c>
      <c r="I1571" s="136">
        <v>2760</v>
      </c>
      <c r="J1571" s="136">
        <v>0</v>
      </c>
      <c r="K1571" s="136">
        <v>2760</v>
      </c>
      <c r="L1571" s="131">
        <v>2760</v>
      </c>
      <c r="M1571" s="131"/>
      <c r="N1571" s="136">
        <f t="shared" si="101"/>
        <v>0</v>
      </c>
      <c r="O1571" s="138" t="s">
        <v>1446</v>
      </c>
      <c r="P1571" s="138"/>
    </row>
    <row r="1572" s="88" customFormat="1" spans="1:16">
      <c r="A1572" s="291">
        <v>46082</v>
      </c>
      <c r="B1572" s="114" t="str">
        <f t="shared" si="100"/>
        <v>1F</v>
      </c>
      <c r="C1572" s="292" t="s">
        <v>112</v>
      </c>
      <c r="D1572" s="292" t="s">
        <v>113</v>
      </c>
      <c r="E1572" s="292" t="s">
        <v>114</v>
      </c>
      <c r="F1572" s="117">
        <v>46097</v>
      </c>
      <c r="G1572" s="292" t="s">
        <v>96</v>
      </c>
      <c r="H1572" s="292" t="s">
        <v>21</v>
      </c>
      <c r="I1572" s="295">
        <v>30994.61</v>
      </c>
      <c r="J1572" s="295">
        <v>0</v>
      </c>
      <c r="K1572" s="295">
        <v>30994.61</v>
      </c>
      <c r="L1572" s="131">
        <v>30994.61</v>
      </c>
      <c r="M1572" s="131"/>
      <c r="N1572" s="136">
        <f t="shared" si="101"/>
        <v>0</v>
      </c>
      <c r="O1572" s="143" t="s">
        <v>1447</v>
      </c>
      <c r="P1572" s="138"/>
    </row>
    <row r="1573" s="88" customFormat="1" spans="1:16">
      <c r="A1573" s="118">
        <v>46082</v>
      </c>
      <c r="B1573" s="114" t="str">
        <f t="shared" si="100"/>
        <v>1F</v>
      </c>
      <c r="C1573" s="114" t="s">
        <v>118</v>
      </c>
      <c r="D1573" s="114" t="s">
        <v>119</v>
      </c>
      <c r="E1573" s="114" t="s">
        <v>120</v>
      </c>
      <c r="F1573" s="117" t="s">
        <v>1440</v>
      </c>
      <c r="G1573" s="114" t="s">
        <v>1448</v>
      </c>
      <c r="H1573" s="114" t="s">
        <v>23</v>
      </c>
      <c r="I1573" s="136">
        <v>3245</v>
      </c>
      <c r="J1573" s="114">
        <v>0</v>
      </c>
      <c r="K1573" s="136">
        <v>3245</v>
      </c>
      <c r="L1573" s="131">
        <v>3245</v>
      </c>
      <c r="M1573" s="131"/>
      <c r="N1573" s="136">
        <f t="shared" si="101"/>
        <v>0</v>
      </c>
      <c r="O1573" s="138" t="s">
        <v>1449</v>
      </c>
      <c r="P1573" s="138"/>
    </row>
    <row r="1574" s="88" customFormat="1" spans="1:16">
      <c r="A1574" s="118">
        <v>46082</v>
      </c>
      <c r="B1574" s="114" t="str">
        <f t="shared" si="100"/>
        <v>1F</v>
      </c>
      <c r="C1574" s="114" t="s">
        <v>118</v>
      </c>
      <c r="D1574" s="114" t="s">
        <v>119</v>
      </c>
      <c r="E1574" s="114" t="s">
        <v>120</v>
      </c>
      <c r="F1574" s="117" t="s">
        <v>1440</v>
      </c>
      <c r="G1574" s="114" t="s">
        <v>1338</v>
      </c>
      <c r="H1574" s="114" t="s">
        <v>23</v>
      </c>
      <c r="I1574" s="136">
        <v>3245</v>
      </c>
      <c r="J1574" s="114">
        <v>0</v>
      </c>
      <c r="K1574" s="136">
        <v>3245</v>
      </c>
      <c r="L1574" s="131">
        <v>3245</v>
      </c>
      <c r="M1574" s="131"/>
      <c r="N1574" s="136">
        <f t="shared" si="101"/>
        <v>0</v>
      </c>
      <c r="O1574" s="138" t="s">
        <v>1449</v>
      </c>
      <c r="P1574" s="138"/>
    </row>
    <row r="1575" s="88" customFormat="1" spans="1:16">
      <c r="A1575" s="118">
        <v>46082</v>
      </c>
      <c r="B1575" s="114" t="str">
        <f t="shared" si="100"/>
        <v>1F</v>
      </c>
      <c r="C1575" s="114" t="s">
        <v>118</v>
      </c>
      <c r="D1575" s="114" t="s">
        <v>119</v>
      </c>
      <c r="E1575" s="114" t="s">
        <v>120</v>
      </c>
      <c r="F1575" s="117" t="s">
        <v>1440</v>
      </c>
      <c r="G1575" s="114" t="s">
        <v>1174</v>
      </c>
      <c r="H1575" s="114" t="s">
        <v>23</v>
      </c>
      <c r="I1575" s="136">
        <v>3245</v>
      </c>
      <c r="J1575" s="114">
        <v>0</v>
      </c>
      <c r="K1575" s="136">
        <v>3245</v>
      </c>
      <c r="L1575" s="131">
        <v>3245</v>
      </c>
      <c r="M1575" s="131"/>
      <c r="N1575" s="136">
        <f t="shared" si="101"/>
        <v>0</v>
      </c>
      <c r="O1575" s="138" t="s">
        <v>1449</v>
      </c>
      <c r="P1575" s="138"/>
    </row>
    <row r="1576" s="88" customFormat="1" spans="1:16">
      <c r="A1576" s="118">
        <v>46082</v>
      </c>
      <c r="B1576" s="114" t="str">
        <f t="shared" si="100"/>
        <v>1F</v>
      </c>
      <c r="C1576" s="114" t="s">
        <v>118</v>
      </c>
      <c r="D1576" s="114" t="s">
        <v>119</v>
      </c>
      <c r="E1576" s="114" t="s">
        <v>120</v>
      </c>
      <c r="F1576" s="117" t="s">
        <v>1440</v>
      </c>
      <c r="G1576" s="114" t="s">
        <v>1448</v>
      </c>
      <c r="H1576" s="114" t="s">
        <v>21</v>
      </c>
      <c r="I1576" s="136">
        <v>13009.5</v>
      </c>
      <c r="J1576" s="114">
        <v>0</v>
      </c>
      <c r="K1576" s="136">
        <v>13009.5</v>
      </c>
      <c r="L1576" s="131">
        <v>13009.5</v>
      </c>
      <c r="M1576" s="131"/>
      <c r="N1576" s="136">
        <f t="shared" si="101"/>
        <v>0</v>
      </c>
      <c r="O1576" s="138" t="s">
        <v>1449</v>
      </c>
      <c r="P1576" s="138"/>
    </row>
    <row r="1577" s="88" customFormat="1" spans="1:16">
      <c r="A1577" s="118">
        <v>46082</v>
      </c>
      <c r="B1577" s="114" t="str">
        <f t="shared" si="100"/>
        <v>1F</v>
      </c>
      <c r="C1577" s="114" t="s">
        <v>118</v>
      </c>
      <c r="D1577" s="114" t="s">
        <v>119</v>
      </c>
      <c r="E1577" s="114" t="s">
        <v>120</v>
      </c>
      <c r="F1577" s="117" t="s">
        <v>1440</v>
      </c>
      <c r="G1577" s="114" t="s">
        <v>1338</v>
      </c>
      <c r="H1577" s="114" t="s">
        <v>21</v>
      </c>
      <c r="I1577" s="136">
        <v>13009.5</v>
      </c>
      <c r="J1577" s="114">
        <v>0</v>
      </c>
      <c r="K1577" s="136">
        <v>13009.5</v>
      </c>
      <c r="L1577" s="131">
        <v>13009.5</v>
      </c>
      <c r="M1577" s="131"/>
      <c r="N1577" s="136">
        <f t="shared" si="101"/>
        <v>0</v>
      </c>
      <c r="O1577" s="138" t="s">
        <v>1449</v>
      </c>
      <c r="P1577" s="138"/>
    </row>
    <row r="1578" s="88" customFormat="1" spans="1:16">
      <c r="A1578" s="118">
        <v>46082</v>
      </c>
      <c r="B1578" s="114" t="str">
        <f t="shared" si="100"/>
        <v>1F</v>
      </c>
      <c r="C1578" s="114" t="s">
        <v>118</v>
      </c>
      <c r="D1578" s="114" t="s">
        <v>119</v>
      </c>
      <c r="E1578" s="114" t="s">
        <v>120</v>
      </c>
      <c r="F1578" s="117" t="s">
        <v>1440</v>
      </c>
      <c r="G1578" s="114" t="s">
        <v>1174</v>
      </c>
      <c r="H1578" s="114" t="s">
        <v>21</v>
      </c>
      <c r="I1578" s="136">
        <v>13009.5</v>
      </c>
      <c r="J1578" s="114">
        <v>0</v>
      </c>
      <c r="K1578" s="136">
        <v>13009.5</v>
      </c>
      <c r="L1578" s="131">
        <v>13009.5</v>
      </c>
      <c r="M1578" s="131"/>
      <c r="N1578" s="136">
        <f t="shared" si="101"/>
        <v>0</v>
      </c>
      <c r="O1578" s="138" t="s">
        <v>1449</v>
      </c>
      <c r="P1578" s="138"/>
    </row>
    <row r="1579" s="84" customFormat="1" spans="1:16383">
      <c r="A1579" s="289">
        <v>46082</v>
      </c>
      <c r="B1579" s="114" t="str">
        <f t="shared" si="100"/>
        <v>1F</v>
      </c>
      <c r="C1579" s="78" t="s">
        <v>1315</v>
      </c>
      <c r="D1579" s="290" t="s">
        <v>1316</v>
      </c>
      <c r="E1579" s="290" t="s">
        <v>1317</v>
      </c>
      <c r="F1579" s="117">
        <v>46097</v>
      </c>
      <c r="G1579" s="290" t="s">
        <v>1450</v>
      </c>
      <c r="H1579" s="290" t="s">
        <v>21</v>
      </c>
      <c r="I1579" s="294">
        <v>104835</v>
      </c>
      <c r="J1579" s="290"/>
      <c r="K1579" s="294">
        <v>104835</v>
      </c>
      <c r="L1579" s="283">
        <v>104835</v>
      </c>
      <c r="M1579" s="283"/>
      <c r="N1579" s="136">
        <f t="shared" si="101"/>
        <v>0</v>
      </c>
      <c r="O1579" s="269" t="s">
        <v>1451</v>
      </c>
      <c r="P1579" s="269"/>
      <c r="XFC1579"/>
    </row>
    <row r="1580" s="84" customFormat="1" spans="1:16383">
      <c r="A1580" s="289">
        <v>46082</v>
      </c>
      <c r="B1580" s="114" t="str">
        <f t="shared" si="100"/>
        <v>1F</v>
      </c>
      <c r="C1580" s="78" t="s">
        <v>1315</v>
      </c>
      <c r="D1580" s="290" t="s">
        <v>1316</v>
      </c>
      <c r="E1580" s="290" t="s">
        <v>1317</v>
      </c>
      <c r="F1580" s="117">
        <v>46097</v>
      </c>
      <c r="G1580" s="290" t="s">
        <v>1450</v>
      </c>
      <c r="H1580" s="290" t="s">
        <v>23</v>
      </c>
      <c r="I1580" s="294">
        <v>39765</v>
      </c>
      <c r="J1580" s="290"/>
      <c r="K1580" s="294">
        <v>39765</v>
      </c>
      <c r="L1580" s="283">
        <f>29765+10000</f>
        <v>39765</v>
      </c>
      <c r="M1580" s="283"/>
      <c r="N1580" s="136">
        <f t="shared" si="101"/>
        <v>0</v>
      </c>
      <c r="O1580" s="269" t="s">
        <v>1452</v>
      </c>
      <c r="P1580" s="269"/>
      <c r="XFC1580"/>
    </row>
    <row r="1581" s="84" customFormat="1" spans="1:16383">
      <c r="A1581" s="118">
        <v>46082</v>
      </c>
      <c r="B1581" s="114" t="str">
        <f t="shared" si="100"/>
        <v>1F</v>
      </c>
      <c r="C1581" s="114" t="s">
        <v>148</v>
      </c>
      <c r="D1581" s="114" t="s">
        <v>149</v>
      </c>
      <c r="E1581" s="114" t="s">
        <v>150</v>
      </c>
      <c r="F1581" s="117" t="s">
        <v>1440</v>
      </c>
      <c r="G1581" s="114" t="s">
        <v>1176</v>
      </c>
      <c r="H1581" s="114" t="s">
        <v>23</v>
      </c>
      <c r="I1581" s="136">
        <v>4155</v>
      </c>
      <c r="J1581" s="114">
        <v>0</v>
      </c>
      <c r="K1581" s="136">
        <v>4155</v>
      </c>
      <c r="L1581" s="283">
        <v>4155</v>
      </c>
      <c r="M1581" s="283"/>
      <c r="N1581" s="136">
        <f t="shared" si="101"/>
        <v>0</v>
      </c>
      <c r="O1581" s="269" t="s">
        <v>1453</v>
      </c>
      <c r="P1581" s="269"/>
      <c r="XFC1581"/>
    </row>
    <row r="1582" s="84" customFormat="1" spans="1:16383">
      <c r="A1582" s="289">
        <v>46082</v>
      </c>
      <c r="B1582" s="114" t="str">
        <f t="shared" si="100"/>
        <v>1F</v>
      </c>
      <c r="C1582" s="290" t="s">
        <v>148</v>
      </c>
      <c r="D1582" s="290" t="s">
        <v>149</v>
      </c>
      <c r="E1582" s="114" t="s">
        <v>150</v>
      </c>
      <c r="F1582" s="117" t="s">
        <v>1440</v>
      </c>
      <c r="G1582" s="290" t="s">
        <v>96</v>
      </c>
      <c r="H1582" s="290" t="s">
        <v>21</v>
      </c>
      <c r="I1582" s="294">
        <v>26244.97</v>
      </c>
      <c r="J1582" s="290">
        <v>0</v>
      </c>
      <c r="K1582" s="294">
        <v>26244.97</v>
      </c>
      <c r="L1582" s="283">
        <v>26244.97</v>
      </c>
      <c r="M1582" s="283"/>
      <c r="N1582" s="136">
        <f t="shared" si="101"/>
        <v>0</v>
      </c>
      <c r="O1582" s="216" t="s">
        <v>1454</v>
      </c>
      <c r="P1582" s="269"/>
      <c r="XFC1582"/>
    </row>
    <row r="1583" s="84" customFormat="1" spans="1:16383">
      <c r="A1583" s="289">
        <v>46082</v>
      </c>
      <c r="B1583" s="114" t="str">
        <f t="shared" si="100"/>
        <v>1F</v>
      </c>
      <c r="C1583" s="290" t="s">
        <v>157</v>
      </c>
      <c r="D1583" s="290" t="s">
        <v>158</v>
      </c>
      <c r="E1583" s="290" t="s">
        <v>159</v>
      </c>
      <c r="F1583" s="117">
        <v>46097</v>
      </c>
      <c r="G1583" s="290" t="s">
        <v>96</v>
      </c>
      <c r="H1583" s="290" t="s">
        <v>21</v>
      </c>
      <c r="I1583" s="294">
        <v>16763.52</v>
      </c>
      <c r="J1583" s="139">
        <v>0</v>
      </c>
      <c r="K1583" s="294">
        <f>I1583-J1583</f>
        <v>16763.52</v>
      </c>
      <c r="L1583" s="283"/>
      <c r="M1583" s="283"/>
      <c r="N1583" s="136">
        <f t="shared" si="101"/>
        <v>16763.52</v>
      </c>
      <c r="O1583" s="269" t="s">
        <v>1455</v>
      </c>
      <c r="P1583" s="143" t="s">
        <v>1456</v>
      </c>
      <c r="XFC1583"/>
    </row>
    <row r="1584" s="84" customFormat="1" spans="1:16383">
      <c r="A1584" s="118">
        <v>46082</v>
      </c>
      <c r="B1584" s="114" t="str">
        <f t="shared" si="100"/>
        <v>1F</v>
      </c>
      <c r="C1584" s="114" t="s">
        <v>179</v>
      </c>
      <c r="D1584" s="114" t="s">
        <v>180</v>
      </c>
      <c r="E1584" s="114" t="s">
        <v>181</v>
      </c>
      <c r="F1584" s="117" t="s">
        <v>1440</v>
      </c>
      <c r="G1584" s="114" t="s">
        <v>1174</v>
      </c>
      <c r="H1584" s="114" t="s">
        <v>23</v>
      </c>
      <c r="I1584" s="136">
        <v>2600</v>
      </c>
      <c r="J1584" s="114"/>
      <c r="K1584" s="136">
        <v>2600</v>
      </c>
      <c r="L1584" s="283">
        <v>2600</v>
      </c>
      <c r="M1584" s="283"/>
      <c r="N1584" s="136">
        <f t="shared" si="101"/>
        <v>0</v>
      </c>
      <c r="O1584" s="269" t="s">
        <v>1457</v>
      </c>
      <c r="P1584" s="269"/>
      <c r="XFC1584"/>
    </row>
    <row r="1585" s="84" customFormat="1" spans="1:16383">
      <c r="A1585" s="118">
        <v>46082</v>
      </c>
      <c r="B1585" s="114" t="str">
        <f t="shared" si="100"/>
        <v>1F</v>
      </c>
      <c r="C1585" s="114" t="s">
        <v>179</v>
      </c>
      <c r="D1585" s="114" t="s">
        <v>180</v>
      </c>
      <c r="E1585" s="114" t="s">
        <v>181</v>
      </c>
      <c r="F1585" s="117" t="s">
        <v>1440</v>
      </c>
      <c r="G1585" s="114" t="s">
        <v>1174</v>
      </c>
      <c r="H1585" s="114" t="s">
        <v>21</v>
      </c>
      <c r="I1585" s="136">
        <v>2600</v>
      </c>
      <c r="J1585" s="114"/>
      <c r="K1585" s="136">
        <v>2600</v>
      </c>
      <c r="L1585" s="283">
        <v>2600</v>
      </c>
      <c r="M1585" s="283"/>
      <c r="N1585" s="136">
        <f t="shared" si="101"/>
        <v>0</v>
      </c>
      <c r="O1585" s="269" t="s">
        <v>1457</v>
      </c>
      <c r="P1585" s="269"/>
      <c r="XFC1585"/>
    </row>
    <row r="1586" s="84" customFormat="1" spans="1:16383">
      <c r="A1586" s="118">
        <v>46082</v>
      </c>
      <c r="B1586" s="114" t="str">
        <f t="shared" si="100"/>
        <v>1F</v>
      </c>
      <c r="C1586" s="114" t="s">
        <v>1458</v>
      </c>
      <c r="D1586" s="114" t="s">
        <v>193</v>
      </c>
      <c r="E1586" s="114" t="s">
        <v>194</v>
      </c>
      <c r="F1586" s="117" t="s">
        <v>1459</v>
      </c>
      <c r="G1586" s="114" t="s">
        <v>36</v>
      </c>
      <c r="H1586" s="114" t="s">
        <v>23</v>
      </c>
      <c r="I1586" s="136">
        <v>8880</v>
      </c>
      <c r="J1586" s="114">
        <v>0</v>
      </c>
      <c r="K1586" s="136">
        <v>8880</v>
      </c>
      <c r="L1586" s="283">
        <v>8880</v>
      </c>
      <c r="M1586" s="283"/>
      <c r="N1586" s="136">
        <f t="shared" si="101"/>
        <v>0</v>
      </c>
      <c r="O1586" s="269" t="s">
        <v>1460</v>
      </c>
      <c r="P1586" s="269"/>
      <c r="XFC1586"/>
    </row>
    <row r="1587" s="84" customFormat="1" spans="1:16383">
      <c r="A1587" s="118">
        <v>46082</v>
      </c>
      <c r="B1587" s="114" t="str">
        <f t="shared" si="100"/>
        <v>1F</v>
      </c>
      <c r="C1587" s="114" t="s">
        <v>1458</v>
      </c>
      <c r="D1587" s="114" t="s">
        <v>193</v>
      </c>
      <c r="E1587" s="114" t="s">
        <v>194</v>
      </c>
      <c r="F1587" s="117" t="s">
        <v>1459</v>
      </c>
      <c r="G1587" s="114" t="s">
        <v>37</v>
      </c>
      <c r="H1587" s="114" t="s">
        <v>23</v>
      </c>
      <c r="I1587" s="136">
        <v>8880</v>
      </c>
      <c r="J1587" s="114">
        <v>0</v>
      </c>
      <c r="K1587" s="136">
        <v>8880</v>
      </c>
      <c r="L1587" s="283">
        <v>8880</v>
      </c>
      <c r="M1587" s="283"/>
      <c r="N1587" s="136">
        <f t="shared" si="101"/>
        <v>0</v>
      </c>
      <c r="O1587" s="269" t="s">
        <v>1460</v>
      </c>
      <c r="P1587" s="269"/>
      <c r="XFC1587"/>
    </row>
    <row r="1588" s="84" customFormat="1" spans="1:16383">
      <c r="A1588" s="118">
        <v>46082</v>
      </c>
      <c r="B1588" s="114" t="str">
        <f t="shared" si="100"/>
        <v>1F</v>
      </c>
      <c r="C1588" s="114" t="s">
        <v>1458</v>
      </c>
      <c r="D1588" s="114" t="s">
        <v>193</v>
      </c>
      <c r="E1588" s="114" t="s">
        <v>194</v>
      </c>
      <c r="F1588" s="117" t="s">
        <v>1459</v>
      </c>
      <c r="G1588" s="114" t="s">
        <v>38</v>
      </c>
      <c r="H1588" s="114" t="s">
        <v>23</v>
      </c>
      <c r="I1588" s="136">
        <v>8880</v>
      </c>
      <c r="J1588" s="114">
        <v>0</v>
      </c>
      <c r="K1588" s="136">
        <v>8880</v>
      </c>
      <c r="L1588" s="283">
        <v>8880</v>
      </c>
      <c r="M1588" s="283"/>
      <c r="N1588" s="136">
        <f t="shared" si="101"/>
        <v>0</v>
      </c>
      <c r="O1588" s="269" t="s">
        <v>1460</v>
      </c>
      <c r="P1588" s="269"/>
      <c r="XFC1588"/>
    </row>
    <row r="1589" s="84" customFormat="1" spans="1:16383">
      <c r="A1589" s="118">
        <v>46082</v>
      </c>
      <c r="B1589" s="114" t="str">
        <f t="shared" si="100"/>
        <v>1F</v>
      </c>
      <c r="C1589" s="114" t="s">
        <v>1458</v>
      </c>
      <c r="D1589" s="114" t="s">
        <v>193</v>
      </c>
      <c r="E1589" s="114" t="s">
        <v>194</v>
      </c>
      <c r="F1589" s="117" t="s">
        <v>1459</v>
      </c>
      <c r="G1589" s="114" t="s">
        <v>36</v>
      </c>
      <c r="H1589" s="114" t="s">
        <v>21</v>
      </c>
      <c r="I1589" s="136">
        <v>7126.2</v>
      </c>
      <c r="J1589" s="114">
        <v>0</v>
      </c>
      <c r="K1589" s="136">
        <v>7126.2</v>
      </c>
      <c r="L1589" s="283">
        <v>7126.2</v>
      </c>
      <c r="M1589" s="283"/>
      <c r="N1589" s="136">
        <f t="shared" si="101"/>
        <v>0</v>
      </c>
      <c r="O1589" s="269" t="s">
        <v>1460</v>
      </c>
      <c r="P1589" s="269"/>
      <c r="XFC1589"/>
    </row>
    <row r="1590" s="84" customFormat="1" spans="1:16383">
      <c r="A1590" s="118">
        <v>46082</v>
      </c>
      <c r="B1590" s="114" t="str">
        <f t="shared" si="100"/>
        <v>1F</v>
      </c>
      <c r="C1590" s="114" t="s">
        <v>1458</v>
      </c>
      <c r="D1590" s="114" t="s">
        <v>193</v>
      </c>
      <c r="E1590" s="114" t="s">
        <v>194</v>
      </c>
      <c r="F1590" s="117" t="s">
        <v>1459</v>
      </c>
      <c r="G1590" s="114" t="s">
        <v>37</v>
      </c>
      <c r="H1590" s="114" t="s">
        <v>21</v>
      </c>
      <c r="I1590" s="136">
        <v>7126.2</v>
      </c>
      <c r="J1590" s="114">
        <v>0</v>
      </c>
      <c r="K1590" s="136">
        <v>7126.2</v>
      </c>
      <c r="L1590" s="283">
        <v>7126.2</v>
      </c>
      <c r="M1590" s="283"/>
      <c r="N1590" s="136">
        <f t="shared" si="101"/>
        <v>0</v>
      </c>
      <c r="O1590" s="269" t="s">
        <v>1460</v>
      </c>
      <c r="P1590" s="269"/>
      <c r="XFC1590"/>
    </row>
    <row r="1591" s="84" customFormat="1" spans="1:16383">
      <c r="A1591" s="118">
        <v>46082</v>
      </c>
      <c r="B1591" s="114" t="str">
        <f t="shared" si="100"/>
        <v>1F</v>
      </c>
      <c r="C1591" s="114" t="s">
        <v>1458</v>
      </c>
      <c r="D1591" s="114" t="s">
        <v>193</v>
      </c>
      <c r="E1591" s="114" t="s">
        <v>194</v>
      </c>
      <c r="F1591" s="117" t="s">
        <v>1459</v>
      </c>
      <c r="G1591" s="114" t="s">
        <v>38</v>
      </c>
      <c r="H1591" s="114" t="s">
        <v>21</v>
      </c>
      <c r="I1591" s="136">
        <v>7126.2</v>
      </c>
      <c r="J1591" s="114">
        <v>0</v>
      </c>
      <c r="K1591" s="136">
        <v>7126.2</v>
      </c>
      <c r="L1591" s="283">
        <v>7126.2</v>
      </c>
      <c r="M1591" s="283"/>
      <c r="N1591" s="136">
        <f t="shared" si="101"/>
        <v>0</v>
      </c>
      <c r="O1591" s="269" t="s">
        <v>1460</v>
      </c>
      <c r="P1591" s="269"/>
      <c r="XFC1591"/>
    </row>
    <row r="1592" s="84" customFormat="1" spans="1:16383">
      <c r="A1592" s="118">
        <v>46082</v>
      </c>
      <c r="B1592" s="114" t="str">
        <f t="shared" si="100"/>
        <v>1F</v>
      </c>
      <c r="C1592" s="114" t="s">
        <v>202</v>
      </c>
      <c r="D1592" s="114" t="s">
        <v>203</v>
      </c>
      <c r="E1592" s="114" t="s">
        <v>204</v>
      </c>
      <c r="F1592" s="117" t="s">
        <v>1440</v>
      </c>
      <c r="G1592" s="114" t="s">
        <v>1461</v>
      </c>
      <c r="H1592" s="114" t="s">
        <v>23</v>
      </c>
      <c r="I1592" s="136">
        <v>637.4</v>
      </c>
      <c r="J1592" s="114">
        <v>0</v>
      </c>
      <c r="K1592" s="136">
        <v>637.4</v>
      </c>
      <c r="L1592" s="283">
        <v>637.4</v>
      </c>
      <c r="M1592" s="283"/>
      <c r="N1592" s="136">
        <f t="shared" si="101"/>
        <v>0</v>
      </c>
      <c r="O1592" s="269" t="s">
        <v>1462</v>
      </c>
      <c r="P1592" s="269"/>
      <c r="XFC1592"/>
    </row>
    <row r="1593" s="84" customFormat="1" spans="1:16383">
      <c r="A1593" s="118">
        <v>46082</v>
      </c>
      <c r="B1593" s="114" t="str">
        <f t="shared" si="100"/>
        <v>1F</v>
      </c>
      <c r="C1593" s="114" t="s">
        <v>202</v>
      </c>
      <c r="D1593" s="114" t="s">
        <v>203</v>
      </c>
      <c r="E1593" s="114" t="s">
        <v>204</v>
      </c>
      <c r="F1593" s="117" t="s">
        <v>1440</v>
      </c>
      <c r="G1593" s="114" t="s">
        <v>1174</v>
      </c>
      <c r="H1593" s="114" t="s">
        <v>23</v>
      </c>
      <c r="I1593" s="136">
        <v>3877.5</v>
      </c>
      <c r="J1593" s="114">
        <v>0</v>
      </c>
      <c r="K1593" s="136">
        <v>3877.5</v>
      </c>
      <c r="L1593" s="283">
        <v>3877.5</v>
      </c>
      <c r="M1593" s="283"/>
      <c r="N1593" s="136">
        <f t="shared" si="101"/>
        <v>0</v>
      </c>
      <c r="O1593" s="269" t="s">
        <v>1462</v>
      </c>
      <c r="P1593" s="269"/>
      <c r="XFC1593"/>
    </row>
    <row r="1594" s="84" customFormat="1" spans="1:16383">
      <c r="A1594" s="118">
        <v>46082</v>
      </c>
      <c r="B1594" s="114" t="str">
        <f t="shared" si="100"/>
        <v>1F</v>
      </c>
      <c r="C1594" s="114" t="s">
        <v>202</v>
      </c>
      <c r="D1594" s="114" t="s">
        <v>203</v>
      </c>
      <c r="E1594" s="114" t="s">
        <v>204</v>
      </c>
      <c r="F1594" s="117" t="s">
        <v>1440</v>
      </c>
      <c r="G1594" s="114" t="s">
        <v>1461</v>
      </c>
      <c r="H1594" s="114" t="s">
        <v>21</v>
      </c>
      <c r="I1594" s="136">
        <v>892.36</v>
      </c>
      <c r="J1594" s="114">
        <v>0</v>
      </c>
      <c r="K1594" s="136">
        <v>892.36</v>
      </c>
      <c r="L1594" s="283">
        <v>892.36</v>
      </c>
      <c r="M1594" s="283"/>
      <c r="N1594" s="136">
        <f t="shared" si="101"/>
        <v>0</v>
      </c>
      <c r="O1594" s="269" t="s">
        <v>1462</v>
      </c>
      <c r="P1594" s="269"/>
      <c r="XFC1594"/>
    </row>
    <row r="1595" s="84" customFormat="1" spans="1:16383">
      <c r="A1595" s="118">
        <v>46082</v>
      </c>
      <c r="B1595" s="114" t="str">
        <f t="shared" si="100"/>
        <v>1F</v>
      </c>
      <c r="C1595" s="114" t="s">
        <v>202</v>
      </c>
      <c r="D1595" s="114" t="s">
        <v>203</v>
      </c>
      <c r="E1595" s="114" t="s">
        <v>204</v>
      </c>
      <c r="F1595" s="117" t="s">
        <v>1440</v>
      </c>
      <c r="G1595" s="114" t="s">
        <v>1174</v>
      </c>
      <c r="H1595" s="114" t="s">
        <v>21</v>
      </c>
      <c r="I1595" s="136">
        <v>5428.5</v>
      </c>
      <c r="J1595" s="114">
        <v>0</v>
      </c>
      <c r="K1595" s="136">
        <v>5428.5</v>
      </c>
      <c r="L1595" s="283">
        <v>5428.5</v>
      </c>
      <c r="M1595" s="283"/>
      <c r="N1595" s="136">
        <f t="shared" si="101"/>
        <v>0</v>
      </c>
      <c r="O1595" s="269" t="s">
        <v>1462</v>
      </c>
      <c r="P1595" s="269"/>
      <c r="XFC1595"/>
    </row>
    <row r="1596" s="84" customFormat="1" spans="1:16383">
      <c r="A1596" s="118">
        <v>46082</v>
      </c>
      <c r="B1596" s="114" t="str">
        <f t="shared" si="100"/>
        <v>1F</v>
      </c>
      <c r="C1596" s="114" t="s">
        <v>213</v>
      </c>
      <c r="D1596" s="114" t="s">
        <v>214</v>
      </c>
      <c r="E1596" s="114" t="s">
        <v>215</v>
      </c>
      <c r="F1596" s="117" t="s">
        <v>1440</v>
      </c>
      <c r="G1596" s="114" t="s">
        <v>1174</v>
      </c>
      <c r="H1596" s="114" t="s">
        <v>23</v>
      </c>
      <c r="I1596" s="136">
        <v>8881</v>
      </c>
      <c r="J1596" s="114">
        <v>0</v>
      </c>
      <c r="K1596" s="136">
        <v>8881</v>
      </c>
      <c r="L1596" s="283">
        <v>8881</v>
      </c>
      <c r="M1596" s="283"/>
      <c r="N1596" s="136">
        <f t="shared" si="101"/>
        <v>0</v>
      </c>
      <c r="O1596" s="269" t="s">
        <v>1463</v>
      </c>
      <c r="P1596" s="269"/>
      <c r="XFC1596"/>
    </row>
    <row r="1597" s="84" customFormat="1" spans="1:16383">
      <c r="A1597" s="118">
        <v>46082</v>
      </c>
      <c r="B1597" s="114" t="str">
        <f t="shared" si="100"/>
        <v>1F</v>
      </c>
      <c r="C1597" s="114" t="s">
        <v>213</v>
      </c>
      <c r="D1597" s="114" t="s">
        <v>214</v>
      </c>
      <c r="E1597" s="114" t="s">
        <v>215</v>
      </c>
      <c r="F1597" s="117" t="s">
        <v>1440</v>
      </c>
      <c r="G1597" s="114" t="s">
        <v>1174</v>
      </c>
      <c r="H1597" s="114" t="s">
        <v>21</v>
      </c>
      <c r="I1597" s="136">
        <v>8881</v>
      </c>
      <c r="J1597" s="114">
        <v>0</v>
      </c>
      <c r="K1597" s="136">
        <v>8881</v>
      </c>
      <c r="L1597" s="283">
        <v>8881</v>
      </c>
      <c r="M1597" s="283"/>
      <c r="N1597" s="136">
        <f t="shared" si="101"/>
        <v>0</v>
      </c>
      <c r="O1597" s="269" t="s">
        <v>1463</v>
      </c>
      <c r="P1597" s="269"/>
      <c r="XFC1597"/>
    </row>
    <row r="1598" s="84" customFormat="1" spans="1:16383">
      <c r="A1598" s="118">
        <v>46082</v>
      </c>
      <c r="B1598" s="114" t="str">
        <f t="shared" si="100"/>
        <v>1F</v>
      </c>
      <c r="C1598" s="114" t="s">
        <v>221</v>
      </c>
      <c r="D1598" s="114" t="s">
        <v>1138</v>
      </c>
      <c r="E1598" s="114" t="s">
        <v>223</v>
      </c>
      <c r="F1598" s="117" t="s">
        <v>1440</v>
      </c>
      <c r="G1598" s="114" t="s">
        <v>1448</v>
      </c>
      <c r="H1598" s="114" t="s">
        <v>23</v>
      </c>
      <c r="I1598" s="136">
        <v>2640</v>
      </c>
      <c r="J1598" s="114">
        <v>0</v>
      </c>
      <c r="K1598" s="136">
        <v>2640</v>
      </c>
      <c r="L1598" s="283">
        <v>2640</v>
      </c>
      <c r="M1598" s="283"/>
      <c r="N1598" s="136">
        <f t="shared" si="101"/>
        <v>0</v>
      </c>
      <c r="O1598" s="269" t="s">
        <v>1326</v>
      </c>
      <c r="P1598" s="269"/>
      <c r="XFC1598"/>
    </row>
    <row r="1599" s="84" customFormat="1" spans="1:16383">
      <c r="A1599" s="118">
        <v>46082</v>
      </c>
      <c r="B1599" s="114" t="str">
        <f t="shared" si="100"/>
        <v>1F</v>
      </c>
      <c r="C1599" s="114" t="s">
        <v>221</v>
      </c>
      <c r="D1599" s="114" t="s">
        <v>1138</v>
      </c>
      <c r="E1599" s="114" t="s">
        <v>223</v>
      </c>
      <c r="F1599" s="117" t="s">
        <v>1440</v>
      </c>
      <c r="G1599" s="114" t="s">
        <v>1338</v>
      </c>
      <c r="H1599" s="114" t="s">
        <v>23</v>
      </c>
      <c r="I1599" s="136">
        <v>2640</v>
      </c>
      <c r="J1599" s="114">
        <v>0</v>
      </c>
      <c r="K1599" s="136">
        <v>2640</v>
      </c>
      <c r="L1599" s="283">
        <v>2640</v>
      </c>
      <c r="M1599" s="283"/>
      <c r="N1599" s="136">
        <f t="shared" si="101"/>
        <v>0</v>
      </c>
      <c r="O1599" s="269" t="s">
        <v>1326</v>
      </c>
      <c r="P1599" s="269"/>
      <c r="XFC1599"/>
    </row>
    <row r="1600" s="84" customFormat="1" spans="1:16383">
      <c r="A1600" s="118">
        <v>46082</v>
      </c>
      <c r="B1600" s="114" t="str">
        <f t="shared" si="100"/>
        <v>1F</v>
      </c>
      <c r="C1600" s="114" t="s">
        <v>221</v>
      </c>
      <c r="D1600" s="114" t="s">
        <v>1138</v>
      </c>
      <c r="E1600" s="114" t="s">
        <v>223</v>
      </c>
      <c r="F1600" s="117" t="s">
        <v>1440</v>
      </c>
      <c r="G1600" s="114" t="s">
        <v>1174</v>
      </c>
      <c r="H1600" s="114" t="s">
        <v>23</v>
      </c>
      <c r="I1600" s="136">
        <v>2640</v>
      </c>
      <c r="J1600" s="114">
        <v>0</v>
      </c>
      <c r="K1600" s="136">
        <v>2640</v>
      </c>
      <c r="L1600" s="283">
        <v>2640</v>
      </c>
      <c r="M1600" s="283"/>
      <c r="N1600" s="136">
        <f t="shared" si="101"/>
        <v>0</v>
      </c>
      <c r="O1600" s="269" t="s">
        <v>1326</v>
      </c>
      <c r="P1600" s="269"/>
      <c r="XFC1600"/>
    </row>
    <row r="1601" s="84" customFormat="1" spans="1:16383">
      <c r="A1601" s="118">
        <v>46082</v>
      </c>
      <c r="B1601" s="114" t="str">
        <f t="shared" si="100"/>
        <v>1F</v>
      </c>
      <c r="C1601" s="114" t="s">
        <v>221</v>
      </c>
      <c r="D1601" s="114" t="s">
        <v>1138</v>
      </c>
      <c r="E1601" s="114" t="s">
        <v>223</v>
      </c>
      <c r="F1601" s="117" t="s">
        <v>1440</v>
      </c>
      <c r="G1601" s="114" t="s">
        <v>1448</v>
      </c>
      <c r="H1601" s="114" t="s">
        <v>21</v>
      </c>
      <c r="I1601" s="136">
        <v>6360</v>
      </c>
      <c r="J1601" s="114">
        <v>0</v>
      </c>
      <c r="K1601" s="136">
        <v>6360</v>
      </c>
      <c r="L1601" s="283">
        <v>6360</v>
      </c>
      <c r="M1601" s="283"/>
      <c r="N1601" s="136">
        <f t="shared" si="101"/>
        <v>0</v>
      </c>
      <c r="O1601" s="269" t="s">
        <v>1326</v>
      </c>
      <c r="P1601" s="269"/>
      <c r="XFC1601"/>
    </row>
    <row r="1602" s="84" customFormat="1" spans="1:16383">
      <c r="A1602" s="118">
        <v>46082</v>
      </c>
      <c r="B1602" s="114" t="str">
        <f t="shared" si="100"/>
        <v>1F</v>
      </c>
      <c r="C1602" s="114" t="s">
        <v>221</v>
      </c>
      <c r="D1602" s="114" t="s">
        <v>1138</v>
      </c>
      <c r="E1602" s="114" t="s">
        <v>223</v>
      </c>
      <c r="F1602" s="117" t="s">
        <v>1440</v>
      </c>
      <c r="G1602" s="114" t="s">
        <v>1338</v>
      </c>
      <c r="H1602" s="114" t="s">
        <v>21</v>
      </c>
      <c r="I1602" s="136">
        <v>6360</v>
      </c>
      <c r="J1602" s="114">
        <v>0</v>
      </c>
      <c r="K1602" s="136">
        <v>6360</v>
      </c>
      <c r="L1602" s="283">
        <v>6360</v>
      </c>
      <c r="M1602" s="283"/>
      <c r="N1602" s="136">
        <f t="shared" si="101"/>
        <v>0</v>
      </c>
      <c r="O1602" s="269" t="s">
        <v>1326</v>
      </c>
      <c r="P1602" s="269"/>
      <c r="XFC1602"/>
    </row>
    <row r="1603" s="84" customFormat="1" spans="1:16383">
      <c r="A1603" s="118">
        <v>46082</v>
      </c>
      <c r="B1603" s="114" t="str">
        <f t="shared" si="100"/>
        <v>1F</v>
      </c>
      <c r="C1603" s="114" t="s">
        <v>221</v>
      </c>
      <c r="D1603" s="114" t="s">
        <v>1138</v>
      </c>
      <c r="E1603" s="114" t="s">
        <v>223</v>
      </c>
      <c r="F1603" s="117" t="s">
        <v>1440</v>
      </c>
      <c r="G1603" s="114" t="s">
        <v>1174</v>
      </c>
      <c r="H1603" s="114" t="s">
        <v>21</v>
      </c>
      <c r="I1603" s="136">
        <v>6360</v>
      </c>
      <c r="J1603" s="114">
        <v>0</v>
      </c>
      <c r="K1603" s="136">
        <v>6360</v>
      </c>
      <c r="L1603" s="283">
        <v>6360</v>
      </c>
      <c r="M1603" s="283"/>
      <c r="N1603" s="136">
        <f t="shared" si="101"/>
        <v>0</v>
      </c>
      <c r="O1603" s="269" t="s">
        <v>1326</v>
      </c>
      <c r="P1603" s="269"/>
      <c r="XFC1603"/>
    </row>
    <row r="1604" s="84" customFormat="1" spans="1:16383">
      <c r="A1604" s="118">
        <v>46082</v>
      </c>
      <c r="B1604" s="114" t="str">
        <f t="shared" si="100"/>
        <v>1F</v>
      </c>
      <c r="C1604" s="114" t="s">
        <v>226</v>
      </c>
      <c r="D1604" s="114" t="s">
        <v>227</v>
      </c>
      <c r="E1604" s="114" t="s">
        <v>228</v>
      </c>
      <c r="F1604" s="117" t="s">
        <v>1440</v>
      </c>
      <c r="G1604" s="114" t="s">
        <v>1174</v>
      </c>
      <c r="H1604" s="114" t="s">
        <v>23</v>
      </c>
      <c r="I1604" s="136">
        <v>3905</v>
      </c>
      <c r="J1604" s="114"/>
      <c r="K1604" s="136">
        <v>3905</v>
      </c>
      <c r="L1604" s="283">
        <v>3905</v>
      </c>
      <c r="M1604" s="283"/>
      <c r="N1604" s="136">
        <f t="shared" si="101"/>
        <v>0</v>
      </c>
      <c r="O1604" s="269" t="s">
        <v>1464</v>
      </c>
      <c r="P1604" s="269" t="s">
        <v>1465</v>
      </c>
      <c r="XFC1604"/>
    </row>
    <row r="1605" s="84" customFormat="1" spans="1:16383">
      <c r="A1605" s="118">
        <v>46082</v>
      </c>
      <c r="B1605" s="114" t="str">
        <f t="shared" si="100"/>
        <v>1F</v>
      </c>
      <c r="C1605" s="114" t="s">
        <v>226</v>
      </c>
      <c r="D1605" s="114" t="s">
        <v>227</v>
      </c>
      <c r="E1605" s="114" t="s">
        <v>228</v>
      </c>
      <c r="F1605" s="117" t="s">
        <v>1440</v>
      </c>
      <c r="G1605" s="114" t="s">
        <v>1174</v>
      </c>
      <c r="H1605" s="114" t="s">
        <v>21</v>
      </c>
      <c r="I1605" s="136">
        <v>18264.75</v>
      </c>
      <c r="J1605" s="136">
        <v>4169.75</v>
      </c>
      <c r="K1605" s="136">
        <f>I1605-J1605</f>
        <v>14095</v>
      </c>
      <c r="L1605" s="283">
        <v>14095</v>
      </c>
      <c r="M1605" s="283"/>
      <c r="N1605" s="136">
        <f t="shared" si="101"/>
        <v>0</v>
      </c>
      <c r="O1605" s="269" t="s">
        <v>1464</v>
      </c>
      <c r="P1605" s="269"/>
      <c r="XFC1605"/>
    </row>
    <row r="1606" s="84" customFormat="1" spans="1:16383">
      <c r="A1606" s="118">
        <v>46082</v>
      </c>
      <c r="B1606" s="114" t="str">
        <f t="shared" si="100"/>
        <v>1F</v>
      </c>
      <c r="C1606" s="114" t="s">
        <v>253</v>
      </c>
      <c r="D1606" s="114" t="s">
        <v>258</v>
      </c>
      <c r="E1606" s="114" t="s">
        <v>259</v>
      </c>
      <c r="F1606" s="117" t="s">
        <v>1440</v>
      </c>
      <c r="G1606" s="114" t="s">
        <v>1174</v>
      </c>
      <c r="H1606" s="114" t="s">
        <v>23</v>
      </c>
      <c r="I1606" s="136">
        <v>8195</v>
      </c>
      <c r="J1606" s="114">
        <v>0</v>
      </c>
      <c r="K1606" s="136">
        <v>8195</v>
      </c>
      <c r="L1606" s="283">
        <v>8195</v>
      </c>
      <c r="M1606" s="283"/>
      <c r="N1606" s="136">
        <f t="shared" si="101"/>
        <v>0</v>
      </c>
      <c r="O1606" s="269" t="s">
        <v>1177</v>
      </c>
      <c r="P1606" s="269"/>
      <c r="XFC1606"/>
    </row>
    <row r="1607" s="84" customFormat="1" spans="1:16383">
      <c r="A1607" s="118">
        <v>46082</v>
      </c>
      <c r="B1607" s="114" t="str">
        <f t="shared" si="100"/>
        <v>1F</v>
      </c>
      <c r="C1607" s="114" t="s">
        <v>253</v>
      </c>
      <c r="D1607" s="114" t="s">
        <v>258</v>
      </c>
      <c r="E1607" s="114" t="s">
        <v>259</v>
      </c>
      <c r="F1607" s="117" t="s">
        <v>1440</v>
      </c>
      <c r="G1607" s="114" t="s">
        <v>1174</v>
      </c>
      <c r="H1607" s="114" t="s">
        <v>21</v>
      </c>
      <c r="I1607" s="136">
        <v>5960</v>
      </c>
      <c r="J1607" s="114">
        <v>0</v>
      </c>
      <c r="K1607" s="136">
        <v>5960</v>
      </c>
      <c r="L1607" s="283">
        <v>5960</v>
      </c>
      <c r="M1607" s="283"/>
      <c r="N1607" s="136">
        <f t="shared" si="101"/>
        <v>0</v>
      </c>
      <c r="O1607" s="269" t="s">
        <v>1177</v>
      </c>
      <c r="P1607" s="269"/>
      <c r="XFC1607"/>
    </row>
    <row r="1608" s="84" customFormat="1" spans="1:16383">
      <c r="A1608" s="118">
        <v>46082</v>
      </c>
      <c r="B1608" s="114" t="str">
        <f t="shared" si="100"/>
        <v>1F</v>
      </c>
      <c r="C1608" s="114" t="s">
        <v>276</v>
      </c>
      <c r="D1608" s="114" t="s">
        <v>277</v>
      </c>
      <c r="E1608" s="114" t="s">
        <v>278</v>
      </c>
      <c r="F1608" s="117" t="s">
        <v>1440</v>
      </c>
      <c r="G1608" s="114" t="s">
        <v>1338</v>
      </c>
      <c r="H1608" s="114" t="s">
        <v>23</v>
      </c>
      <c r="I1608" s="136">
        <v>6016</v>
      </c>
      <c r="J1608" s="114">
        <v>0</v>
      </c>
      <c r="K1608" s="136">
        <v>6016</v>
      </c>
      <c r="L1608" s="283">
        <v>6016</v>
      </c>
      <c r="M1608" s="283"/>
      <c r="N1608" s="136">
        <f t="shared" si="101"/>
        <v>0</v>
      </c>
      <c r="O1608" s="269" t="s">
        <v>1466</v>
      </c>
      <c r="P1608" s="269"/>
      <c r="XFC1608"/>
    </row>
    <row r="1609" s="84" customFormat="1" spans="1:16383">
      <c r="A1609" s="118">
        <v>46082</v>
      </c>
      <c r="B1609" s="114" t="str">
        <f t="shared" si="100"/>
        <v>1F</v>
      </c>
      <c r="C1609" s="114" t="s">
        <v>276</v>
      </c>
      <c r="D1609" s="114" t="s">
        <v>277</v>
      </c>
      <c r="E1609" s="114" t="s">
        <v>278</v>
      </c>
      <c r="F1609" s="117" t="s">
        <v>1440</v>
      </c>
      <c r="G1609" s="114" t="s">
        <v>1174</v>
      </c>
      <c r="H1609" s="114" t="s">
        <v>23</v>
      </c>
      <c r="I1609" s="136">
        <v>6016</v>
      </c>
      <c r="J1609" s="114">
        <v>0</v>
      </c>
      <c r="K1609" s="136">
        <v>6016</v>
      </c>
      <c r="L1609" s="283">
        <v>6016</v>
      </c>
      <c r="M1609" s="283"/>
      <c r="N1609" s="136">
        <f t="shared" si="101"/>
        <v>0</v>
      </c>
      <c r="O1609" s="269" t="s">
        <v>1466</v>
      </c>
      <c r="P1609" s="269"/>
      <c r="XFC1609"/>
    </row>
    <row r="1610" s="84" customFormat="1" spans="1:16383">
      <c r="A1610" s="118">
        <v>46082</v>
      </c>
      <c r="B1610" s="114" t="str">
        <f t="shared" si="100"/>
        <v>1F</v>
      </c>
      <c r="C1610" s="114" t="s">
        <v>276</v>
      </c>
      <c r="D1610" s="114" t="s">
        <v>277</v>
      </c>
      <c r="E1610" s="114" t="s">
        <v>278</v>
      </c>
      <c r="F1610" s="117" t="s">
        <v>1440</v>
      </c>
      <c r="G1610" s="114" t="s">
        <v>1338</v>
      </c>
      <c r="H1610" s="114" t="s">
        <v>21</v>
      </c>
      <c r="I1610" s="136">
        <v>5922</v>
      </c>
      <c r="J1610" s="114">
        <v>0</v>
      </c>
      <c r="K1610" s="136">
        <v>5922</v>
      </c>
      <c r="L1610" s="283">
        <v>5922</v>
      </c>
      <c r="M1610" s="283"/>
      <c r="N1610" s="136">
        <f t="shared" si="101"/>
        <v>0</v>
      </c>
      <c r="O1610" s="269" t="s">
        <v>1466</v>
      </c>
      <c r="P1610" s="269"/>
      <c r="XFC1610"/>
    </row>
    <row r="1611" s="84" customFormat="1" spans="1:16383">
      <c r="A1611" s="118">
        <v>46082</v>
      </c>
      <c r="B1611" s="114" t="str">
        <f t="shared" si="100"/>
        <v>1F</v>
      </c>
      <c r="C1611" s="114" t="s">
        <v>276</v>
      </c>
      <c r="D1611" s="114" t="s">
        <v>277</v>
      </c>
      <c r="E1611" s="114" t="s">
        <v>278</v>
      </c>
      <c r="F1611" s="117" t="s">
        <v>1440</v>
      </c>
      <c r="G1611" s="114" t="s">
        <v>1174</v>
      </c>
      <c r="H1611" s="114" t="s">
        <v>21</v>
      </c>
      <c r="I1611" s="136">
        <v>5922</v>
      </c>
      <c r="J1611" s="114">
        <v>0</v>
      </c>
      <c r="K1611" s="136">
        <v>5922</v>
      </c>
      <c r="L1611" s="283">
        <v>5922</v>
      </c>
      <c r="M1611" s="283"/>
      <c r="N1611" s="136">
        <f t="shared" si="101"/>
        <v>0</v>
      </c>
      <c r="O1611" s="269" t="s">
        <v>1466</v>
      </c>
      <c r="P1611" s="269"/>
      <c r="XFC1611"/>
    </row>
    <row r="1612" s="84" customFormat="1" spans="1:16383">
      <c r="A1612" s="118">
        <v>46082</v>
      </c>
      <c r="B1612" s="114" t="str">
        <f t="shared" si="100"/>
        <v>1F</v>
      </c>
      <c r="C1612" s="114" t="s">
        <v>279</v>
      </c>
      <c r="D1612" s="114" t="s">
        <v>280</v>
      </c>
      <c r="E1612" s="114" t="s">
        <v>1467</v>
      </c>
      <c r="F1612" s="117" t="s">
        <v>1440</v>
      </c>
      <c r="G1612" s="114" t="s">
        <v>1448</v>
      </c>
      <c r="H1612" s="114" t="s">
        <v>23</v>
      </c>
      <c r="I1612" s="136">
        <v>11715</v>
      </c>
      <c r="J1612" s="114">
        <v>0</v>
      </c>
      <c r="K1612" s="136">
        <v>11715</v>
      </c>
      <c r="L1612" s="283">
        <v>11715</v>
      </c>
      <c r="M1612" s="283"/>
      <c r="N1612" s="136">
        <f t="shared" si="101"/>
        <v>0</v>
      </c>
      <c r="O1612" s="269" t="s">
        <v>1468</v>
      </c>
      <c r="P1612" s="269"/>
      <c r="XFC1612"/>
    </row>
    <row r="1613" s="84" customFormat="1" spans="1:16383">
      <c r="A1613" s="118">
        <v>46082</v>
      </c>
      <c r="B1613" s="114" t="str">
        <f t="shared" si="100"/>
        <v>1F</v>
      </c>
      <c r="C1613" s="114" t="s">
        <v>279</v>
      </c>
      <c r="D1613" s="114" t="s">
        <v>280</v>
      </c>
      <c r="E1613" s="114" t="s">
        <v>1467</v>
      </c>
      <c r="F1613" s="117" t="s">
        <v>1440</v>
      </c>
      <c r="G1613" s="114" t="s">
        <v>1338</v>
      </c>
      <c r="H1613" s="114" t="s">
        <v>23</v>
      </c>
      <c r="I1613" s="136">
        <v>11715</v>
      </c>
      <c r="J1613" s="114">
        <v>0</v>
      </c>
      <c r="K1613" s="136">
        <v>11715</v>
      </c>
      <c r="L1613" s="283">
        <v>11715</v>
      </c>
      <c r="M1613" s="283"/>
      <c r="N1613" s="136">
        <f t="shared" si="101"/>
        <v>0</v>
      </c>
      <c r="O1613" s="269" t="s">
        <v>1468</v>
      </c>
      <c r="P1613" s="269"/>
      <c r="XFC1613"/>
    </row>
    <row r="1614" s="84" customFormat="1" spans="1:16383">
      <c r="A1614" s="118">
        <v>46082</v>
      </c>
      <c r="B1614" s="114" t="str">
        <f t="shared" si="100"/>
        <v>1F</v>
      </c>
      <c r="C1614" s="114" t="s">
        <v>279</v>
      </c>
      <c r="D1614" s="114" t="s">
        <v>280</v>
      </c>
      <c r="E1614" s="114" t="s">
        <v>1467</v>
      </c>
      <c r="F1614" s="117" t="s">
        <v>1440</v>
      </c>
      <c r="G1614" s="114" t="s">
        <v>1174</v>
      </c>
      <c r="H1614" s="114" t="s">
        <v>23</v>
      </c>
      <c r="I1614" s="136">
        <v>11715</v>
      </c>
      <c r="J1614" s="114">
        <v>0</v>
      </c>
      <c r="K1614" s="136">
        <v>11715</v>
      </c>
      <c r="L1614" s="283">
        <v>11715</v>
      </c>
      <c r="M1614" s="283"/>
      <c r="N1614" s="136">
        <f t="shared" si="101"/>
        <v>0</v>
      </c>
      <c r="O1614" s="269" t="s">
        <v>1468</v>
      </c>
      <c r="P1614" s="269"/>
      <c r="XFC1614"/>
    </row>
    <row r="1615" s="84" customFormat="1" spans="1:16383">
      <c r="A1615" s="118">
        <v>46082</v>
      </c>
      <c r="B1615" s="114" t="str">
        <f t="shared" si="100"/>
        <v>1F</v>
      </c>
      <c r="C1615" s="114" t="s">
        <v>279</v>
      </c>
      <c r="D1615" s="114" t="s">
        <v>280</v>
      </c>
      <c r="E1615" s="114" t="s">
        <v>1467</v>
      </c>
      <c r="F1615" s="117" t="s">
        <v>1440</v>
      </c>
      <c r="G1615" s="114" t="s">
        <v>1448</v>
      </c>
      <c r="H1615" s="114" t="s">
        <v>21</v>
      </c>
      <c r="I1615" s="136">
        <v>15975</v>
      </c>
      <c r="J1615" s="114">
        <v>0</v>
      </c>
      <c r="K1615" s="136">
        <v>15975</v>
      </c>
      <c r="L1615" s="283">
        <v>15975</v>
      </c>
      <c r="M1615" s="283"/>
      <c r="N1615" s="136">
        <f t="shared" si="101"/>
        <v>0</v>
      </c>
      <c r="O1615" s="269" t="s">
        <v>1468</v>
      </c>
      <c r="P1615" s="269"/>
      <c r="XFC1615"/>
    </row>
    <row r="1616" s="84" customFormat="1" spans="1:16383">
      <c r="A1616" s="118">
        <v>46082</v>
      </c>
      <c r="B1616" s="114" t="str">
        <f t="shared" si="100"/>
        <v>1F</v>
      </c>
      <c r="C1616" s="114" t="s">
        <v>279</v>
      </c>
      <c r="D1616" s="114" t="s">
        <v>280</v>
      </c>
      <c r="E1616" s="114" t="s">
        <v>1467</v>
      </c>
      <c r="F1616" s="117" t="s">
        <v>1440</v>
      </c>
      <c r="G1616" s="114" t="s">
        <v>1338</v>
      </c>
      <c r="H1616" s="114" t="s">
        <v>21</v>
      </c>
      <c r="I1616" s="136">
        <v>15975</v>
      </c>
      <c r="J1616" s="114">
        <v>0</v>
      </c>
      <c r="K1616" s="136">
        <v>15975</v>
      </c>
      <c r="L1616" s="283">
        <v>15975</v>
      </c>
      <c r="M1616" s="283"/>
      <c r="N1616" s="136">
        <f t="shared" si="101"/>
        <v>0</v>
      </c>
      <c r="O1616" s="269" t="s">
        <v>1468</v>
      </c>
      <c r="P1616" s="269"/>
      <c r="XFC1616"/>
    </row>
    <row r="1617" s="84" customFormat="1" spans="1:16383">
      <c r="A1617" s="118">
        <v>46082</v>
      </c>
      <c r="B1617" s="114" t="str">
        <f t="shared" si="100"/>
        <v>1F</v>
      </c>
      <c r="C1617" s="114" t="s">
        <v>279</v>
      </c>
      <c r="D1617" s="114" t="s">
        <v>280</v>
      </c>
      <c r="E1617" s="114" t="s">
        <v>1467</v>
      </c>
      <c r="F1617" s="117" t="s">
        <v>1440</v>
      </c>
      <c r="G1617" s="114" t="s">
        <v>1174</v>
      </c>
      <c r="H1617" s="114" t="s">
        <v>21</v>
      </c>
      <c r="I1617" s="136">
        <v>15975</v>
      </c>
      <c r="J1617" s="114">
        <v>0</v>
      </c>
      <c r="K1617" s="136">
        <v>15975</v>
      </c>
      <c r="L1617" s="283">
        <v>15975</v>
      </c>
      <c r="M1617" s="283"/>
      <c r="N1617" s="136">
        <f t="shared" si="101"/>
        <v>0</v>
      </c>
      <c r="O1617" s="269" t="s">
        <v>1468</v>
      </c>
      <c r="P1617" s="269"/>
      <c r="XFC1617"/>
    </row>
    <row r="1618" s="84" customFormat="1" spans="1:16383">
      <c r="A1618" s="118">
        <v>46082</v>
      </c>
      <c r="B1618" s="114" t="str">
        <f t="shared" si="100"/>
        <v>2F</v>
      </c>
      <c r="C1618" s="114" t="s">
        <v>302</v>
      </c>
      <c r="D1618" s="114" t="s">
        <v>303</v>
      </c>
      <c r="E1618" s="114" t="s">
        <v>304</v>
      </c>
      <c r="F1618" s="117" t="s">
        <v>1440</v>
      </c>
      <c r="G1618" s="114" t="s">
        <v>1448</v>
      </c>
      <c r="H1618" s="114" t="s">
        <v>23</v>
      </c>
      <c r="I1618" s="136">
        <v>1430</v>
      </c>
      <c r="J1618" s="114">
        <v>0</v>
      </c>
      <c r="K1618" s="136">
        <v>1430</v>
      </c>
      <c r="L1618" s="283">
        <v>1430</v>
      </c>
      <c r="M1618" s="283"/>
      <c r="N1618" s="136">
        <f t="shared" si="101"/>
        <v>0</v>
      </c>
      <c r="O1618" s="269" t="s">
        <v>1469</v>
      </c>
      <c r="P1618" s="269"/>
      <c r="XFC1618"/>
    </row>
    <row r="1619" s="84" customFormat="1" spans="1:16383">
      <c r="A1619" s="118">
        <v>46082</v>
      </c>
      <c r="B1619" s="114" t="str">
        <f t="shared" si="100"/>
        <v>2F</v>
      </c>
      <c r="C1619" s="114" t="s">
        <v>302</v>
      </c>
      <c r="D1619" s="114" t="s">
        <v>303</v>
      </c>
      <c r="E1619" s="114" t="s">
        <v>304</v>
      </c>
      <c r="F1619" s="117" t="s">
        <v>1440</v>
      </c>
      <c r="G1619" s="114" t="s">
        <v>1338</v>
      </c>
      <c r="H1619" s="114" t="s">
        <v>23</v>
      </c>
      <c r="I1619" s="136">
        <v>1430</v>
      </c>
      <c r="J1619" s="114">
        <v>0</v>
      </c>
      <c r="K1619" s="136">
        <v>1430</v>
      </c>
      <c r="L1619" s="283">
        <v>1430</v>
      </c>
      <c r="M1619" s="283"/>
      <c r="N1619" s="136">
        <f t="shared" si="101"/>
        <v>0</v>
      </c>
      <c r="O1619" s="269" t="s">
        <v>1469</v>
      </c>
      <c r="P1619" s="269"/>
      <c r="XFC1619"/>
    </row>
    <row r="1620" s="84" customFormat="1" spans="1:16383">
      <c r="A1620" s="118">
        <v>46082</v>
      </c>
      <c r="B1620" s="114" t="str">
        <f t="shared" si="100"/>
        <v>2F</v>
      </c>
      <c r="C1620" s="114" t="s">
        <v>302</v>
      </c>
      <c r="D1620" s="114" t="s">
        <v>303</v>
      </c>
      <c r="E1620" s="114" t="s">
        <v>304</v>
      </c>
      <c r="F1620" s="117" t="s">
        <v>1440</v>
      </c>
      <c r="G1620" s="114" t="s">
        <v>1174</v>
      </c>
      <c r="H1620" s="114" t="s">
        <v>23</v>
      </c>
      <c r="I1620" s="136">
        <v>1430</v>
      </c>
      <c r="J1620" s="114">
        <v>0</v>
      </c>
      <c r="K1620" s="136">
        <v>1430</v>
      </c>
      <c r="L1620" s="283">
        <v>1430</v>
      </c>
      <c r="M1620" s="283"/>
      <c r="N1620" s="136">
        <f t="shared" si="101"/>
        <v>0</v>
      </c>
      <c r="O1620" s="269" t="s">
        <v>1469</v>
      </c>
      <c r="P1620" s="269"/>
      <c r="XFC1620"/>
    </row>
    <row r="1621" s="84" customFormat="1" spans="1:16383">
      <c r="A1621" s="118">
        <v>46082</v>
      </c>
      <c r="B1621" s="114" t="str">
        <f t="shared" si="100"/>
        <v>2F</v>
      </c>
      <c r="C1621" s="114" t="s">
        <v>302</v>
      </c>
      <c r="D1621" s="114" t="s">
        <v>303</v>
      </c>
      <c r="E1621" s="114" t="s">
        <v>304</v>
      </c>
      <c r="F1621" s="117" t="s">
        <v>1440</v>
      </c>
      <c r="G1621" s="114" t="s">
        <v>1448</v>
      </c>
      <c r="H1621" s="114" t="s">
        <v>21</v>
      </c>
      <c r="I1621" s="136">
        <v>3569.8</v>
      </c>
      <c r="J1621" s="114">
        <v>0</v>
      </c>
      <c r="K1621" s="136">
        <v>3569.8</v>
      </c>
      <c r="L1621" s="283">
        <v>3569.8</v>
      </c>
      <c r="M1621" s="283"/>
      <c r="N1621" s="136">
        <f t="shared" si="101"/>
        <v>0</v>
      </c>
      <c r="O1621" s="269" t="s">
        <v>1469</v>
      </c>
      <c r="P1621" s="269"/>
      <c r="XFC1621"/>
    </row>
    <row r="1622" s="84" customFormat="1" spans="1:16383">
      <c r="A1622" s="118">
        <v>46082</v>
      </c>
      <c r="B1622" s="114" t="str">
        <f t="shared" si="100"/>
        <v>2F</v>
      </c>
      <c r="C1622" s="114" t="s">
        <v>302</v>
      </c>
      <c r="D1622" s="114" t="s">
        <v>303</v>
      </c>
      <c r="E1622" s="114" t="s">
        <v>304</v>
      </c>
      <c r="F1622" s="117" t="s">
        <v>1440</v>
      </c>
      <c r="G1622" s="114" t="s">
        <v>1338</v>
      </c>
      <c r="H1622" s="114" t="s">
        <v>21</v>
      </c>
      <c r="I1622" s="136">
        <v>3569.8</v>
      </c>
      <c r="J1622" s="114">
        <v>0</v>
      </c>
      <c r="K1622" s="136">
        <v>3569.8</v>
      </c>
      <c r="L1622" s="283">
        <v>3569.8</v>
      </c>
      <c r="M1622" s="283"/>
      <c r="N1622" s="136">
        <f t="shared" si="101"/>
        <v>0</v>
      </c>
      <c r="O1622" s="269" t="s">
        <v>1469</v>
      </c>
      <c r="P1622" s="269"/>
      <c r="XFC1622"/>
    </row>
    <row r="1623" s="84" customFormat="1" spans="1:16383">
      <c r="A1623" s="118">
        <v>46082</v>
      </c>
      <c r="B1623" s="114" t="str">
        <f t="shared" si="100"/>
        <v>2F</v>
      </c>
      <c r="C1623" s="114" t="s">
        <v>302</v>
      </c>
      <c r="D1623" s="114" t="s">
        <v>303</v>
      </c>
      <c r="E1623" s="114" t="s">
        <v>304</v>
      </c>
      <c r="F1623" s="117" t="s">
        <v>1440</v>
      </c>
      <c r="G1623" s="114" t="s">
        <v>1174</v>
      </c>
      <c r="H1623" s="114" t="s">
        <v>21</v>
      </c>
      <c r="I1623" s="136">
        <v>3569.8</v>
      </c>
      <c r="J1623" s="114">
        <v>0</v>
      </c>
      <c r="K1623" s="136">
        <v>3569.8</v>
      </c>
      <c r="L1623" s="283">
        <v>3569.8</v>
      </c>
      <c r="M1623" s="283"/>
      <c r="N1623" s="136">
        <f t="shared" si="101"/>
        <v>0</v>
      </c>
      <c r="O1623" s="269" t="s">
        <v>1469</v>
      </c>
      <c r="P1623" s="269"/>
      <c r="XFC1623"/>
    </row>
    <row r="1624" s="84" customFormat="1" spans="1:16383">
      <c r="A1624" s="118">
        <v>46082</v>
      </c>
      <c r="B1624" s="114" t="str">
        <f t="shared" si="100"/>
        <v>2F</v>
      </c>
      <c r="C1624" s="114" t="s">
        <v>336</v>
      </c>
      <c r="D1624" s="114" t="s">
        <v>337</v>
      </c>
      <c r="E1624" s="114" t="s">
        <v>338</v>
      </c>
      <c r="F1624" s="117" t="s">
        <v>1440</v>
      </c>
      <c r="G1624" s="114" t="s">
        <v>1448</v>
      </c>
      <c r="H1624" s="114" t="s">
        <v>23</v>
      </c>
      <c r="I1624" s="136">
        <v>4606.35</v>
      </c>
      <c r="J1624" s="114">
        <v>0</v>
      </c>
      <c r="K1624" s="136">
        <v>4606.35</v>
      </c>
      <c r="L1624" s="283">
        <v>4606.35</v>
      </c>
      <c r="M1624" s="283"/>
      <c r="N1624" s="136">
        <f t="shared" si="101"/>
        <v>0</v>
      </c>
      <c r="O1624" s="269" t="s">
        <v>1470</v>
      </c>
      <c r="P1624" s="269"/>
      <c r="XFC1624"/>
    </row>
    <row r="1625" s="84" customFormat="1" spans="1:16383">
      <c r="A1625" s="118">
        <v>46082</v>
      </c>
      <c r="B1625" s="114" t="str">
        <f t="shared" si="100"/>
        <v>2F</v>
      </c>
      <c r="C1625" s="114" t="s">
        <v>336</v>
      </c>
      <c r="D1625" s="114" t="s">
        <v>337</v>
      </c>
      <c r="E1625" s="114" t="s">
        <v>338</v>
      </c>
      <c r="F1625" s="117" t="s">
        <v>1440</v>
      </c>
      <c r="G1625" s="114" t="s">
        <v>1338</v>
      </c>
      <c r="H1625" s="114" t="s">
        <v>23</v>
      </c>
      <c r="I1625" s="136">
        <v>4606.35</v>
      </c>
      <c r="J1625" s="114">
        <v>0</v>
      </c>
      <c r="K1625" s="136">
        <v>4606.35</v>
      </c>
      <c r="L1625" s="283">
        <v>4606.35</v>
      </c>
      <c r="M1625" s="283"/>
      <c r="N1625" s="136">
        <f t="shared" si="101"/>
        <v>0</v>
      </c>
      <c r="O1625" s="269" t="s">
        <v>1470</v>
      </c>
      <c r="P1625" s="269"/>
      <c r="XFC1625"/>
    </row>
    <row r="1626" s="84" customFormat="1" spans="1:16383">
      <c r="A1626" s="118">
        <v>46082</v>
      </c>
      <c r="B1626" s="114" t="str">
        <f t="shared" si="100"/>
        <v>2F</v>
      </c>
      <c r="C1626" s="114" t="s">
        <v>336</v>
      </c>
      <c r="D1626" s="114" t="s">
        <v>337</v>
      </c>
      <c r="E1626" s="114" t="s">
        <v>338</v>
      </c>
      <c r="F1626" s="117" t="s">
        <v>1440</v>
      </c>
      <c r="G1626" s="114" t="s">
        <v>1174</v>
      </c>
      <c r="H1626" s="114" t="s">
        <v>23</v>
      </c>
      <c r="I1626" s="136">
        <v>4606.35</v>
      </c>
      <c r="J1626" s="114">
        <v>0</v>
      </c>
      <c r="K1626" s="136">
        <v>4606.35</v>
      </c>
      <c r="L1626" s="283">
        <v>4606.35</v>
      </c>
      <c r="M1626" s="283"/>
      <c r="N1626" s="136">
        <f t="shared" si="101"/>
        <v>0</v>
      </c>
      <c r="O1626" s="269" t="s">
        <v>1470</v>
      </c>
      <c r="P1626" s="269"/>
      <c r="XFC1626"/>
    </row>
    <row r="1627" s="84" customFormat="1" spans="1:16383">
      <c r="A1627" s="118">
        <v>46082</v>
      </c>
      <c r="B1627" s="114" t="str">
        <f t="shared" si="100"/>
        <v>2F</v>
      </c>
      <c r="C1627" s="114" t="s">
        <v>336</v>
      </c>
      <c r="D1627" s="114" t="s">
        <v>337</v>
      </c>
      <c r="E1627" s="114" t="s">
        <v>338</v>
      </c>
      <c r="F1627" s="117" t="s">
        <v>1440</v>
      </c>
      <c r="G1627" s="114" t="s">
        <v>1448</v>
      </c>
      <c r="H1627" s="114" t="s">
        <v>21</v>
      </c>
      <c r="I1627" s="136">
        <v>12283.6</v>
      </c>
      <c r="J1627" s="114">
        <v>0</v>
      </c>
      <c r="K1627" s="136">
        <v>12283.6</v>
      </c>
      <c r="L1627" s="283">
        <v>12283.6</v>
      </c>
      <c r="M1627" s="283"/>
      <c r="N1627" s="136">
        <f t="shared" si="101"/>
        <v>0</v>
      </c>
      <c r="O1627" s="269" t="s">
        <v>1470</v>
      </c>
      <c r="P1627" s="269"/>
      <c r="XFC1627"/>
    </row>
    <row r="1628" s="84" customFormat="1" spans="1:16383">
      <c r="A1628" s="118">
        <v>46082</v>
      </c>
      <c r="B1628" s="114" t="str">
        <f t="shared" si="100"/>
        <v>2F</v>
      </c>
      <c r="C1628" s="114" t="s">
        <v>336</v>
      </c>
      <c r="D1628" s="114" t="s">
        <v>337</v>
      </c>
      <c r="E1628" s="114" t="s">
        <v>338</v>
      </c>
      <c r="F1628" s="117" t="s">
        <v>1440</v>
      </c>
      <c r="G1628" s="114" t="s">
        <v>1338</v>
      </c>
      <c r="H1628" s="114" t="s">
        <v>21</v>
      </c>
      <c r="I1628" s="136">
        <v>12283.6</v>
      </c>
      <c r="J1628" s="114">
        <v>0</v>
      </c>
      <c r="K1628" s="136">
        <v>12283.6</v>
      </c>
      <c r="L1628" s="283">
        <v>12283.6</v>
      </c>
      <c r="M1628" s="283"/>
      <c r="N1628" s="136">
        <f t="shared" si="101"/>
        <v>0</v>
      </c>
      <c r="O1628" s="269" t="s">
        <v>1470</v>
      </c>
      <c r="P1628" s="269"/>
      <c r="XFC1628"/>
    </row>
    <row r="1629" s="84" customFormat="1" spans="1:16383">
      <c r="A1629" s="118">
        <v>46082</v>
      </c>
      <c r="B1629" s="114" t="str">
        <f t="shared" ref="B1629:B1692" si="102">MID(C1629,1,2)</f>
        <v>2F</v>
      </c>
      <c r="C1629" s="114" t="s">
        <v>336</v>
      </c>
      <c r="D1629" s="114" t="s">
        <v>337</v>
      </c>
      <c r="E1629" s="114" t="s">
        <v>338</v>
      </c>
      <c r="F1629" s="117" t="s">
        <v>1440</v>
      </c>
      <c r="G1629" s="114" t="s">
        <v>1174</v>
      </c>
      <c r="H1629" s="114" t="s">
        <v>21</v>
      </c>
      <c r="I1629" s="136">
        <v>12283.6</v>
      </c>
      <c r="J1629" s="114">
        <v>0</v>
      </c>
      <c r="K1629" s="136">
        <v>12283.6</v>
      </c>
      <c r="L1629" s="283">
        <v>12283.6</v>
      </c>
      <c r="M1629" s="283"/>
      <c r="N1629" s="136">
        <f t="shared" si="101"/>
        <v>0</v>
      </c>
      <c r="O1629" s="269" t="s">
        <v>1470</v>
      </c>
      <c r="P1629" s="269"/>
      <c r="XFC1629"/>
    </row>
    <row r="1630" s="84" customFormat="1" spans="1:16383">
      <c r="A1630" s="118">
        <v>46082</v>
      </c>
      <c r="B1630" s="114" t="str">
        <f t="shared" si="102"/>
        <v>2F</v>
      </c>
      <c r="C1630" s="114" t="s">
        <v>354</v>
      </c>
      <c r="D1630" s="114" t="s">
        <v>355</v>
      </c>
      <c r="E1630" s="114" t="s">
        <v>356</v>
      </c>
      <c r="F1630" s="117" t="s">
        <v>1440</v>
      </c>
      <c r="G1630" s="114" t="s">
        <v>1448</v>
      </c>
      <c r="H1630" s="114" t="s">
        <v>23</v>
      </c>
      <c r="I1630" s="136">
        <v>2100</v>
      </c>
      <c r="J1630" s="114">
        <v>0</v>
      </c>
      <c r="K1630" s="136">
        <v>2100</v>
      </c>
      <c r="L1630" s="283">
        <v>2100</v>
      </c>
      <c r="M1630" s="283"/>
      <c r="N1630" s="136">
        <f t="shared" si="101"/>
        <v>0</v>
      </c>
      <c r="O1630" s="269" t="s">
        <v>231</v>
      </c>
      <c r="P1630" s="269"/>
      <c r="XFC1630"/>
    </row>
    <row r="1631" s="84" customFormat="1" spans="1:16383">
      <c r="A1631" s="118">
        <v>46082</v>
      </c>
      <c r="B1631" s="114" t="str">
        <f t="shared" si="102"/>
        <v>2F</v>
      </c>
      <c r="C1631" s="114" t="s">
        <v>354</v>
      </c>
      <c r="D1631" s="114" t="s">
        <v>355</v>
      </c>
      <c r="E1631" s="114" t="s">
        <v>356</v>
      </c>
      <c r="F1631" s="117" t="s">
        <v>1440</v>
      </c>
      <c r="G1631" s="114" t="s">
        <v>1338</v>
      </c>
      <c r="H1631" s="114" t="s">
        <v>23</v>
      </c>
      <c r="I1631" s="136">
        <v>2100</v>
      </c>
      <c r="J1631" s="114">
        <v>0</v>
      </c>
      <c r="K1631" s="136">
        <v>2100</v>
      </c>
      <c r="L1631" s="283">
        <v>2100</v>
      </c>
      <c r="M1631" s="283"/>
      <c r="N1631" s="136">
        <f t="shared" ref="N1631:N1694" si="103">K1631-L1631</f>
        <v>0</v>
      </c>
      <c r="O1631" s="269" t="s">
        <v>231</v>
      </c>
      <c r="P1631" s="269"/>
      <c r="XFC1631"/>
    </row>
    <row r="1632" s="84" customFormat="1" spans="1:16383">
      <c r="A1632" s="118">
        <v>46082</v>
      </c>
      <c r="B1632" s="114" t="str">
        <f t="shared" si="102"/>
        <v>2F</v>
      </c>
      <c r="C1632" s="114" t="s">
        <v>354</v>
      </c>
      <c r="D1632" s="114" t="s">
        <v>355</v>
      </c>
      <c r="E1632" s="114" t="s">
        <v>356</v>
      </c>
      <c r="F1632" s="117" t="s">
        <v>1440</v>
      </c>
      <c r="G1632" s="114" t="s">
        <v>1174</v>
      </c>
      <c r="H1632" s="114" t="s">
        <v>23</v>
      </c>
      <c r="I1632" s="136">
        <v>2100</v>
      </c>
      <c r="J1632" s="114">
        <v>0</v>
      </c>
      <c r="K1632" s="136">
        <v>2100</v>
      </c>
      <c r="L1632" s="283">
        <v>2100</v>
      </c>
      <c r="M1632" s="283"/>
      <c r="N1632" s="136">
        <f t="shared" si="103"/>
        <v>0</v>
      </c>
      <c r="O1632" s="269" t="s">
        <v>231</v>
      </c>
      <c r="P1632" s="269"/>
      <c r="XFC1632"/>
    </row>
    <row r="1633" s="84" customFormat="1" spans="1:16383">
      <c r="A1633" s="118">
        <v>46082</v>
      </c>
      <c r="B1633" s="114" t="str">
        <f t="shared" si="102"/>
        <v>2F</v>
      </c>
      <c r="C1633" s="114" t="s">
        <v>354</v>
      </c>
      <c r="D1633" s="114" t="s">
        <v>355</v>
      </c>
      <c r="E1633" s="114" t="s">
        <v>356</v>
      </c>
      <c r="F1633" s="117" t="s">
        <v>1440</v>
      </c>
      <c r="G1633" s="114" t="s">
        <v>1448</v>
      </c>
      <c r="H1633" s="114" t="s">
        <v>21</v>
      </c>
      <c r="I1633" s="136">
        <v>3150</v>
      </c>
      <c r="J1633" s="114">
        <v>0</v>
      </c>
      <c r="K1633" s="136">
        <v>3150</v>
      </c>
      <c r="L1633" s="283">
        <v>3150</v>
      </c>
      <c r="M1633" s="283"/>
      <c r="N1633" s="136">
        <f t="shared" si="103"/>
        <v>0</v>
      </c>
      <c r="O1633" s="269" t="s">
        <v>231</v>
      </c>
      <c r="P1633" s="269"/>
      <c r="XFC1633"/>
    </row>
    <row r="1634" s="84" customFormat="1" spans="1:16383">
      <c r="A1634" s="118">
        <v>46082</v>
      </c>
      <c r="B1634" s="114" t="str">
        <f t="shared" si="102"/>
        <v>2F</v>
      </c>
      <c r="C1634" s="114" t="s">
        <v>354</v>
      </c>
      <c r="D1634" s="114" t="s">
        <v>355</v>
      </c>
      <c r="E1634" s="114" t="s">
        <v>356</v>
      </c>
      <c r="F1634" s="117" t="s">
        <v>1440</v>
      </c>
      <c r="G1634" s="114" t="s">
        <v>1338</v>
      </c>
      <c r="H1634" s="114" t="s">
        <v>21</v>
      </c>
      <c r="I1634" s="136">
        <v>3150</v>
      </c>
      <c r="J1634" s="114">
        <v>0</v>
      </c>
      <c r="K1634" s="136">
        <v>3150</v>
      </c>
      <c r="L1634" s="283">
        <v>3150</v>
      </c>
      <c r="M1634" s="283"/>
      <c r="N1634" s="136">
        <f t="shared" si="103"/>
        <v>0</v>
      </c>
      <c r="O1634" s="269" t="s">
        <v>231</v>
      </c>
      <c r="P1634" s="269"/>
      <c r="XFC1634"/>
    </row>
    <row r="1635" s="84" customFormat="1" spans="1:16383">
      <c r="A1635" s="118">
        <v>46082</v>
      </c>
      <c r="B1635" s="114" t="str">
        <f t="shared" si="102"/>
        <v>2F</v>
      </c>
      <c r="C1635" s="114" t="s">
        <v>354</v>
      </c>
      <c r="D1635" s="114" t="s">
        <v>355</v>
      </c>
      <c r="E1635" s="114" t="s">
        <v>356</v>
      </c>
      <c r="F1635" s="117" t="s">
        <v>1440</v>
      </c>
      <c r="G1635" s="114" t="s">
        <v>1174</v>
      </c>
      <c r="H1635" s="114" t="s">
        <v>21</v>
      </c>
      <c r="I1635" s="136">
        <v>3150</v>
      </c>
      <c r="J1635" s="114">
        <v>0</v>
      </c>
      <c r="K1635" s="136">
        <v>3150</v>
      </c>
      <c r="L1635" s="283">
        <v>3150</v>
      </c>
      <c r="M1635" s="283"/>
      <c r="N1635" s="136">
        <f t="shared" si="103"/>
        <v>0</v>
      </c>
      <c r="O1635" s="269" t="s">
        <v>231</v>
      </c>
      <c r="P1635" s="269"/>
      <c r="XFC1635"/>
    </row>
    <row r="1636" s="84" customFormat="1" spans="1:16383">
      <c r="A1636" s="118">
        <v>46082</v>
      </c>
      <c r="B1636" s="114" t="str">
        <f t="shared" si="102"/>
        <v>2F</v>
      </c>
      <c r="C1636" s="114" t="s">
        <v>367</v>
      </c>
      <c r="D1636" s="114" t="s">
        <v>368</v>
      </c>
      <c r="E1636" s="114" t="s">
        <v>369</v>
      </c>
      <c r="F1636" s="117" t="s">
        <v>1440</v>
      </c>
      <c r="G1636" s="114" t="s">
        <v>1471</v>
      </c>
      <c r="H1636" s="114" t="s">
        <v>23</v>
      </c>
      <c r="I1636" s="136">
        <v>1420.27</v>
      </c>
      <c r="J1636" s="114">
        <v>0</v>
      </c>
      <c r="K1636" s="136">
        <v>1420.27</v>
      </c>
      <c r="L1636" s="283">
        <v>1420.27</v>
      </c>
      <c r="M1636" s="283"/>
      <c r="N1636" s="136">
        <f t="shared" si="103"/>
        <v>0</v>
      </c>
      <c r="O1636" s="269" t="s">
        <v>572</v>
      </c>
      <c r="P1636" s="269"/>
      <c r="XFC1636"/>
    </row>
    <row r="1637" s="84" customFormat="1" spans="1:16383">
      <c r="A1637" s="118">
        <v>46082</v>
      </c>
      <c r="B1637" s="114" t="str">
        <f t="shared" si="102"/>
        <v>2F</v>
      </c>
      <c r="C1637" s="114" t="s">
        <v>367</v>
      </c>
      <c r="D1637" s="114" t="s">
        <v>368</v>
      </c>
      <c r="E1637" s="114" t="s">
        <v>369</v>
      </c>
      <c r="F1637" s="117" t="s">
        <v>1440</v>
      </c>
      <c r="G1637" s="114" t="s">
        <v>1471</v>
      </c>
      <c r="H1637" s="114" t="s">
        <v>21</v>
      </c>
      <c r="I1637" s="136">
        <v>3313.97</v>
      </c>
      <c r="J1637" s="114">
        <v>0</v>
      </c>
      <c r="K1637" s="136">
        <v>3313.97</v>
      </c>
      <c r="L1637" s="283">
        <v>3313.97</v>
      </c>
      <c r="M1637" s="283"/>
      <c r="N1637" s="136">
        <f t="shared" si="103"/>
        <v>0</v>
      </c>
      <c r="O1637" s="269" t="s">
        <v>572</v>
      </c>
      <c r="P1637" s="269"/>
      <c r="XFC1637"/>
    </row>
    <row r="1638" s="84" customFormat="1" spans="1:16383">
      <c r="A1638" s="118">
        <v>46082</v>
      </c>
      <c r="B1638" s="114" t="str">
        <f t="shared" si="102"/>
        <v>2F</v>
      </c>
      <c r="C1638" s="114" t="s">
        <v>372</v>
      </c>
      <c r="D1638" s="114" t="s">
        <v>373</v>
      </c>
      <c r="E1638" s="114" t="s">
        <v>374</v>
      </c>
      <c r="F1638" s="117" t="s">
        <v>1440</v>
      </c>
      <c r="G1638" s="114" t="s">
        <v>1338</v>
      </c>
      <c r="H1638" s="114" t="s">
        <v>23</v>
      </c>
      <c r="I1638" s="136">
        <v>3960</v>
      </c>
      <c r="J1638" s="114">
        <v>0</v>
      </c>
      <c r="K1638" s="136">
        <v>3960</v>
      </c>
      <c r="L1638" s="283">
        <v>3960</v>
      </c>
      <c r="M1638" s="283"/>
      <c r="N1638" s="136">
        <f t="shared" si="103"/>
        <v>0</v>
      </c>
      <c r="O1638" s="269" t="s">
        <v>231</v>
      </c>
      <c r="P1638" s="269"/>
      <c r="XFC1638"/>
    </row>
    <row r="1639" s="84" customFormat="1" spans="1:16383">
      <c r="A1639" s="118">
        <v>46082</v>
      </c>
      <c r="B1639" s="114" t="str">
        <f t="shared" si="102"/>
        <v>2F</v>
      </c>
      <c r="C1639" s="114" t="s">
        <v>372</v>
      </c>
      <c r="D1639" s="114" t="s">
        <v>373</v>
      </c>
      <c r="E1639" s="114" t="s">
        <v>374</v>
      </c>
      <c r="F1639" s="117" t="s">
        <v>1440</v>
      </c>
      <c r="G1639" s="114" t="s">
        <v>1174</v>
      </c>
      <c r="H1639" s="114" t="s">
        <v>23</v>
      </c>
      <c r="I1639" s="136">
        <v>3960</v>
      </c>
      <c r="J1639" s="114">
        <v>0</v>
      </c>
      <c r="K1639" s="136">
        <v>3960</v>
      </c>
      <c r="L1639" s="283">
        <v>3960</v>
      </c>
      <c r="M1639" s="283"/>
      <c r="N1639" s="136">
        <f t="shared" si="103"/>
        <v>0</v>
      </c>
      <c r="O1639" s="269" t="s">
        <v>231</v>
      </c>
      <c r="P1639" s="269"/>
      <c r="XFC1639"/>
    </row>
    <row r="1640" s="84" customFormat="1" spans="1:16383">
      <c r="A1640" s="118">
        <v>46082</v>
      </c>
      <c r="B1640" s="114" t="str">
        <f t="shared" si="102"/>
        <v>2F</v>
      </c>
      <c r="C1640" s="114" t="s">
        <v>372</v>
      </c>
      <c r="D1640" s="114" t="s">
        <v>373</v>
      </c>
      <c r="E1640" s="114" t="s">
        <v>374</v>
      </c>
      <c r="F1640" s="117" t="s">
        <v>1440</v>
      </c>
      <c r="G1640" s="114" t="s">
        <v>1338</v>
      </c>
      <c r="H1640" s="114" t="s">
        <v>21</v>
      </c>
      <c r="I1640" s="136">
        <v>1800</v>
      </c>
      <c r="J1640" s="114">
        <v>0</v>
      </c>
      <c r="K1640" s="136">
        <v>1800</v>
      </c>
      <c r="L1640" s="283">
        <v>1800</v>
      </c>
      <c r="M1640" s="283"/>
      <c r="N1640" s="136">
        <f t="shared" si="103"/>
        <v>0</v>
      </c>
      <c r="O1640" s="269" t="s">
        <v>231</v>
      </c>
      <c r="P1640" s="269"/>
      <c r="XFC1640"/>
    </row>
    <row r="1641" s="84" customFormat="1" spans="1:16383">
      <c r="A1641" s="118">
        <v>46082</v>
      </c>
      <c r="B1641" s="114" t="str">
        <f t="shared" si="102"/>
        <v>2F</v>
      </c>
      <c r="C1641" s="114" t="s">
        <v>372</v>
      </c>
      <c r="D1641" s="114" t="s">
        <v>373</v>
      </c>
      <c r="E1641" s="114" t="s">
        <v>374</v>
      </c>
      <c r="F1641" s="117" t="s">
        <v>1440</v>
      </c>
      <c r="G1641" s="114" t="s">
        <v>1174</v>
      </c>
      <c r="H1641" s="114" t="s">
        <v>21</v>
      </c>
      <c r="I1641" s="136">
        <v>1800</v>
      </c>
      <c r="J1641" s="114">
        <v>0</v>
      </c>
      <c r="K1641" s="136">
        <v>1800</v>
      </c>
      <c r="L1641" s="283">
        <v>1800</v>
      </c>
      <c r="M1641" s="283"/>
      <c r="N1641" s="136">
        <f t="shared" si="103"/>
        <v>0</v>
      </c>
      <c r="O1641" s="269" t="s">
        <v>231</v>
      </c>
      <c r="P1641" s="269"/>
      <c r="XFC1641"/>
    </row>
    <row r="1642" s="84" customFormat="1" spans="1:16383">
      <c r="A1642" s="118">
        <v>46082</v>
      </c>
      <c r="B1642" s="114" t="str">
        <f t="shared" si="102"/>
        <v>2F</v>
      </c>
      <c r="C1642" s="114" t="s">
        <v>383</v>
      </c>
      <c r="D1642" s="114" t="s">
        <v>384</v>
      </c>
      <c r="E1642" s="114" t="s">
        <v>391</v>
      </c>
      <c r="F1642" s="117" t="s">
        <v>1440</v>
      </c>
      <c r="G1642" s="114" t="s">
        <v>1174</v>
      </c>
      <c r="H1642" s="114" t="s">
        <v>23</v>
      </c>
      <c r="I1642" s="136">
        <v>9170</v>
      </c>
      <c r="J1642" s="114">
        <v>0</v>
      </c>
      <c r="K1642" s="136">
        <v>9170</v>
      </c>
      <c r="L1642" s="283">
        <v>9170</v>
      </c>
      <c r="M1642" s="283"/>
      <c r="N1642" s="136">
        <f t="shared" si="103"/>
        <v>0</v>
      </c>
      <c r="O1642" s="143" t="s">
        <v>1472</v>
      </c>
      <c r="P1642" s="269"/>
      <c r="XFC1642"/>
    </row>
    <row r="1643" s="84" customFormat="1" spans="1:16383">
      <c r="A1643" s="118">
        <v>46082</v>
      </c>
      <c r="B1643" s="114" t="str">
        <f t="shared" si="102"/>
        <v>2F</v>
      </c>
      <c r="C1643" s="114" t="s">
        <v>383</v>
      </c>
      <c r="D1643" s="114" t="s">
        <v>384</v>
      </c>
      <c r="E1643" s="114" t="s">
        <v>391</v>
      </c>
      <c r="F1643" s="117" t="s">
        <v>1440</v>
      </c>
      <c r="G1643" s="114" t="s">
        <v>1174</v>
      </c>
      <c r="H1643" s="114" t="s">
        <v>21</v>
      </c>
      <c r="I1643" s="136">
        <v>9170</v>
      </c>
      <c r="J1643" s="114">
        <v>0</v>
      </c>
      <c r="K1643" s="136">
        <v>9170</v>
      </c>
      <c r="L1643" s="283">
        <v>9170</v>
      </c>
      <c r="M1643" s="283"/>
      <c r="N1643" s="136">
        <f t="shared" si="103"/>
        <v>0</v>
      </c>
      <c r="O1643" s="143" t="s">
        <v>1472</v>
      </c>
      <c r="P1643" s="269"/>
      <c r="XFC1643"/>
    </row>
    <row r="1644" s="84" customFormat="1" spans="1:16383">
      <c r="A1644" s="118">
        <v>46082</v>
      </c>
      <c r="B1644" s="114" t="str">
        <f t="shared" si="102"/>
        <v>2F</v>
      </c>
      <c r="C1644" s="290" t="s">
        <v>396</v>
      </c>
      <c r="D1644" s="290" t="s">
        <v>397</v>
      </c>
      <c r="E1644" s="290" t="s">
        <v>398</v>
      </c>
      <c r="F1644" s="117">
        <v>46097</v>
      </c>
      <c r="G1644" s="290" t="s">
        <v>96</v>
      </c>
      <c r="H1644" s="290" t="s">
        <v>21</v>
      </c>
      <c r="I1644" s="294">
        <v>6405.09</v>
      </c>
      <c r="J1644" s="290">
        <v>0</v>
      </c>
      <c r="K1644" s="294">
        <f>I1644-J1644</f>
        <v>6405.09</v>
      </c>
      <c r="L1644" s="283">
        <v>6405.09</v>
      </c>
      <c r="M1644" s="283"/>
      <c r="N1644" s="136">
        <f t="shared" si="103"/>
        <v>0</v>
      </c>
      <c r="O1644" s="157" t="s">
        <v>1473</v>
      </c>
      <c r="P1644" s="269"/>
      <c r="XFC1644"/>
    </row>
    <row r="1645" s="84" customFormat="1" spans="1:16383">
      <c r="A1645" s="118">
        <v>46082</v>
      </c>
      <c r="B1645" s="114" t="str">
        <f t="shared" si="102"/>
        <v>2F</v>
      </c>
      <c r="C1645" s="114" t="s">
        <v>1474</v>
      </c>
      <c r="D1645" s="114" t="s">
        <v>406</v>
      </c>
      <c r="E1645" s="114" t="s">
        <v>407</v>
      </c>
      <c r="F1645" s="117" t="s">
        <v>1440</v>
      </c>
      <c r="G1645" s="114" t="s">
        <v>1448</v>
      </c>
      <c r="H1645" s="114" t="s">
        <v>23</v>
      </c>
      <c r="I1645" s="136">
        <v>3330</v>
      </c>
      <c r="J1645" s="114">
        <v>0</v>
      </c>
      <c r="K1645" s="136">
        <v>3330</v>
      </c>
      <c r="L1645" s="283">
        <v>3330</v>
      </c>
      <c r="M1645" s="283"/>
      <c r="N1645" s="136">
        <f t="shared" si="103"/>
        <v>0</v>
      </c>
      <c r="O1645" s="269" t="s">
        <v>1184</v>
      </c>
      <c r="P1645" s="269"/>
      <c r="XFC1645"/>
    </row>
    <row r="1646" s="84" customFormat="1" spans="1:16383">
      <c r="A1646" s="118">
        <v>46082</v>
      </c>
      <c r="B1646" s="114" t="str">
        <f t="shared" si="102"/>
        <v>2F</v>
      </c>
      <c r="C1646" s="114" t="s">
        <v>1474</v>
      </c>
      <c r="D1646" s="114" t="s">
        <v>406</v>
      </c>
      <c r="E1646" s="114" t="s">
        <v>407</v>
      </c>
      <c r="F1646" s="117" t="s">
        <v>1440</v>
      </c>
      <c r="G1646" s="114" t="s">
        <v>1338</v>
      </c>
      <c r="H1646" s="114" t="s">
        <v>23</v>
      </c>
      <c r="I1646" s="136">
        <v>3330</v>
      </c>
      <c r="J1646" s="114">
        <v>0</v>
      </c>
      <c r="K1646" s="136">
        <v>3330</v>
      </c>
      <c r="L1646" s="283">
        <v>3330</v>
      </c>
      <c r="M1646" s="283"/>
      <c r="N1646" s="136">
        <f t="shared" si="103"/>
        <v>0</v>
      </c>
      <c r="O1646" s="269" t="s">
        <v>1184</v>
      </c>
      <c r="P1646" s="269"/>
      <c r="XFC1646"/>
    </row>
    <row r="1647" s="84" customFormat="1" spans="1:16383">
      <c r="A1647" s="118">
        <v>46082</v>
      </c>
      <c r="B1647" s="114" t="str">
        <f t="shared" si="102"/>
        <v>2F</v>
      </c>
      <c r="C1647" s="114" t="s">
        <v>1474</v>
      </c>
      <c r="D1647" s="114" t="s">
        <v>406</v>
      </c>
      <c r="E1647" s="114" t="s">
        <v>407</v>
      </c>
      <c r="F1647" s="117" t="s">
        <v>1440</v>
      </c>
      <c r="G1647" s="114" t="s">
        <v>1174</v>
      </c>
      <c r="H1647" s="114" t="s">
        <v>23</v>
      </c>
      <c r="I1647" s="136">
        <v>3330</v>
      </c>
      <c r="J1647" s="114">
        <v>0</v>
      </c>
      <c r="K1647" s="136">
        <v>3330</v>
      </c>
      <c r="L1647" s="283">
        <v>3330</v>
      </c>
      <c r="M1647" s="283"/>
      <c r="N1647" s="136">
        <f t="shared" si="103"/>
        <v>0</v>
      </c>
      <c r="O1647" s="269" t="s">
        <v>1184</v>
      </c>
      <c r="P1647" s="269"/>
      <c r="XFC1647"/>
    </row>
    <row r="1648" s="84" customFormat="1" spans="1:16383">
      <c r="A1648" s="118">
        <v>46082</v>
      </c>
      <c r="B1648" s="114" t="str">
        <f t="shared" si="102"/>
        <v>2F</v>
      </c>
      <c r="C1648" s="114" t="s">
        <v>1474</v>
      </c>
      <c r="D1648" s="114" t="s">
        <v>406</v>
      </c>
      <c r="E1648" s="114" t="s">
        <v>407</v>
      </c>
      <c r="F1648" s="117" t="s">
        <v>1440</v>
      </c>
      <c r="G1648" s="114" t="s">
        <v>1448</v>
      </c>
      <c r="H1648" s="114" t="s">
        <v>21</v>
      </c>
      <c r="I1648" s="136">
        <v>2997</v>
      </c>
      <c r="J1648" s="114">
        <v>0</v>
      </c>
      <c r="K1648" s="136">
        <v>2997</v>
      </c>
      <c r="L1648" s="283">
        <v>2997</v>
      </c>
      <c r="M1648" s="283"/>
      <c r="N1648" s="136">
        <f t="shared" si="103"/>
        <v>0</v>
      </c>
      <c r="O1648" s="269" t="s">
        <v>1184</v>
      </c>
      <c r="P1648" s="269"/>
      <c r="XFC1648"/>
    </row>
    <row r="1649" s="84" customFormat="1" spans="1:16383">
      <c r="A1649" s="118">
        <v>46082</v>
      </c>
      <c r="B1649" s="114" t="str">
        <f t="shared" si="102"/>
        <v>2F</v>
      </c>
      <c r="C1649" s="114" t="s">
        <v>1474</v>
      </c>
      <c r="D1649" s="114" t="s">
        <v>406</v>
      </c>
      <c r="E1649" s="114" t="s">
        <v>407</v>
      </c>
      <c r="F1649" s="117" t="s">
        <v>1440</v>
      </c>
      <c r="G1649" s="114" t="s">
        <v>1338</v>
      </c>
      <c r="H1649" s="114" t="s">
        <v>21</v>
      </c>
      <c r="I1649" s="136">
        <v>2997</v>
      </c>
      <c r="J1649" s="114">
        <v>0</v>
      </c>
      <c r="K1649" s="136">
        <v>2997</v>
      </c>
      <c r="L1649" s="283">
        <v>2997</v>
      </c>
      <c r="M1649" s="283"/>
      <c r="N1649" s="136">
        <f t="shared" si="103"/>
        <v>0</v>
      </c>
      <c r="O1649" s="269" t="s">
        <v>1184</v>
      </c>
      <c r="P1649" s="269"/>
      <c r="XFC1649"/>
    </row>
    <row r="1650" s="84" customFormat="1" spans="1:16383">
      <c r="A1650" s="118">
        <v>46082</v>
      </c>
      <c r="B1650" s="114" t="str">
        <f t="shared" si="102"/>
        <v>2F</v>
      </c>
      <c r="C1650" s="114" t="s">
        <v>1474</v>
      </c>
      <c r="D1650" s="114" t="s">
        <v>406</v>
      </c>
      <c r="E1650" s="114" t="s">
        <v>407</v>
      </c>
      <c r="F1650" s="117" t="s">
        <v>1440</v>
      </c>
      <c r="G1650" s="114" t="s">
        <v>1174</v>
      </c>
      <c r="H1650" s="114" t="s">
        <v>21</v>
      </c>
      <c r="I1650" s="136">
        <v>2997</v>
      </c>
      <c r="J1650" s="114">
        <v>0</v>
      </c>
      <c r="K1650" s="136">
        <v>2997</v>
      </c>
      <c r="L1650" s="283">
        <v>2997</v>
      </c>
      <c r="M1650" s="283"/>
      <c r="N1650" s="136">
        <f t="shared" si="103"/>
        <v>0</v>
      </c>
      <c r="O1650" s="269" t="s">
        <v>1184</v>
      </c>
      <c r="P1650" s="269"/>
      <c r="XFC1650"/>
    </row>
    <row r="1651" s="84" customFormat="1" spans="1:16383">
      <c r="A1651" s="289">
        <v>46082</v>
      </c>
      <c r="B1651" s="114" t="str">
        <f t="shared" si="102"/>
        <v>2F</v>
      </c>
      <c r="C1651" s="290" t="s">
        <v>433</v>
      </c>
      <c r="D1651" s="290" t="s">
        <v>434</v>
      </c>
      <c r="E1651" s="290" t="s">
        <v>435</v>
      </c>
      <c r="F1651" s="117" t="s">
        <v>1440</v>
      </c>
      <c r="G1651" s="290" t="s">
        <v>1475</v>
      </c>
      <c r="H1651" s="290" t="s">
        <v>23</v>
      </c>
      <c r="I1651" s="294">
        <v>2781.37</v>
      </c>
      <c r="J1651" s="290">
        <v>0</v>
      </c>
      <c r="K1651" s="294">
        <v>2781.37</v>
      </c>
      <c r="L1651" s="283">
        <v>2781.37</v>
      </c>
      <c r="M1651" s="283"/>
      <c r="N1651" s="136">
        <f t="shared" si="103"/>
        <v>0</v>
      </c>
      <c r="O1651" s="269" t="s">
        <v>1359</v>
      </c>
      <c r="P1651" s="269"/>
      <c r="XFC1651"/>
    </row>
    <row r="1652" s="84" customFormat="1" spans="1:16383">
      <c r="A1652" s="118">
        <v>46082</v>
      </c>
      <c r="B1652" s="114" t="str">
        <f t="shared" si="102"/>
        <v>2F</v>
      </c>
      <c r="C1652" s="114" t="s">
        <v>433</v>
      </c>
      <c r="D1652" s="114" t="s">
        <v>434</v>
      </c>
      <c r="E1652" s="114" t="s">
        <v>435</v>
      </c>
      <c r="F1652" s="117" t="s">
        <v>1440</v>
      </c>
      <c r="G1652" s="114" t="s">
        <v>1174</v>
      </c>
      <c r="H1652" s="114" t="s">
        <v>23</v>
      </c>
      <c r="I1652" s="136">
        <v>4230</v>
      </c>
      <c r="J1652" s="114">
        <v>0</v>
      </c>
      <c r="K1652" s="136">
        <v>4230</v>
      </c>
      <c r="L1652" s="283">
        <v>4230</v>
      </c>
      <c r="M1652" s="283"/>
      <c r="N1652" s="136">
        <f t="shared" si="103"/>
        <v>0</v>
      </c>
      <c r="O1652" s="269" t="s">
        <v>1359</v>
      </c>
      <c r="P1652" s="269"/>
      <c r="XFC1652"/>
    </row>
    <row r="1653" s="84" customFormat="1" spans="1:16383">
      <c r="A1653" s="289">
        <v>46082</v>
      </c>
      <c r="B1653" s="114" t="str">
        <f t="shared" si="102"/>
        <v>2F</v>
      </c>
      <c r="C1653" s="290" t="s">
        <v>433</v>
      </c>
      <c r="D1653" s="290" t="s">
        <v>434</v>
      </c>
      <c r="E1653" s="290" t="s">
        <v>435</v>
      </c>
      <c r="F1653" s="117" t="s">
        <v>1440</v>
      </c>
      <c r="G1653" s="290" t="s">
        <v>1475</v>
      </c>
      <c r="H1653" s="290" t="s">
        <v>21</v>
      </c>
      <c r="I1653" s="294">
        <v>2475.42</v>
      </c>
      <c r="J1653" s="290">
        <v>0</v>
      </c>
      <c r="K1653" s="294">
        <v>2475.42</v>
      </c>
      <c r="L1653" s="283">
        <v>2475.42</v>
      </c>
      <c r="M1653" s="283"/>
      <c r="N1653" s="136">
        <f t="shared" si="103"/>
        <v>0</v>
      </c>
      <c r="O1653" s="269" t="s">
        <v>1359</v>
      </c>
      <c r="P1653" s="269"/>
      <c r="XFC1653"/>
    </row>
    <row r="1654" s="84" customFormat="1" spans="1:16383">
      <c r="A1654" s="118">
        <v>46082</v>
      </c>
      <c r="B1654" s="114" t="str">
        <f t="shared" si="102"/>
        <v>2F</v>
      </c>
      <c r="C1654" s="114" t="s">
        <v>433</v>
      </c>
      <c r="D1654" s="114" t="s">
        <v>434</v>
      </c>
      <c r="E1654" s="114" t="s">
        <v>435</v>
      </c>
      <c r="F1654" s="117" t="s">
        <v>1440</v>
      </c>
      <c r="G1654" s="114" t="s">
        <v>1174</v>
      </c>
      <c r="H1654" s="114" t="s">
        <v>21</v>
      </c>
      <c r="I1654" s="136">
        <v>3764.7</v>
      </c>
      <c r="J1654" s="114">
        <v>0</v>
      </c>
      <c r="K1654" s="136">
        <v>3764.7</v>
      </c>
      <c r="L1654" s="283">
        <v>3764.7</v>
      </c>
      <c r="M1654" s="283"/>
      <c r="N1654" s="136">
        <f t="shared" si="103"/>
        <v>0</v>
      </c>
      <c r="O1654" s="269" t="s">
        <v>1359</v>
      </c>
      <c r="P1654" s="269"/>
      <c r="XFC1654"/>
    </row>
    <row r="1655" s="84" customFormat="1" spans="1:16383">
      <c r="A1655" s="118">
        <v>46082</v>
      </c>
      <c r="B1655" s="114" t="str">
        <f t="shared" si="102"/>
        <v>2F</v>
      </c>
      <c r="C1655" s="114" t="s">
        <v>466</v>
      </c>
      <c r="D1655" s="114" t="s">
        <v>467</v>
      </c>
      <c r="E1655" s="114" t="s">
        <v>1476</v>
      </c>
      <c r="F1655" s="117" t="s">
        <v>1440</v>
      </c>
      <c r="G1655" s="114" t="s">
        <v>1448</v>
      </c>
      <c r="H1655" s="114" t="s">
        <v>23</v>
      </c>
      <c r="I1655" s="136">
        <v>7700</v>
      </c>
      <c r="J1655" s="114">
        <v>0</v>
      </c>
      <c r="K1655" s="136">
        <v>7700</v>
      </c>
      <c r="L1655" s="283">
        <v>7700</v>
      </c>
      <c r="M1655" s="283"/>
      <c r="N1655" s="136">
        <f t="shared" si="103"/>
        <v>0</v>
      </c>
      <c r="O1655" s="269" t="s">
        <v>1477</v>
      </c>
      <c r="P1655" s="269"/>
      <c r="XFC1655"/>
    </row>
    <row r="1656" s="84" customFormat="1" spans="1:16383">
      <c r="A1656" s="118">
        <v>46082</v>
      </c>
      <c r="B1656" s="114" t="str">
        <f t="shared" si="102"/>
        <v>2F</v>
      </c>
      <c r="C1656" s="114" t="s">
        <v>466</v>
      </c>
      <c r="D1656" s="114" t="s">
        <v>467</v>
      </c>
      <c r="E1656" s="114" t="s">
        <v>1476</v>
      </c>
      <c r="F1656" s="117" t="s">
        <v>1440</v>
      </c>
      <c r="G1656" s="114" t="s">
        <v>1338</v>
      </c>
      <c r="H1656" s="114" t="s">
        <v>23</v>
      </c>
      <c r="I1656" s="136">
        <v>7700</v>
      </c>
      <c r="J1656" s="114">
        <v>0</v>
      </c>
      <c r="K1656" s="136">
        <v>7700</v>
      </c>
      <c r="L1656" s="283">
        <v>7700</v>
      </c>
      <c r="M1656" s="283"/>
      <c r="N1656" s="136">
        <f t="shared" si="103"/>
        <v>0</v>
      </c>
      <c r="O1656" s="269" t="s">
        <v>1477</v>
      </c>
      <c r="P1656" s="269"/>
      <c r="XFC1656"/>
    </row>
    <row r="1657" s="84" customFormat="1" spans="1:16383">
      <c r="A1657" s="118">
        <v>46082</v>
      </c>
      <c r="B1657" s="114" t="str">
        <f t="shared" si="102"/>
        <v>2F</v>
      </c>
      <c r="C1657" s="114" t="s">
        <v>466</v>
      </c>
      <c r="D1657" s="114" t="s">
        <v>467</v>
      </c>
      <c r="E1657" s="114" t="s">
        <v>1476</v>
      </c>
      <c r="F1657" s="117" t="s">
        <v>1440</v>
      </c>
      <c r="G1657" s="114" t="s">
        <v>1174</v>
      </c>
      <c r="H1657" s="114" t="s">
        <v>23</v>
      </c>
      <c r="I1657" s="136">
        <v>7700</v>
      </c>
      <c r="J1657" s="114">
        <v>0</v>
      </c>
      <c r="K1657" s="136">
        <v>7700</v>
      </c>
      <c r="L1657" s="283">
        <v>7700</v>
      </c>
      <c r="M1657" s="283"/>
      <c r="N1657" s="136">
        <f t="shared" si="103"/>
        <v>0</v>
      </c>
      <c r="O1657" s="269" t="s">
        <v>1477</v>
      </c>
      <c r="P1657" s="269"/>
      <c r="XFC1657"/>
    </row>
    <row r="1658" s="84" customFormat="1" spans="1:16383">
      <c r="A1658" s="118">
        <v>46082</v>
      </c>
      <c r="B1658" s="114" t="str">
        <f t="shared" si="102"/>
        <v>2F</v>
      </c>
      <c r="C1658" s="114" t="s">
        <v>466</v>
      </c>
      <c r="D1658" s="114" t="s">
        <v>467</v>
      </c>
      <c r="E1658" s="114" t="s">
        <v>1476</v>
      </c>
      <c r="F1658" s="117" t="s">
        <v>1440</v>
      </c>
      <c r="G1658" s="114" t="s">
        <v>1448</v>
      </c>
      <c r="H1658" s="114" t="s">
        <v>21</v>
      </c>
      <c r="I1658" s="136">
        <v>4550</v>
      </c>
      <c r="J1658" s="114">
        <v>0</v>
      </c>
      <c r="K1658" s="136">
        <v>4550</v>
      </c>
      <c r="L1658" s="283">
        <v>4550</v>
      </c>
      <c r="M1658" s="283"/>
      <c r="N1658" s="136">
        <f t="shared" si="103"/>
        <v>0</v>
      </c>
      <c r="O1658" s="269" t="s">
        <v>1477</v>
      </c>
      <c r="P1658" s="269"/>
      <c r="XFC1658"/>
    </row>
    <row r="1659" s="84" customFormat="1" spans="1:16383">
      <c r="A1659" s="118">
        <v>46082</v>
      </c>
      <c r="B1659" s="114" t="str">
        <f t="shared" si="102"/>
        <v>2F</v>
      </c>
      <c r="C1659" s="114" t="s">
        <v>466</v>
      </c>
      <c r="D1659" s="114" t="s">
        <v>467</v>
      </c>
      <c r="E1659" s="114" t="s">
        <v>1476</v>
      </c>
      <c r="F1659" s="117" t="s">
        <v>1440</v>
      </c>
      <c r="G1659" s="114" t="s">
        <v>1338</v>
      </c>
      <c r="H1659" s="114" t="s">
        <v>21</v>
      </c>
      <c r="I1659" s="136">
        <v>4550</v>
      </c>
      <c r="J1659" s="114">
        <v>0</v>
      </c>
      <c r="K1659" s="136">
        <v>4550</v>
      </c>
      <c r="L1659" s="283">
        <v>4550</v>
      </c>
      <c r="M1659" s="283"/>
      <c r="N1659" s="136">
        <f t="shared" si="103"/>
        <v>0</v>
      </c>
      <c r="O1659" s="269" t="s">
        <v>1477</v>
      </c>
      <c r="P1659" s="269"/>
      <c r="XFC1659"/>
    </row>
    <row r="1660" s="84" customFormat="1" spans="1:16383">
      <c r="A1660" s="118">
        <v>46082</v>
      </c>
      <c r="B1660" s="114" t="str">
        <f t="shared" si="102"/>
        <v>2F</v>
      </c>
      <c r="C1660" s="114" t="s">
        <v>466</v>
      </c>
      <c r="D1660" s="114" t="s">
        <v>467</v>
      </c>
      <c r="E1660" s="114" t="s">
        <v>1476</v>
      </c>
      <c r="F1660" s="117" t="s">
        <v>1440</v>
      </c>
      <c r="G1660" s="114" t="s">
        <v>1174</v>
      </c>
      <c r="H1660" s="114" t="s">
        <v>21</v>
      </c>
      <c r="I1660" s="136">
        <v>4550</v>
      </c>
      <c r="J1660" s="114">
        <v>0</v>
      </c>
      <c r="K1660" s="136">
        <v>4550</v>
      </c>
      <c r="L1660" s="283">
        <v>4550</v>
      </c>
      <c r="M1660" s="283"/>
      <c r="N1660" s="136">
        <f t="shared" si="103"/>
        <v>0</v>
      </c>
      <c r="O1660" s="269" t="s">
        <v>1477</v>
      </c>
      <c r="P1660" s="269"/>
      <c r="XFC1660"/>
    </row>
    <row r="1661" s="84" customFormat="1" spans="1:16383">
      <c r="A1661" s="289">
        <v>46082</v>
      </c>
      <c r="B1661" s="114" t="str">
        <f t="shared" si="102"/>
        <v>2F</v>
      </c>
      <c r="C1661" s="290" t="s">
        <v>471</v>
      </c>
      <c r="D1661" s="290" t="s">
        <v>472</v>
      </c>
      <c r="E1661" s="290" t="s">
        <v>473</v>
      </c>
      <c r="F1661" s="117" t="s">
        <v>1440</v>
      </c>
      <c r="G1661" s="290" t="s">
        <v>1174</v>
      </c>
      <c r="H1661" s="290" t="s">
        <v>23</v>
      </c>
      <c r="I1661" s="294">
        <v>3960</v>
      </c>
      <c r="J1661" s="290">
        <v>0</v>
      </c>
      <c r="K1661" s="294">
        <v>3960</v>
      </c>
      <c r="L1661" s="283">
        <v>3960</v>
      </c>
      <c r="M1661" s="283"/>
      <c r="N1661" s="136">
        <f t="shared" si="103"/>
        <v>0</v>
      </c>
      <c r="O1661" s="269" t="s">
        <v>1478</v>
      </c>
      <c r="P1661" s="269"/>
      <c r="XFC1661"/>
    </row>
    <row r="1662" s="84" customFormat="1" spans="1:16383">
      <c r="A1662" s="289">
        <v>46082</v>
      </c>
      <c r="B1662" s="114" t="str">
        <f t="shared" si="102"/>
        <v>2F</v>
      </c>
      <c r="C1662" s="290" t="s">
        <v>471</v>
      </c>
      <c r="D1662" s="290" t="s">
        <v>472</v>
      </c>
      <c r="E1662" s="290" t="s">
        <v>473</v>
      </c>
      <c r="F1662" s="117" t="s">
        <v>1440</v>
      </c>
      <c r="G1662" s="290" t="s">
        <v>1174</v>
      </c>
      <c r="H1662" s="290" t="s">
        <v>21</v>
      </c>
      <c r="I1662" s="294">
        <v>3535.92</v>
      </c>
      <c r="J1662" s="290">
        <v>0</v>
      </c>
      <c r="K1662" s="294">
        <v>3535.92</v>
      </c>
      <c r="L1662" s="283">
        <v>3535.92</v>
      </c>
      <c r="M1662" s="283">
        <v>2167.76</v>
      </c>
      <c r="N1662" s="136">
        <f t="shared" si="103"/>
        <v>0</v>
      </c>
      <c r="O1662" s="269" t="s">
        <v>1478</v>
      </c>
      <c r="P1662" s="269"/>
      <c r="XFC1662"/>
    </row>
    <row r="1663" s="84" customFormat="1" spans="1:16383">
      <c r="A1663" s="289">
        <v>46082</v>
      </c>
      <c r="B1663" s="114" t="str">
        <f t="shared" si="102"/>
        <v>2F</v>
      </c>
      <c r="C1663" s="290" t="s">
        <v>488</v>
      </c>
      <c r="D1663" s="290" t="s">
        <v>1479</v>
      </c>
      <c r="E1663" s="290" t="s">
        <v>490</v>
      </c>
      <c r="F1663" s="117" t="s">
        <v>1440</v>
      </c>
      <c r="G1663" s="290" t="s">
        <v>1475</v>
      </c>
      <c r="H1663" s="290" t="s">
        <v>23</v>
      </c>
      <c r="I1663" s="294">
        <v>7305.21</v>
      </c>
      <c r="J1663" s="290">
        <v>0</v>
      </c>
      <c r="K1663" s="294">
        <v>7305.21</v>
      </c>
      <c r="L1663" s="283">
        <v>7305.21</v>
      </c>
      <c r="M1663" s="283"/>
      <c r="N1663" s="136">
        <f t="shared" si="103"/>
        <v>0</v>
      </c>
      <c r="O1663" s="269" t="s">
        <v>1480</v>
      </c>
      <c r="P1663" s="269"/>
      <c r="XFC1663"/>
    </row>
    <row r="1664" s="84" customFormat="1" spans="1:16383">
      <c r="A1664" s="118">
        <v>46082</v>
      </c>
      <c r="B1664" s="114" t="str">
        <f t="shared" si="102"/>
        <v>2F</v>
      </c>
      <c r="C1664" s="114" t="s">
        <v>488</v>
      </c>
      <c r="D1664" s="114" t="s">
        <v>1479</v>
      </c>
      <c r="E1664" s="114" t="s">
        <v>490</v>
      </c>
      <c r="F1664" s="117" t="s">
        <v>1440</v>
      </c>
      <c r="G1664" s="114" t="s">
        <v>1174</v>
      </c>
      <c r="H1664" s="114" t="s">
        <v>23</v>
      </c>
      <c r="I1664" s="136">
        <v>11110</v>
      </c>
      <c r="J1664" s="114">
        <v>0</v>
      </c>
      <c r="K1664" s="136">
        <v>11110</v>
      </c>
      <c r="L1664" s="283">
        <v>11110</v>
      </c>
      <c r="M1664" s="283"/>
      <c r="N1664" s="136">
        <f t="shared" si="103"/>
        <v>0</v>
      </c>
      <c r="O1664" s="269" t="s">
        <v>1480</v>
      </c>
      <c r="P1664" s="269"/>
      <c r="XFC1664"/>
    </row>
    <row r="1665" s="84" customFormat="1" spans="1:16383">
      <c r="A1665" s="289">
        <v>46082</v>
      </c>
      <c r="B1665" s="114" t="str">
        <f t="shared" si="102"/>
        <v>2F</v>
      </c>
      <c r="C1665" s="290" t="s">
        <v>488</v>
      </c>
      <c r="D1665" s="290" t="s">
        <v>1479</v>
      </c>
      <c r="E1665" s="290" t="s">
        <v>490</v>
      </c>
      <c r="F1665" s="117" t="s">
        <v>1440</v>
      </c>
      <c r="G1665" s="290" t="s">
        <v>1475</v>
      </c>
      <c r="H1665" s="290" t="s">
        <v>21</v>
      </c>
      <c r="I1665" s="294">
        <v>2558.15</v>
      </c>
      <c r="J1665" s="290">
        <v>0</v>
      </c>
      <c r="K1665" s="294">
        <v>2558.15</v>
      </c>
      <c r="L1665" s="283">
        <v>2558.15</v>
      </c>
      <c r="M1665" s="283"/>
      <c r="N1665" s="136">
        <f t="shared" si="103"/>
        <v>0</v>
      </c>
      <c r="O1665" s="269" t="s">
        <v>1480</v>
      </c>
      <c r="P1665" s="269"/>
      <c r="XFC1665"/>
    </row>
    <row r="1666" s="84" customFormat="1" spans="1:16383">
      <c r="A1666" s="118">
        <v>46082</v>
      </c>
      <c r="B1666" s="114" t="str">
        <f t="shared" si="102"/>
        <v>2F</v>
      </c>
      <c r="C1666" s="114" t="s">
        <v>488</v>
      </c>
      <c r="D1666" s="114" t="s">
        <v>1479</v>
      </c>
      <c r="E1666" s="114" t="s">
        <v>490</v>
      </c>
      <c r="F1666" s="117" t="s">
        <v>1440</v>
      </c>
      <c r="G1666" s="114" t="s">
        <v>1174</v>
      </c>
      <c r="H1666" s="114" t="s">
        <v>21</v>
      </c>
      <c r="I1666" s="136">
        <v>3890.52</v>
      </c>
      <c r="J1666" s="114">
        <v>0</v>
      </c>
      <c r="K1666" s="136">
        <v>3890.52</v>
      </c>
      <c r="L1666" s="283">
        <v>3890.52</v>
      </c>
      <c r="M1666" s="283"/>
      <c r="N1666" s="136">
        <f t="shared" si="103"/>
        <v>0</v>
      </c>
      <c r="O1666" s="269" t="s">
        <v>1480</v>
      </c>
      <c r="P1666" s="269"/>
      <c r="XFC1666"/>
    </row>
    <row r="1667" s="84" customFormat="1" spans="1:16383">
      <c r="A1667" s="118">
        <v>46082</v>
      </c>
      <c r="B1667" s="114" t="str">
        <f t="shared" si="102"/>
        <v>3F</v>
      </c>
      <c r="C1667" s="114" t="s">
        <v>509</v>
      </c>
      <c r="D1667" s="114" t="s">
        <v>510</v>
      </c>
      <c r="E1667" s="114" t="s">
        <v>511</v>
      </c>
      <c r="F1667" s="117" t="s">
        <v>1481</v>
      </c>
      <c r="G1667" s="114" t="s">
        <v>295</v>
      </c>
      <c r="H1667" s="114" t="s">
        <v>23</v>
      </c>
      <c r="I1667" s="136">
        <v>1705</v>
      </c>
      <c r="J1667" s="136">
        <v>0</v>
      </c>
      <c r="K1667" s="136">
        <v>1705</v>
      </c>
      <c r="L1667" s="283">
        <f>1155+550</f>
        <v>1705</v>
      </c>
      <c r="M1667" s="283"/>
      <c r="N1667" s="136">
        <f t="shared" si="103"/>
        <v>0</v>
      </c>
      <c r="O1667" s="269" t="s">
        <v>1482</v>
      </c>
      <c r="P1667" s="269"/>
      <c r="XFC1667"/>
    </row>
    <row r="1668" s="84" customFormat="1" spans="1:16383">
      <c r="A1668" s="118">
        <v>46082</v>
      </c>
      <c r="B1668" s="114" t="str">
        <f t="shared" si="102"/>
        <v>3F</v>
      </c>
      <c r="C1668" s="114" t="s">
        <v>509</v>
      </c>
      <c r="D1668" s="114" t="s">
        <v>510</v>
      </c>
      <c r="E1668" s="114" t="s">
        <v>511</v>
      </c>
      <c r="F1668" s="117" t="s">
        <v>1481</v>
      </c>
      <c r="G1668" s="114" t="s">
        <v>296</v>
      </c>
      <c r="H1668" s="114" t="s">
        <v>23</v>
      </c>
      <c r="I1668" s="136">
        <v>1705</v>
      </c>
      <c r="J1668" s="136">
        <v>0</v>
      </c>
      <c r="K1668" s="136">
        <v>1705</v>
      </c>
      <c r="L1668" s="283">
        <v>1705</v>
      </c>
      <c r="M1668" s="283"/>
      <c r="N1668" s="136">
        <f t="shared" si="103"/>
        <v>0</v>
      </c>
      <c r="O1668" s="269" t="s">
        <v>1483</v>
      </c>
      <c r="P1668" s="269"/>
      <c r="XFC1668"/>
    </row>
    <row r="1669" s="84" customFormat="1" spans="1:16383">
      <c r="A1669" s="118">
        <v>46082</v>
      </c>
      <c r="B1669" s="114" t="str">
        <f t="shared" si="102"/>
        <v>3F</v>
      </c>
      <c r="C1669" s="114" t="s">
        <v>509</v>
      </c>
      <c r="D1669" s="114" t="s">
        <v>510</v>
      </c>
      <c r="E1669" s="114" t="s">
        <v>511</v>
      </c>
      <c r="F1669" s="117" t="s">
        <v>1481</v>
      </c>
      <c r="G1669" s="114" t="s">
        <v>297</v>
      </c>
      <c r="H1669" s="114" t="s">
        <v>23</v>
      </c>
      <c r="I1669" s="136">
        <v>1705</v>
      </c>
      <c r="J1669" s="136">
        <v>0</v>
      </c>
      <c r="K1669" s="136">
        <v>1705</v>
      </c>
      <c r="L1669" s="283">
        <v>1705</v>
      </c>
      <c r="M1669" s="283"/>
      <c r="N1669" s="136">
        <f t="shared" si="103"/>
        <v>0</v>
      </c>
      <c r="O1669" s="269" t="s">
        <v>1483</v>
      </c>
      <c r="P1669" s="269"/>
      <c r="XFC1669"/>
    </row>
    <row r="1670" s="84" customFormat="1" spans="1:16383">
      <c r="A1670" s="118">
        <v>46082</v>
      </c>
      <c r="B1670" s="114" t="str">
        <f t="shared" si="102"/>
        <v>3F</v>
      </c>
      <c r="C1670" s="114" t="s">
        <v>509</v>
      </c>
      <c r="D1670" s="114" t="s">
        <v>510</v>
      </c>
      <c r="E1670" s="114" t="s">
        <v>511</v>
      </c>
      <c r="F1670" s="117" t="s">
        <v>1481</v>
      </c>
      <c r="G1670" s="114" t="s">
        <v>295</v>
      </c>
      <c r="H1670" s="114" t="s">
        <v>21</v>
      </c>
      <c r="I1670" s="136">
        <v>2294.93</v>
      </c>
      <c r="J1670" s="136">
        <v>0</v>
      </c>
      <c r="K1670" s="136">
        <v>2294.93</v>
      </c>
      <c r="L1670" s="283">
        <v>2294.93</v>
      </c>
      <c r="M1670" s="283"/>
      <c r="N1670" s="136">
        <f t="shared" si="103"/>
        <v>0</v>
      </c>
      <c r="O1670" s="269" t="s">
        <v>1483</v>
      </c>
      <c r="P1670" s="269"/>
      <c r="XFC1670"/>
    </row>
    <row r="1671" s="84" customFormat="1" spans="1:16383">
      <c r="A1671" s="118">
        <v>46082</v>
      </c>
      <c r="B1671" s="114" t="str">
        <f t="shared" si="102"/>
        <v>3F</v>
      </c>
      <c r="C1671" s="114" t="s">
        <v>509</v>
      </c>
      <c r="D1671" s="114" t="s">
        <v>510</v>
      </c>
      <c r="E1671" s="114" t="s">
        <v>511</v>
      </c>
      <c r="F1671" s="117" t="s">
        <v>1481</v>
      </c>
      <c r="G1671" s="114" t="s">
        <v>296</v>
      </c>
      <c r="H1671" s="114" t="s">
        <v>21</v>
      </c>
      <c r="I1671" s="136">
        <v>2294.93</v>
      </c>
      <c r="J1671" s="136">
        <v>0</v>
      </c>
      <c r="K1671" s="136">
        <v>2294.93</v>
      </c>
      <c r="L1671" s="283">
        <v>2294.93</v>
      </c>
      <c r="M1671" s="283"/>
      <c r="N1671" s="136">
        <f t="shared" si="103"/>
        <v>0</v>
      </c>
      <c r="O1671" s="269" t="s">
        <v>1483</v>
      </c>
      <c r="P1671" s="269"/>
      <c r="XFC1671"/>
    </row>
    <row r="1672" s="84" customFormat="1" spans="1:16383">
      <c r="A1672" s="118">
        <v>46082</v>
      </c>
      <c r="B1672" s="114" t="str">
        <f t="shared" si="102"/>
        <v>3F</v>
      </c>
      <c r="C1672" s="114" t="s">
        <v>509</v>
      </c>
      <c r="D1672" s="114" t="s">
        <v>510</v>
      </c>
      <c r="E1672" s="114" t="s">
        <v>511</v>
      </c>
      <c r="F1672" s="117" t="s">
        <v>1481</v>
      </c>
      <c r="G1672" s="114" t="s">
        <v>297</v>
      </c>
      <c r="H1672" s="114" t="s">
        <v>21</v>
      </c>
      <c r="I1672" s="136">
        <v>2294.93</v>
      </c>
      <c r="J1672" s="136">
        <v>0</v>
      </c>
      <c r="K1672" s="136">
        <v>2294.93</v>
      </c>
      <c r="L1672" s="283">
        <v>2294.93</v>
      </c>
      <c r="M1672" s="283"/>
      <c r="N1672" s="136">
        <f t="shared" si="103"/>
        <v>0</v>
      </c>
      <c r="O1672" s="269" t="s">
        <v>1483</v>
      </c>
      <c r="P1672" s="269"/>
      <c r="XFC1672"/>
    </row>
    <row r="1673" s="84" customFormat="1" spans="1:16383">
      <c r="A1673" s="289">
        <v>46082</v>
      </c>
      <c r="B1673" s="114" t="str">
        <f t="shared" si="102"/>
        <v>3F</v>
      </c>
      <c r="C1673" s="290" t="s">
        <v>526</v>
      </c>
      <c r="D1673" s="290" t="s">
        <v>518</v>
      </c>
      <c r="E1673" s="290" t="s">
        <v>1081</v>
      </c>
      <c r="F1673" s="117">
        <v>46097</v>
      </c>
      <c r="G1673" s="290" t="s">
        <v>96</v>
      </c>
      <c r="H1673" s="290" t="s">
        <v>23</v>
      </c>
      <c r="I1673" s="294">
        <v>1397.08</v>
      </c>
      <c r="J1673" s="290"/>
      <c r="K1673" s="294">
        <v>1397.08</v>
      </c>
      <c r="L1673" s="283">
        <v>1397.08</v>
      </c>
      <c r="M1673" s="283"/>
      <c r="N1673" s="136">
        <f t="shared" si="103"/>
        <v>0</v>
      </c>
      <c r="O1673" s="269" t="s">
        <v>1359</v>
      </c>
      <c r="P1673" s="269" t="s">
        <v>1484</v>
      </c>
      <c r="XFC1673"/>
    </row>
    <row r="1674" s="84" customFormat="1" spans="1:16383">
      <c r="A1674" s="289">
        <v>46082</v>
      </c>
      <c r="B1674" s="114" t="str">
        <f t="shared" si="102"/>
        <v>3F</v>
      </c>
      <c r="C1674" s="290" t="s">
        <v>526</v>
      </c>
      <c r="D1674" s="290" t="s">
        <v>518</v>
      </c>
      <c r="E1674" s="290" t="s">
        <v>1081</v>
      </c>
      <c r="F1674" s="117">
        <v>46097</v>
      </c>
      <c r="G1674" s="290" t="s">
        <v>96</v>
      </c>
      <c r="H1674" s="290" t="s">
        <v>21</v>
      </c>
      <c r="I1674" s="294">
        <v>12650.22</v>
      </c>
      <c r="J1674" s="290"/>
      <c r="K1674" s="294">
        <v>12650.22</v>
      </c>
      <c r="L1674" s="283">
        <v>12650.22</v>
      </c>
      <c r="M1674" s="283"/>
      <c r="N1674" s="136">
        <f t="shared" si="103"/>
        <v>0</v>
      </c>
      <c r="O1674" s="269" t="s">
        <v>1359</v>
      </c>
      <c r="P1674" s="269" t="s">
        <v>1484</v>
      </c>
      <c r="XFC1674"/>
    </row>
    <row r="1675" s="84" customFormat="1" spans="1:16383">
      <c r="A1675" s="118">
        <v>46082</v>
      </c>
      <c r="B1675" s="114" t="str">
        <f t="shared" si="102"/>
        <v>3F</v>
      </c>
      <c r="C1675" s="114" t="s">
        <v>1267</v>
      </c>
      <c r="D1675" s="114" t="s">
        <v>1268</v>
      </c>
      <c r="E1675" s="114" t="s">
        <v>1269</v>
      </c>
      <c r="F1675" s="117" t="s">
        <v>1440</v>
      </c>
      <c r="G1675" s="114" t="s">
        <v>1448</v>
      </c>
      <c r="H1675" s="114" t="s">
        <v>23</v>
      </c>
      <c r="I1675" s="136">
        <v>8550</v>
      </c>
      <c r="J1675" s="114">
        <v>0</v>
      </c>
      <c r="K1675" s="136">
        <v>8550</v>
      </c>
      <c r="L1675" s="283">
        <v>8550</v>
      </c>
      <c r="M1675" s="283"/>
      <c r="N1675" s="136">
        <f t="shared" si="103"/>
        <v>0</v>
      </c>
      <c r="O1675" s="269" t="s">
        <v>1326</v>
      </c>
      <c r="P1675" s="269"/>
      <c r="XFC1675"/>
    </row>
    <row r="1676" s="84" customFormat="1" spans="1:16383">
      <c r="A1676" s="118">
        <v>46082</v>
      </c>
      <c r="B1676" s="114" t="str">
        <f t="shared" si="102"/>
        <v>3F</v>
      </c>
      <c r="C1676" s="114" t="s">
        <v>1267</v>
      </c>
      <c r="D1676" s="114" t="s">
        <v>1268</v>
      </c>
      <c r="E1676" s="114" t="s">
        <v>1269</v>
      </c>
      <c r="F1676" s="117" t="s">
        <v>1440</v>
      </c>
      <c r="G1676" s="114" t="s">
        <v>1338</v>
      </c>
      <c r="H1676" s="114" t="s">
        <v>23</v>
      </c>
      <c r="I1676" s="136">
        <v>8550</v>
      </c>
      <c r="J1676" s="114">
        <v>0</v>
      </c>
      <c r="K1676" s="136">
        <v>8550</v>
      </c>
      <c r="L1676" s="283">
        <v>8550</v>
      </c>
      <c r="M1676" s="283"/>
      <c r="N1676" s="136">
        <f t="shared" si="103"/>
        <v>0</v>
      </c>
      <c r="O1676" s="269" t="s">
        <v>1326</v>
      </c>
      <c r="P1676" s="269"/>
      <c r="XFC1676"/>
    </row>
    <row r="1677" s="84" customFormat="1" spans="1:16383">
      <c r="A1677" s="118">
        <v>46082</v>
      </c>
      <c r="B1677" s="114" t="str">
        <f t="shared" si="102"/>
        <v>3F</v>
      </c>
      <c r="C1677" s="114" t="s">
        <v>1267</v>
      </c>
      <c r="D1677" s="114" t="s">
        <v>1268</v>
      </c>
      <c r="E1677" s="114" t="s">
        <v>1269</v>
      </c>
      <c r="F1677" s="117" t="s">
        <v>1440</v>
      </c>
      <c r="G1677" s="114" t="s">
        <v>1174</v>
      </c>
      <c r="H1677" s="114" t="s">
        <v>23</v>
      </c>
      <c r="I1677" s="136">
        <v>8550</v>
      </c>
      <c r="J1677" s="114">
        <v>0</v>
      </c>
      <c r="K1677" s="136">
        <v>8550</v>
      </c>
      <c r="L1677" s="283">
        <v>8550</v>
      </c>
      <c r="M1677" s="283"/>
      <c r="N1677" s="136">
        <f t="shared" si="103"/>
        <v>0</v>
      </c>
      <c r="O1677" s="269" t="s">
        <v>1326</v>
      </c>
      <c r="P1677" s="269"/>
      <c r="XFC1677"/>
    </row>
    <row r="1678" s="84" customFormat="1" spans="1:16383">
      <c r="A1678" s="118">
        <v>46082</v>
      </c>
      <c r="B1678" s="114" t="str">
        <f t="shared" si="102"/>
        <v>3F</v>
      </c>
      <c r="C1678" s="114" t="s">
        <v>1267</v>
      </c>
      <c r="D1678" s="114" t="s">
        <v>1268</v>
      </c>
      <c r="E1678" s="114" t="s">
        <v>1269</v>
      </c>
      <c r="F1678" s="117" t="s">
        <v>1440</v>
      </c>
      <c r="G1678" s="114" t="s">
        <v>1448</v>
      </c>
      <c r="H1678" s="114" t="s">
        <v>21</v>
      </c>
      <c r="I1678" s="136">
        <v>2850</v>
      </c>
      <c r="J1678" s="114">
        <v>0</v>
      </c>
      <c r="K1678" s="136">
        <v>2850</v>
      </c>
      <c r="L1678" s="283">
        <v>2850</v>
      </c>
      <c r="M1678" s="283"/>
      <c r="N1678" s="136">
        <f t="shared" si="103"/>
        <v>0</v>
      </c>
      <c r="O1678" s="269" t="s">
        <v>1326</v>
      </c>
      <c r="P1678" s="269"/>
      <c r="XFC1678"/>
    </row>
    <row r="1679" s="84" customFormat="1" spans="1:16383">
      <c r="A1679" s="118">
        <v>46082</v>
      </c>
      <c r="B1679" s="114" t="str">
        <f t="shared" si="102"/>
        <v>3F</v>
      </c>
      <c r="C1679" s="114" t="s">
        <v>1267</v>
      </c>
      <c r="D1679" s="114" t="s">
        <v>1268</v>
      </c>
      <c r="E1679" s="114" t="s">
        <v>1269</v>
      </c>
      <c r="F1679" s="117" t="s">
        <v>1440</v>
      </c>
      <c r="G1679" s="114" t="s">
        <v>1338</v>
      </c>
      <c r="H1679" s="114" t="s">
        <v>21</v>
      </c>
      <c r="I1679" s="136">
        <v>2850</v>
      </c>
      <c r="J1679" s="114">
        <v>0</v>
      </c>
      <c r="K1679" s="136">
        <v>2850</v>
      </c>
      <c r="L1679" s="283">
        <v>2850</v>
      </c>
      <c r="M1679" s="283"/>
      <c r="N1679" s="136">
        <f t="shared" si="103"/>
        <v>0</v>
      </c>
      <c r="O1679" s="269" t="s">
        <v>1326</v>
      </c>
      <c r="P1679" s="269"/>
      <c r="XFC1679"/>
    </row>
    <row r="1680" s="84" customFormat="1" spans="1:16383">
      <c r="A1680" s="118">
        <v>46082</v>
      </c>
      <c r="B1680" s="114" t="str">
        <f t="shared" si="102"/>
        <v>3F</v>
      </c>
      <c r="C1680" s="114" t="s">
        <v>1267</v>
      </c>
      <c r="D1680" s="114" t="s">
        <v>1268</v>
      </c>
      <c r="E1680" s="114" t="s">
        <v>1269</v>
      </c>
      <c r="F1680" s="117" t="s">
        <v>1440</v>
      </c>
      <c r="G1680" s="114" t="s">
        <v>1174</v>
      </c>
      <c r="H1680" s="114" t="s">
        <v>21</v>
      </c>
      <c r="I1680" s="136">
        <v>2850</v>
      </c>
      <c r="J1680" s="114">
        <v>0</v>
      </c>
      <c r="K1680" s="136">
        <v>2850</v>
      </c>
      <c r="L1680" s="283">
        <v>2850</v>
      </c>
      <c r="M1680" s="283"/>
      <c r="N1680" s="136">
        <f t="shared" si="103"/>
        <v>0</v>
      </c>
      <c r="O1680" s="269" t="s">
        <v>1326</v>
      </c>
      <c r="P1680" s="269"/>
      <c r="XFC1680"/>
    </row>
    <row r="1681" s="84" customFormat="1" spans="1:16383">
      <c r="A1681" s="118">
        <v>46082</v>
      </c>
      <c r="B1681" s="114" t="str">
        <f t="shared" si="102"/>
        <v>3F</v>
      </c>
      <c r="C1681" s="114" t="s">
        <v>540</v>
      </c>
      <c r="D1681" s="114" t="s">
        <v>541</v>
      </c>
      <c r="E1681" s="114" t="s">
        <v>542</v>
      </c>
      <c r="F1681" s="117" t="s">
        <v>1440</v>
      </c>
      <c r="G1681" s="114" t="s">
        <v>1448</v>
      </c>
      <c r="H1681" s="114" t="s">
        <v>23</v>
      </c>
      <c r="I1681" s="136">
        <v>2269.8</v>
      </c>
      <c r="J1681" s="114">
        <v>0</v>
      </c>
      <c r="K1681" s="136">
        <v>2269.8</v>
      </c>
      <c r="L1681" s="283">
        <v>2269.8</v>
      </c>
      <c r="M1681" s="283"/>
      <c r="N1681" s="136">
        <f t="shared" si="103"/>
        <v>0</v>
      </c>
      <c r="O1681" s="269" t="s">
        <v>1485</v>
      </c>
      <c r="P1681" s="269"/>
      <c r="XFC1681"/>
    </row>
    <row r="1682" s="84" customFormat="1" spans="1:16383">
      <c r="A1682" s="118">
        <v>46082</v>
      </c>
      <c r="B1682" s="114" t="str">
        <f t="shared" si="102"/>
        <v>3F</v>
      </c>
      <c r="C1682" s="114" t="s">
        <v>540</v>
      </c>
      <c r="D1682" s="114" t="s">
        <v>541</v>
      </c>
      <c r="E1682" s="114" t="s">
        <v>542</v>
      </c>
      <c r="F1682" s="117" t="s">
        <v>1440</v>
      </c>
      <c r="G1682" s="114" t="s">
        <v>1338</v>
      </c>
      <c r="H1682" s="114" t="s">
        <v>23</v>
      </c>
      <c r="I1682" s="136">
        <v>2269.8</v>
      </c>
      <c r="J1682" s="114">
        <v>0</v>
      </c>
      <c r="K1682" s="136">
        <v>2269.8</v>
      </c>
      <c r="L1682" s="283">
        <f>2269.2+0.6</f>
        <v>2269.8</v>
      </c>
      <c r="M1682" s="283"/>
      <c r="N1682" s="136">
        <f t="shared" si="103"/>
        <v>0</v>
      </c>
      <c r="O1682" s="269" t="s">
        <v>1486</v>
      </c>
      <c r="P1682" s="269"/>
      <c r="XFC1682"/>
    </row>
    <row r="1683" s="84" customFormat="1" spans="1:16383">
      <c r="A1683" s="118">
        <v>46082</v>
      </c>
      <c r="B1683" s="114" t="str">
        <f t="shared" si="102"/>
        <v>3F</v>
      </c>
      <c r="C1683" s="114" t="s">
        <v>540</v>
      </c>
      <c r="D1683" s="114" t="s">
        <v>541</v>
      </c>
      <c r="E1683" s="114" t="s">
        <v>542</v>
      </c>
      <c r="F1683" s="117" t="s">
        <v>1440</v>
      </c>
      <c r="G1683" s="114" t="s">
        <v>1174</v>
      </c>
      <c r="H1683" s="114" t="s">
        <v>23</v>
      </c>
      <c r="I1683" s="136">
        <v>2269.8</v>
      </c>
      <c r="J1683" s="114">
        <v>0</v>
      </c>
      <c r="K1683" s="136">
        <v>2269.8</v>
      </c>
      <c r="L1683" s="283">
        <f>2269.2+0.6</f>
        <v>2269.8</v>
      </c>
      <c r="M1683" s="283"/>
      <c r="N1683" s="136">
        <f t="shared" si="103"/>
        <v>0</v>
      </c>
      <c r="O1683" s="269" t="s">
        <v>1487</v>
      </c>
      <c r="P1683" s="269"/>
      <c r="XFC1683"/>
    </row>
    <row r="1684" s="84" customFormat="1" spans="1:16383">
      <c r="A1684" s="118">
        <v>46082</v>
      </c>
      <c r="B1684" s="114" t="str">
        <f t="shared" si="102"/>
        <v>3F</v>
      </c>
      <c r="C1684" s="114" t="s">
        <v>540</v>
      </c>
      <c r="D1684" s="114" t="s">
        <v>541</v>
      </c>
      <c r="E1684" s="114" t="s">
        <v>542</v>
      </c>
      <c r="F1684" s="117" t="s">
        <v>1440</v>
      </c>
      <c r="G1684" s="114" t="s">
        <v>1448</v>
      </c>
      <c r="H1684" s="114" t="s">
        <v>21</v>
      </c>
      <c r="I1684" s="136">
        <v>2893.8</v>
      </c>
      <c r="J1684" s="114">
        <v>0</v>
      </c>
      <c r="K1684" s="136">
        <v>2893.8</v>
      </c>
      <c r="L1684" s="283">
        <v>2893.8</v>
      </c>
      <c r="M1684" s="283"/>
      <c r="N1684" s="136">
        <f t="shared" si="103"/>
        <v>0</v>
      </c>
      <c r="O1684" s="269" t="s">
        <v>1485</v>
      </c>
      <c r="P1684" s="269"/>
      <c r="XFC1684"/>
    </row>
    <row r="1685" s="84" customFormat="1" spans="1:16383">
      <c r="A1685" s="118">
        <v>46082</v>
      </c>
      <c r="B1685" s="114" t="str">
        <f t="shared" si="102"/>
        <v>3F</v>
      </c>
      <c r="C1685" s="114" t="s">
        <v>540</v>
      </c>
      <c r="D1685" s="114" t="s">
        <v>541</v>
      </c>
      <c r="E1685" s="114" t="s">
        <v>542</v>
      </c>
      <c r="F1685" s="117" t="s">
        <v>1440</v>
      </c>
      <c r="G1685" s="114" t="s">
        <v>1338</v>
      </c>
      <c r="H1685" s="114" t="s">
        <v>21</v>
      </c>
      <c r="I1685" s="136">
        <v>2893.8</v>
      </c>
      <c r="J1685" s="114">
        <v>0</v>
      </c>
      <c r="K1685" s="136">
        <v>2893.8</v>
      </c>
      <c r="L1685" s="283">
        <v>2893.8</v>
      </c>
      <c r="M1685" s="283"/>
      <c r="N1685" s="136">
        <f t="shared" si="103"/>
        <v>0</v>
      </c>
      <c r="O1685" s="269" t="s">
        <v>1488</v>
      </c>
      <c r="P1685" s="269"/>
      <c r="XFC1685"/>
    </row>
    <row r="1686" s="84" customFormat="1" spans="1:16383">
      <c r="A1686" s="118">
        <v>46082</v>
      </c>
      <c r="B1686" s="114" t="str">
        <f t="shared" si="102"/>
        <v>3F</v>
      </c>
      <c r="C1686" s="114" t="s">
        <v>540</v>
      </c>
      <c r="D1686" s="114" t="s">
        <v>541</v>
      </c>
      <c r="E1686" s="114" t="s">
        <v>542</v>
      </c>
      <c r="F1686" s="117" t="s">
        <v>1440</v>
      </c>
      <c r="G1686" s="114" t="s">
        <v>1174</v>
      </c>
      <c r="H1686" s="114" t="s">
        <v>21</v>
      </c>
      <c r="I1686" s="136">
        <v>2893.8</v>
      </c>
      <c r="J1686" s="114">
        <v>0</v>
      </c>
      <c r="K1686" s="136">
        <v>2893.8</v>
      </c>
      <c r="L1686" s="283">
        <v>2893.8</v>
      </c>
      <c r="M1686" s="283"/>
      <c r="N1686" s="136">
        <f t="shared" si="103"/>
        <v>0</v>
      </c>
      <c r="O1686" s="269" t="s">
        <v>1489</v>
      </c>
      <c r="P1686" s="269"/>
      <c r="XFC1686"/>
    </row>
    <row r="1687" s="84" customFormat="1" spans="1:16383">
      <c r="A1687" s="289">
        <v>46082</v>
      </c>
      <c r="B1687" s="114" t="str">
        <f t="shared" si="102"/>
        <v>3F</v>
      </c>
      <c r="C1687" s="290" t="s">
        <v>549</v>
      </c>
      <c r="D1687" s="290" t="s">
        <v>550</v>
      </c>
      <c r="E1687" s="290" t="s">
        <v>551</v>
      </c>
      <c r="F1687" s="117" t="s">
        <v>1440</v>
      </c>
      <c r="G1687" s="290" t="s">
        <v>1490</v>
      </c>
      <c r="H1687" s="290" t="s">
        <v>23</v>
      </c>
      <c r="I1687" s="294">
        <v>1996.27</v>
      </c>
      <c r="J1687" s="290">
        <v>0</v>
      </c>
      <c r="K1687" s="294">
        <v>1996.27</v>
      </c>
      <c r="L1687" s="283">
        <v>1996.27</v>
      </c>
      <c r="M1687" s="283"/>
      <c r="N1687" s="136">
        <f t="shared" si="103"/>
        <v>0</v>
      </c>
      <c r="O1687" s="269" t="s">
        <v>1444</v>
      </c>
      <c r="P1687" s="269"/>
      <c r="XFC1687"/>
    </row>
    <row r="1688" s="84" customFormat="1" spans="1:16383">
      <c r="A1688" s="289">
        <v>46082</v>
      </c>
      <c r="B1688" s="114" t="str">
        <f t="shared" si="102"/>
        <v>3F</v>
      </c>
      <c r="C1688" s="290" t="s">
        <v>549</v>
      </c>
      <c r="D1688" s="290" t="s">
        <v>550</v>
      </c>
      <c r="E1688" s="290" t="s">
        <v>551</v>
      </c>
      <c r="F1688" s="117" t="s">
        <v>1440</v>
      </c>
      <c r="G1688" s="290" t="s">
        <v>1490</v>
      </c>
      <c r="H1688" s="290" t="s">
        <v>21</v>
      </c>
      <c r="I1688" s="294">
        <v>1633.32</v>
      </c>
      <c r="J1688" s="290">
        <v>0</v>
      </c>
      <c r="K1688" s="294">
        <v>1633.32</v>
      </c>
      <c r="L1688" s="283">
        <v>1633.32</v>
      </c>
      <c r="M1688" s="283"/>
      <c r="N1688" s="136">
        <f t="shared" si="103"/>
        <v>0</v>
      </c>
      <c r="O1688" s="269" t="s">
        <v>1444</v>
      </c>
      <c r="P1688" s="269"/>
      <c r="XFC1688"/>
    </row>
    <row r="1689" s="84" customFormat="1" spans="1:16383">
      <c r="A1689" s="118">
        <v>46082</v>
      </c>
      <c r="B1689" s="114" t="str">
        <f t="shared" si="102"/>
        <v>3F</v>
      </c>
      <c r="C1689" s="114" t="s">
        <v>552</v>
      </c>
      <c r="D1689" s="114" t="s">
        <v>553</v>
      </c>
      <c r="E1689" s="114" t="s">
        <v>554</v>
      </c>
      <c r="F1689" s="117" t="s">
        <v>1440</v>
      </c>
      <c r="G1689" s="114" t="s">
        <v>1174</v>
      </c>
      <c r="H1689" s="114" t="s">
        <v>23</v>
      </c>
      <c r="I1689" s="136">
        <v>11030</v>
      </c>
      <c r="J1689" s="114">
        <v>0</v>
      </c>
      <c r="K1689" s="136">
        <v>11030</v>
      </c>
      <c r="L1689" s="283">
        <v>11030</v>
      </c>
      <c r="M1689" s="283"/>
      <c r="N1689" s="136">
        <f t="shared" si="103"/>
        <v>0</v>
      </c>
      <c r="O1689" s="269" t="s">
        <v>1218</v>
      </c>
      <c r="P1689" s="269"/>
      <c r="XFC1689"/>
    </row>
    <row r="1690" s="84" customFormat="1" spans="1:16383">
      <c r="A1690" s="118">
        <v>46082</v>
      </c>
      <c r="B1690" s="114" t="str">
        <f t="shared" si="102"/>
        <v>3F</v>
      </c>
      <c r="C1690" s="114" t="s">
        <v>552</v>
      </c>
      <c r="D1690" s="114" t="s">
        <v>553</v>
      </c>
      <c r="E1690" s="114" t="s">
        <v>554</v>
      </c>
      <c r="F1690" s="117" t="s">
        <v>1440</v>
      </c>
      <c r="G1690" s="114" t="s">
        <v>1174</v>
      </c>
      <c r="H1690" s="114" t="s">
        <v>21</v>
      </c>
      <c r="I1690" s="136">
        <v>35296</v>
      </c>
      <c r="J1690" s="114">
        <v>0</v>
      </c>
      <c r="K1690" s="136">
        <v>35296</v>
      </c>
      <c r="L1690" s="283">
        <v>35296</v>
      </c>
      <c r="M1690" s="283"/>
      <c r="N1690" s="136">
        <f t="shared" si="103"/>
        <v>0</v>
      </c>
      <c r="O1690" s="269" t="s">
        <v>1218</v>
      </c>
      <c r="P1690" s="269"/>
      <c r="XFC1690"/>
    </row>
    <row r="1691" s="84" customFormat="1" spans="1:16383">
      <c r="A1691" s="118">
        <v>46082</v>
      </c>
      <c r="B1691" s="114" t="str">
        <f t="shared" si="102"/>
        <v>3F</v>
      </c>
      <c r="C1691" s="114" t="s">
        <v>575</v>
      </c>
      <c r="D1691" s="114" t="s">
        <v>576</v>
      </c>
      <c r="E1691" s="114" t="s">
        <v>577</v>
      </c>
      <c r="F1691" s="117" t="s">
        <v>1440</v>
      </c>
      <c r="G1691" s="114" t="s">
        <v>1491</v>
      </c>
      <c r="H1691" s="114" t="s">
        <v>23</v>
      </c>
      <c r="I1691" s="136">
        <v>2432.88</v>
      </c>
      <c r="J1691" s="114">
        <v>0</v>
      </c>
      <c r="K1691" s="136">
        <v>2432.88</v>
      </c>
      <c r="L1691" s="283">
        <v>2432.88</v>
      </c>
      <c r="M1691" s="283"/>
      <c r="N1691" s="136">
        <f t="shared" si="103"/>
        <v>0</v>
      </c>
      <c r="O1691" s="269" t="s">
        <v>1492</v>
      </c>
      <c r="P1691" s="269"/>
      <c r="XFC1691"/>
    </row>
    <row r="1692" s="84" customFormat="1" spans="1:16383">
      <c r="A1692" s="118">
        <v>46082</v>
      </c>
      <c r="B1692" s="114" t="str">
        <f t="shared" si="102"/>
        <v>3F</v>
      </c>
      <c r="C1692" s="114" t="s">
        <v>575</v>
      </c>
      <c r="D1692" s="114" t="s">
        <v>576</v>
      </c>
      <c r="E1692" s="114" t="s">
        <v>577</v>
      </c>
      <c r="F1692" s="117" t="s">
        <v>1440</v>
      </c>
      <c r="G1692" s="114" t="s">
        <v>1338</v>
      </c>
      <c r="H1692" s="114" t="s">
        <v>23</v>
      </c>
      <c r="I1692" s="136">
        <v>3700</v>
      </c>
      <c r="J1692" s="114">
        <v>0</v>
      </c>
      <c r="K1692" s="136">
        <v>3700</v>
      </c>
      <c r="L1692" s="283">
        <v>3700</v>
      </c>
      <c r="M1692" s="283"/>
      <c r="N1692" s="136">
        <f t="shared" si="103"/>
        <v>0</v>
      </c>
      <c r="O1692" s="269" t="s">
        <v>1492</v>
      </c>
      <c r="P1692" s="269"/>
      <c r="XFC1692"/>
    </row>
    <row r="1693" s="84" customFormat="1" spans="1:16383">
      <c r="A1693" s="118">
        <v>46082</v>
      </c>
      <c r="B1693" s="114" t="str">
        <f t="shared" ref="B1693:B1756" si="104">MID(C1693,1,2)</f>
        <v>3F</v>
      </c>
      <c r="C1693" s="114" t="s">
        <v>575</v>
      </c>
      <c r="D1693" s="114" t="s">
        <v>576</v>
      </c>
      <c r="E1693" s="114" t="s">
        <v>577</v>
      </c>
      <c r="F1693" s="117" t="s">
        <v>1440</v>
      </c>
      <c r="G1693" s="114" t="s">
        <v>1174</v>
      </c>
      <c r="H1693" s="114" t="s">
        <v>23</v>
      </c>
      <c r="I1693" s="136">
        <v>3700</v>
      </c>
      <c r="J1693" s="114">
        <v>0</v>
      </c>
      <c r="K1693" s="136">
        <v>3700</v>
      </c>
      <c r="L1693" s="283">
        <v>3700</v>
      </c>
      <c r="M1693" s="283"/>
      <c r="N1693" s="136">
        <f t="shared" si="103"/>
        <v>0</v>
      </c>
      <c r="O1693" s="269" t="s">
        <v>1493</v>
      </c>
      <c r="P1693" s="269"/>
      <c r="XFC1693"/>
    </row>
    <row r="1694" s="84" customFormat="1" spans="1:16383">
      <c r="A1694" s="118">
        <v>46082</v>
      </c>
      <c r="B1694" s="114" t="str">
        <f t="shared" si="104"/>
        <v>3F</v>
      </c>
      <c r="C1694" s="114" t="s">
        <v>575</v>
      </c>
      <c r="D1694" s="114" t="s">
        <v>576</v>
      </c>
      <c r="E1694" s="114" t="s">
        <v>577</v>
      </c>
      <c r="F1694" s="117" t="s">
        <v>1440</v>
      </c>
      <c r="G1694" s="114" t="s">
        <v>1491</v>
      </c>
      <c r="H1694" s="114" t="s">
        <v>21</v>
      </c>
      <c r="I1694" s="136">
        <v>2836.73</v>
      </c>
      <c r="J1694" s="114">
        <v>0</v>
      </c>
      <c r="K1694" s="136">
        <v>2836.73</v>
      </c>
      <c r="L1694" s="283">
        <v>2836.73</v>
      </c>
      <c r="M1694" s="283"/>
      <c r="N1694" s="136">
        <f t="shared" si="103"/>
        <v>0</v>
      </c>
      <c r="O1694" s="269" t="s">
        <v>1492</v>
      </c>
      <c r="P1694" s="269"/>
      <c r="XFC1694"/>
    </row>
    <row r="1695" s="84" customFormat="1" spans="1:16383">
      <c r="A1695" s="118">
        <v>46082</v>
      </c>
      <c r="B1695" s="114" t="str">
        <f t="shared" si="104"/>
        <v>3F</v>
      </c>
      <c r="C1695" s="114" t="s">
        <v>575</v>
      </c>
      <c r="D1695" s="114" t="s">
        <v>576</v>
      </c>
      <c r="E1695" s="114" t="s">
        <v>577</v>
      </c>
      <c r="F1695" s="117" t="s">
        <v>1440</v>
      </c>
      <c r="G1695" s="114" t="s">
        <v>1338</v>
      </c>
      <c r="H1695" s="114" t="s">
        <v>21</v>
      </c>
      <c r="I1695" s="136">
        <v>4314.2</v>
      </c>
      <c r="J1695" s="114">
        <v>0</v>
      </c>
      <c r="K1695" s="136">
        <v>4314.2</v>
      </c>
      <c r="L1695" s="283">
        <v>4314.2</v>
      </c>
      <c r="M1695" s="283"/>
      <c r="N1695" s="136">
        <f t="shared" ref="N1695:N1758" si="105">K1695-L1695</f>
        <v>0</v>
      </c>
      <c r="O1695" s="269" t="s">
        <v>1492</v>
      </c>
      <c r="P1695" s="269"/>
      <c r="XFC1695"/>
    </row>
    <row r="1696" s="84" customFormat="1" spans="1:16383">
      <c r="A1696" s="118">
        <v>46082</v>
      </c>
      <c r="B1696" s="114" t="str">
        <f t="shared" si="104"/>
        <v>3F</v>
      </c>
      <c r="C1696" s="114" t="s">
        <v>575</v>
      </c>
      <c r="D1696" s="114" t="s">
        <v>576</v>
      </c>
      <c r="E1696" s="114" t="s">
        <v>577</v>
      </c>
      <c r="F1696" s="117" t="s">
        <v>1440</v>
      </c>
      <c r="G1696" s="114" t="s">
        <v>1174</v>
      </c>
      <c r="H1696" s="114" t="s">
        <v>21</v>
      </c>
      <c r="I1696" s="136">
        <v>4314.2</v>
      </c>
      <c r="J1696" s="114">
        <v>0</v>
      </c>
      <c r="K1696" s="136">
        <v>4314.2</v>
      </c>
      <c r="L1696" s="283">
        <f>2257.4+2056.8</f>
        <v>4314.2</v>
      </c>
      <c r="M1696" s="283"/>
      <c r="N1696" s="136">
        <f t="shared" si="105"/>
        <v>0</v>
      </c>
      <c r="O1696" s="269" t="s">
        <v>1493</v>
      </c>
      <c r="P1696" s="269"/>
      <c r="XFC1696"/>
    </row>
    <row r="1697" s="84" customFormat="1" spans="1:16383">
      <c r="A1697" s="118">
        <v>46082</v>
      </c>
      <c r="B1697" s="114" t="str">
        <f t="shared" si="104"/>
        <v>3F</v>
      </c>
      <c r="C1697" s="114" t="s">
        <v>600</v>
      </c>
      <c r="D1697" s="114" t="s">
        <v>601</v>
      </c>
      <c r="E1697" s="114" t="s">
        <v>602</v>
      </c>
      <c r="F1697" s="117" t="s">
        <v>1440</v>
      </c>
      <c r="G1697" s="114" t="s">
        <v>1448</v>
      </c>
      <c r="H1697" s="114" t="s">
        <v>23</v>
      </c>
      <c r="I1697" s="136">
        <v>2623.5</v>
      </c>
      <c r="J1697" s="114">
        <v>0</v>
      </c>
      <c r="K1697" s="136">
        <v>2623.5</v>
      </c>
      <c r="L1697" s="283">
        <v>2623.5</v>
      </c>
      <c r="M1697" s="283"/>
      <c r="N1697" s="136">
        <f t="shared" si="105"/>
        <v>0</v>
      </c>
      <c r="O1697" s="269" t="s">
        <v>1494</v>
      </c>
      <c r="P1697" s="269"/>
      <c r="XFC1697"/>
    </row>
    <row r="1698" s="84" customFormat="1" spans="1:16383">
      <c r="A1698" s="118">
        <v>46082</v>
      </c>
      <c r="B1698" s="114" t="str">
        <f t="shared" si="104"/>
        <v>3F</v>
      </c>
      <c r="C1698" s="114" t="s">
        <v>600</v>
      </c>
      <c r="D1698" s="114" t="s">
        <v>601</v>
      </c>
      <c r="E1698" s="114" t="s">
        <v>602</v>
      </c>
      <c r="F1698" s="117" t="s">
        <v>1440</v>
      </c>
      <c r="G1698" s="114" t="s">
        <v>1338</v>
      </c>
      <c r="H1698" s="114" t="s">
        <v>23</v>
      </c>
      <c r="I1698" s="136">
        <v>2623.5</v>
      </c>
      <c r="J1698" s="114">
        <v>0</v>
      </c>
      <c r="K1698" s="136">
        <v>2623.5</v>
      </c>
      <c r="L1698" s="283">
        <v>2623.5</v>
      </c>
      <c r="M1698" s="283"/>
      <c r="N1698" s="136">
        <f t="shared" si="105"/>
        <v>0</v>
      </c>
      <c r="O1698" s="269" t="s">
        <v>1494</v>
      </c>
      <c r="P1698" s="269"/>
      <c r="XFC1698"/>
    </row>
    <row r="1699" s="84" customFormat="1" spans="1:16383">
      <c r="A1699" s="118">
        <v>46082</v>
      </c>
      <c r="B1699" s="114" t="str">
        <f t="shared" si="104"/>
        <v>3F</v>
      </c>
      <c r="C1699" s="114" t="s">
        <v>600</v>
      </c>
      <c r="D1699" s="114" t="s">
        <v>601</v>
      </c>
      <c r="E1699" s="114" t="s">
        <v>602</v>
      </c>
      <c r="F1699" s="117" t="s">
        <v>1440</v>
      </c>
      <c r="G1699" s="114" t="s">
        <v>1174</v>
      </c>
      <c r="H1699" s="114" t="s">
        <v>23</v>
      </c>
      <c r="I1699" s="136">
        <v>2623.5</v>
      </c>
      <c r="J1699" s="114">
        <v>0</v>
      </c>
      <c r="K1699" s="136">
        <v>2623.5</v>
      </c>
      <c r="L1699" s="283">
        <v>2623.5</v>
      </c>
      <c r="M1699" s="283"/>
      <c r="N1699" s="136">
        <f t="shared" si="105"/>
        <v>0</v>
      </c>
      <c r="O1699" s="269" t="s">
        <v>1494</v>
      </c>
      <c r="P1699" s="269"/>
      <c r="XFC1699"/>
    </row>
    <row r="1700" s="84" customFormat="1" spans="1:16383">
      <c r="A1700" s="118">
        <v>46082</v>
      </c>
      <c r="B1700" s="114" t="str">
        <f t="shared" si="104"/>
        <v>3F</v>
      </c>
      <c r="C1700" s="114" t="s">
        <v>600</v>
      </c>
      <c r="D1700" s="114" t="s">
        <v>601</v>
      </c>
      <c r="E1700" s="114" t="s">
        <v>602</v>
      </c>
      <c r="F1700" s="117" t="s">
        <v>1440</v>
      </c>
      <c r="G1700" s="114" t="s">
        <v>1448</v>
      </c>
      <c r="H1700" s="114" t="s">
        <v>21</v>
      </c>
      <c r="I1700" s="136">
        <v>4197.6</v>
      </c>
      <c r="J1700" s="114">
        <v>0</v>
      </c>
      <c r="K1700" s="136">
        <v>4197.6</v>
      </c>
      <c r="L1700" s="283">
        <f>2784.6+63+1350</f>
        <v>4197.6</v>
      </c>
      <c r="M1700" s="283"/>
      <c r="N1700" s="136">
        <f t="shared" si="105"/>
        <v>0</v>
      </c>
      <c r="O1700" s="269" t="s">
        <v>1495</v>
      </c>
      <c r="P1700" s="269"/>
      <c r="XFC1700"/>
    </row>
    <row r="1701" s="84" customFormat="1" spans="1:16383">
      <c r="A1701" s="118">
        <v>46082</v>
      </c>
      <c r="B1701" s="114" t="str">
        <f t="shared" si="104"/>
        <v>3F</v>
      </c>
      <c r="C1701" s="114" t="s">
        <v>600</v>
      </c>
      <c r="D1701" s="114" t="s">
        <v>601</v>
      </c>
      <c r="E1701" s="114" t="s">
        <v>602</v>
      </c>
      <c r="F1701" s="117" t="s">
        <v>1440</v>
      </c>
      <c r="G1701" s="114" t="s">
        <v>1338</v>
      </c>
      <c r="H1701" s="114" t="s">
        <v>21</v>
      </c>
      <c r="I1701" s="136">
        <v>4197.6</v>
      </c>
      <c r="J1701" s="114">
        <v>0</v>
      </c>
      <c r="K1701" s="136">
        <v>4197.6</v>
      </c>
      <c r="L1701" s="283">
        <v>4197.6</v>
      </c>
      <c r="M1701" s="283"/>
      <c r="N1701" s="136">
        <f t="shared" si="105"/>
        <v>0</v>
      </c>
      <c r="O1701" s="269" t="s">
        <v>1494</v>
      </c>
      <c r="P1701" s="269"/>
      <c r="XFC1701"/>
    </row>
    <row r="1702" s="84" customFormat="1" spans="1:16383">
      <c r="A1702" s="118">
        <v>46082</v>
      </c>
      <c r="B1702" s="114" t="str">
        <f t="shared" si="104"/>
        <v>3F</v>
      </c>
      <c r="C1702" s="114" t="s">
        <v>600</v>
      </c>
      <c r="D1702" s="114" t="s">
        <v>601</v>
      </c>
      <c r="E1702" s="114" t="s">
        <v>602</v>
      </c>
      <c r="F1702" s="117" t="s">
        <v>1440</v>
      </c>
      <c r="G1702" s="114" t="s">
        <v>1174</v>
      </c>
      <c r="H1702" s="114" t="s">
        <v>21</v>
      </c>
      <c r="I1702" s="136">
        <v>4197.6</v>
      </c>
      <c r="J1702" s="114">
        <v>0</v>
      </c>
      <c r="K1702" s="136">
        <v>4197.6</v>
      </c>
      <c r="L1702" s="283">
        <v>4197.6</v>
      </c>
      <c r="M1702" s="283"/>
      <c r="N1702" s="136">
        <f t="shared" si="105"/>
        <v>0</v>
      </c>
      <c r="O1702" s="269" t="s">
        <v>1494</v>
      </c>
      <c r="P1702" s="269"/>
      <c r="XFC1702"/>
    </row>
    <row r="1703" s="84" customFormat="1" spans="1:16383">
      <c r="A1703" s="118">
        <v>46082</v>
      </c>
      <c r="B1703" s="114" t="str">
        <f t="shared" si="104"/>
        <v>3F</v>
      </c>
      <c r="C1703" s="114" t="s">
        <v>1088</v>
      </c>
      <c r="D1703" s="114" t="s">
        <v>530</v>
      </c>
      <c r="E1703" s="114" t="s">
        <v>1089</v>
      </c>
      <c r="F1703" s="117" t="s">
        <v>1496</v>
      </c>
      <c r="G1703" s="114" t="s">
        <v>1497</v>
      </c>
      <c r="H1703" s="114" t="s">
        <v>23</v>
      </c>
      <c r="I1703" s="136">
        <v>8030</v>
      </c>
      <c r="J1703" s="136">
        <v>0</v>
      </c>
      <c r="K1703" s="136">
        <v>8030</v>
      </c>
      <c r="L1703" s="283">
        <v>8030</v>
      </c>
      <c r="M1703" s="283"/>
      <c r="N1703" s="136">
        <f t="shared" si="105"/>
        <v>0</v>
      </c>
      <c r="O1703" s="269" t="s">
        <v>1480</v>
      </c>
      <c r="P1703" s="269"/>
      <c r="XFC1703"/>
    </row>
    <row r="1704" s="84" customFormat="1" spans="1:16383">
      <c r="A1704" s="118">
        <v>46082</v>
      </c>
      <c r="B1704" s="114" t="str">
        <f t="shared" si="104"/>
        <v>3F</v>
      </c>
      <c r="C1704" s="114" t="s">
        <v>1088</v>
      </c>
      <c r="D1704" s="114" t="s">
        <v>530</v>
      </c>
      <c r="E1704" s="114" t="s">
        <v>1089</v>
      </c>
      <c r="F1704" s="117" t="s">
        <v>1496</v>
      </c>
      <c r="G1704" s="114" t="s">
        <v>1498</v>
      </c>
      <c r="H1704" s="114" t="s">
        <v>23</v>
      </c>
      <c r="I1704" s="136">
        <v>8030</v>
      </c>
      <c r="J1704" s="136">
        <v>0</v>
      </c>
      <c r="K1704" s="136">
        <v>8030</v>
      </c>
      <c r="L1704" s="283">
        <v>8030</v>
      </c>
      <c r="M1704" s="283"/>
      <c r="N1704" s="136">
        <f t="shared" si="105"/>
        <v>0</v>
      </c>
      <c r="O1704" s="269" t="s">
        <v>1480</v>
      </c>
      <c r="P1704" s="269"/>
      <c r="XFC1704"/>
    </row>
    <row r="1705" s="84" customFormat="1" spans="1:16383">
      <c r="A1705" s="118">
        <v>46082</v>
      </c>
      <c r="B1705" s="114" t="str">
        <f t="shared" si="104"/>
        <v>3F</v>
      </c>
      <c r="C1705" s="114" t="s">
        <v>1088</v>
      </c>
      <c r="D1705" s="114" t="s">
        <v>530</v>
      </c>
      <c r="E1705" s="114" t="s">
        <v>1089</v>
      </c>
      <c r="F1705" s="117" t="s">
        <v>1496</v>
      </c>
      <c r="G1705" s="114" t="s">
        <v>1499</v>
      </c>
      <c r="H1705" s="114" t="s">
        <v>23</v>
      </c>
      <c r="I1705" s="136">
        <v>8030</v>
      </c>
      <c r="J1705" s="136">
        <v>0</v>
      </c>
      <c r="K1705" s="136">
        <v>8030</v>
      </c>
      <c r="L1705" s="283">
        <v>8030</v>
      </c>
      <c r="M1705" s="283"/>
      <c r="N1705" s="136">
        <f t="shared" si="105"/>
        <v>0</v>
      </c>
      <c r="O1705" s="269" t="s">
        <v>1480</v>
      </c>
      <c r="P1705" s="269"/>
      <c r="XFC1705"/>
    </row>
    <row r="1706" s="84" customFormat="1" spans="1:16383">
      <c r="A1706" s="118">
        <v>46082</v>
      </c>
      <c r="B1706" s="114" t="str">
        <f t="shared" si="104"/>
        <v>3F</v>
      </c>
      <c r="C1706" s="114" t="s">
        <v>1088</v>
      </c>
      <c r="D1706" s="114" t="s">
        <v>530</v>
      </c>
      <c r="E1706" s="114" t="s">
        <v>1089</v>
      </c>
      <c r="F1706" s="117" t="s">
        <v>1496</v>
      </c>
      <c r="G1706" s="114" t="s">
        <v>1497</v>
      </c>
      <c r="H1706" s="114" t="s">
        <v>21</v>
      </c>
      <c r="I1706" s="136">
        <v>6570</v>
      </c>
      <c r="J1706" s="136">
        <v>0</v>
      </c>
      <c r="K1706" s="136">
        <v>6570</v>
      </c>
      <c r="L1706" s="283">
        <v>6570</v>
      </c>
      <c r="M1706" s="283"/>
      <c r="N1706" s="136">
        <f t="shared" si="105"/>
        <v>0</v>
      </c>
      <c r="O1706" s="269" t="s">
        <v>1480</v>
      </c>
      <c r="P1706" s="269"/>
      <c r="XFC1706"/>
    </row>
    <row r="1707" s="84" customFormat="1" spans="1:16383">
      <c r="A1707" s="118">
        <v>46082</v>
      </c>
      <c r="B1707" s="114" t="str">
        <f t="shared" si="104"/>
        <v>3F</v>
      </c>
      <c r="C1707" s="114" t="s">
        <v>1088</v>
      </c>
      <c r="D1707" s="114" t="s">
        <v>530</v>
      </c>
      <c r="E1707" s="114" t="s">
        <v>1089</v>
      </c>
      <c r="F1707" s="117" t="s">
        <v>1496</v>
      </c>
      <c r="G1707" s="114" t="s">
        <v>1498</v>
      </c>
      <c r="H1707" s="114" t="s">
        <v>21</v>
      </c>
      <c r="I1707" s="136">
        <v>6570</v>
      </c>
      <c r="J1707" s="136">
        <v>0</v>
      </c>
      <c r="K1707" s="136">
        <v>6570</v>
      </c>
      <c r="L1707" s="283">
        <v>6570</v>
      </c>
      <c r="M1707" s="283"/>
      <c r="N1707" s="136">
        <f t="shared" si="105"/>
        <v>0</v>
      </c>
      <c r="O1707" s="269" t="s">
        <v>1480</v>
      </c>
      <c r="P1707" s="269"/>
      <c r="XFC1707"/>
    </row>
    <row r="1708" s="84" customFormat="1" spans="1:16383">
      <c r="A1708" s="118">
        <v>46082</v>
      </c>
      <c r="B1708" s="114" t="str">
        <f t="shared" si="104"/>
        <v>3F</v>
      </c>
      <c r="C1708" s="114" t="s">
        <v>1088</v>
      </c>
      <c r="D1708" s="114" t="s">
        <v>530</v>
      </c>
      <c r="E1708" s="114" t="s">
        <v>1089</v>
      </c>
      <c r="F1708" s="117" t="s">
        <v>1496</v>
      </c>
      <c r="G1708" s="114" t="s">
        <v>1499</v>
      </c>
      <c r="H1708" s="114" t="s">
        <v>21</v>
      </c>
      <c r="I1708" s="136">
        <v>6570</v>
      </c>
      <c r="J1708" s="136">
        <v>0</v>
      </c>
      <c r="K1708" s="136">
        <v>6570</v>
      </c>
      <c r="L1708" s="283">
        <v>6570</v>
      </c>
      <c r="M1708" s="283"/>
      <c r="N1708" s="136">
        <f t="shared" si="105"/>
        <v>0</v>
      </c>
      <c r="O1708" s="269" t="s">
        <v>1480</v>
      </c>
      <c r="P1708" s="269"/>
      <c r="XFC1708"/>
    </row>
    <row r="1709" s="84" customFormat="1" spans="1:16383">
      <c r="A1709" s="118">
        <v>46082</v>
      </c>
      <c r="B1709" s="114" t="str">
        <f t="shared" si="104"/>
        <v>3F</v>
      </c>
      <c r="C1709" s="114" t="s">
        <v>606</v>
      </c>
      <c r="D1709" s="114" t="s">
        <v>1149</v>
      </c>
      <c r="E1709" s="114" t="s">
        <v>1500</v>
      </c>
      <c r="F1709" s="117" t="s">
        <v>1440</v>
      </c>
      <c r="G1709" s="114" t="s">
        <v>1501</v>
      </c>
      <c r="H1709" s="114" t="s">
        <v>23</v>
      </c>
      <c r="I1709" s="136">
        <v>17700</v>
      </c>
      <c r="J1709" s="114">
        <v>0</v>
      </c>
      <c r="K1709" s="136">
        <v>17700</v>
      </c>
      <c r="L1709" s="283">
        <v>17700</v>
      </c>
      <c r="M1709" s="283"/>
      <c r="N1709" s="136">
        <f t="shared" si="105"/>
        <v>0</v>
      </c>
      <c r="O1709" s="269" t="s">
        <v>1502</v>
      </c>
      <c r="P1709" s="269"/>
      <c r="XFC1709"/>
    </row>
    <row r="1710" s="84" customFormat="1" spans="1:16383">
      <c r="A1710" s="118">
        <v>46082</v>
      </c>
      <c r="B1710" s="114" t="str">
        <f t="shared" si="104"/>
        <v>3F</v>
      </c>
      <c r="C1710" s="114" t="s">
        <v>606</v>
      </c>
      <c r="D1710" s="114" t="s">
        <v>1149</v>
      </c>
      <c r="E1710" s="114" t="s">
        <v>1500</v>
      </c>
      <c r="F1710" s="117" t="s">
        <v>1440</v>
      </c>
      <c r="G1710" s="114" t="s">
        <v>1501</v>
      </c>
      <c r="H1710" s="114" t="s">
        <v>21</v>
      </c>
      <c r="I1710" s="136">
        <v>20619.2</v>
      </c>
      <c r="J1710" s="114">
        <v>0</v>
      </c>
      <c r="K1710" s="136">
        <v>20619.2</v>
      </c>
      <c r="L1710" s="283">
        <f>6960.7+6829.25*2</f>
        <v>20619.2</v>
      </c>
      <c r="M1710" s="283"/>
      <c r="N1710" s="136">
        <f t="shared" si="105"/>
        <v>0</v>
      </c>
      <c r="O1710" s="269" t="s">
        <v>1502</v>
      </c>
      <c r="P1710" s="269"/>
      <c r="XFC1710"/>
    </row>
    <row r="1711" s="84" customFormat="1" spans="1:16383">
      <c r="A1711" s="118">
        <v>46082</v>
      </c>
      <c r="B1711" s="114" t="str">
        <f t="shared" si="104"/>
        <v>3F</v>
      </c>
      <c r="C1711" s="114" t="s">
        <v>610</v>
      </c>
      <c r="D1711" s="114" t="s">
        <v>611</v>
      </c>
      <c r="E1711" s="114" t="s">
        <v>612</v>
      </c>
      <c r="F1711" s="117" t="s">
        <v>1503</v>
      </c>
      <c r="G1711" s="114" t="s">
        <v>70</v>
      </c>
      <c r="H1711" s="114" t="s">
        <v>23</v>
      </c>
      <c r="I1711" s="136">
        <v>1705</v>
      </c>
      <c r="J1711" s="114">
        <v>0</v>
      </c>
      <c r="K1711" s="136">
        <v>1705</v>
      </c>
      <c r="L1711" s="283">
        <v>1705</v>
      </c>
      <c r="M1711" s="283"/>
      <c r="N1711" s="136">
        <f t="shared" si="105"/>
        <v>0</v>
      </c>
      <c r="O1711" s="269" t="s">
        <v>1177</v>
      </c>
      <c r="P1711" s="269"/>
      <c r="XFC1711"/>
    </row>
    <row r="1712" s="84" customFormat="1" spans="1:16383">
      <c r="A1712" s="118">
        <v>46082</v>
      </c>
      <c r="B1712" s="114" t="str">
        <f t="shared" si="104"/>
        <v>3F</v>
      </c>
      <c r="C1712" s="114" t="s">
        <v>610</v>
      </c>
      <c r="D1712" s="114" t="s">
        <v>611</v>
      </c>
      <c r="E1712" s="114" t="s">
        <v>612</v>
      </c>
      <c r="F1712" s="117" t="s">
        <v>1503</v>
      </c>
      <c r="G1712" s="114" t="s">
        <v>71</v>
      </c>
      <c r="H1712" s="114" t="s">
        <v>23</v>
      </c>
      <c r="I1712" s="136">
        <v>1705</v>
      </c>
      <c r="J1712" s="114">
        <v>0</v>
      </c>
      <c r="K1712" s="136">
        <v>1705</v>
      </c>
      <c r="L1712" s="283">
        <v>1705</v>
      </c>
      <c r="M1712" s="283"/>
      <c r="N1712" s="136">
        <f t="shared" si="105"/>
        <v>0</v>
      </c>
      <c r="O1712" s="269" t="s">
        <v>1177</v>
      </c>
      <c r="P1712" s="269"/>
      <c r="XFC1712"/>
    </row>
    <row r="1713" s="84" customFormat="1" spans="1:16383">
      <c r="A1713" s="118">
        <v>46082</v>
      </c>
      <c r="B1713" s="114" t="str">
        <f t="shared" si="104"/>
        <v>3F</v>
      </c>
      <c r="C1713" s="114" t="s">
        <v>610</v>
      </c>
      <c r="D1713" s="114" t="s">
        <v>611</v>
      </c>
      <c r="E1713" s="114" t="s">
        <v>612</v>
      </c>
      <c r="F1713" s="117" t="s">
        <v>1503</v>
      </c>
      <c r="G1713" s="114" t="s">
        <v>72</v>
      </c>
      <c r="H1713" s="114" t="s">
        <v>23</v>
      </c>
      <c r="I1713" s="136">
        <v>1705</v>
      </c>
      <c r="J1713" s="114">
        <v>0</v>
      </c>
      <c r="K1713" s="136">
        <v>1705</v>
      </c>
      <c r="L1713" s="283">
        <v>1705</v>
      </c>
      <c r="M1713" s="283"/>
      <c r="N1713" s="136">
        <f t="shared" si="105"/>
        <v>0</v>
      </c>
      <c r="O1713" s="269" t="s">
        <v>1177</v>
      </c>
      <c r="P1713" s="269"/>
      <c r="XFC1713"/>
    </row>
    <row r="1714" s="84" customFormat="1" spans="1:16383">
      <c r="A1714" s="118">
        <v>46082</v>
      </c>
      <c r="B1714" s="114" t="str">
        <f t="shared" si="104"/>
        <v>3F</v>
      </c>
      <c r="C1714" s="114" t="s">
        <v>610</v>
      </c>
      <c r="D1714" s="114" t="s">
        <v>611</v>
      </c>
      <c r="E1714" s="114" t="s">
        <v>612</v>
      </c>
      <c r="F1714" s="117" t="s">
        <v>1503</v>
      </c>
      <c r="G1714" s="114" t="s">
        <v>70</v>
      </c>
      <c r="H1714" s="114" t="s">
        <v>21</v>
      </c>
      <c r="I1714" s="136">
        <v>2294</v>
      </c>
      <c r="J1714" s="114">
        <v>0</v>
      </c>
      <c r="K1714" s="136">
        <v>2294</v>
      </c>
      <c r="L1714" s="283">
        <v>2294</v>
      </c>
      <c r="M1714" s="283"/>
      <c r="N1714" s="136">
        <f t="shared" si="105"/>
        <v>0</v>
      </c>
      <c r="O1714" s="269" t="s">
        <v>1177</v>
      </c>
      <c r="P1714" s="269"/>
      <c r="XFC1714"/>
    </row>
    <row r="1715" s="84" customFormat="1" spans="1:16383">
      <c r="A1715" s="118">
        <v>46082</v>
      </c>
      <c r="B1715" s="114" t="str">
        <f t="shared" si="104"/>
        <v>3F</v>
      </c>
      <c r="C1715" s="114" t="s">
        <v>610</v>
      </c>
      <c r="D1715" s="114" t="s">
        <v>611</v>
      </c>
      <c r="E1715" s="114" t="s">
        <v>612</v>
      </c>
      <c r="F1715" s="117" t="s">
        <v>1503</v>
      </c>
      <c r="G1715" s="114" t="s">
        <v>71</v>
      </c>
      <c r="H1715" s="114" t="s">
        <v>21</v>
      </c>
      <c r="I1715" s="136">
        <v>2294</v>
      </c>
      <c r="J1715" s="114">
        <v>0</v>
      </c>
      <c r="K1715" s="136">
        <v>2294</v>
      </c>
      <c r="L1715" s="283">
        <v>2294</v>
      </c>
      <c r="M1715" s="283"/>
      <c r="N1715" s="136">
        <f t="shared" si="105"/>
        <v>0</v>
      </c>
      <c r="O1715" s="269" t="s">
        <v>1177</v>
      </c>
      <c r="P1715" s="269"/>
      <c r="XFC1715"/>
    </row>
    <row r="1716" s="84" customFormat="1" spans="1:16383">
      <c r="A1716" s="118">
        <v>46082</v>
      </c>
      <c r="B1716" s="114" t="str">
        <f t="shared" si="104"/>
        <v>3F</v>
      </c>
      <c r="C1716" s="114" t="s">
        <v>610</v>
      </c>
      <c r="D1716" s="114" t="s">
        <v>611</v>
      </c>
      <c r="E1716" s="114" t="s">
        <v>612</v>
      </c>
      <c r="F1716" s="117" t="s">
        <v>1503</v>
      </c>
      <c r="G1716" s="114" t="s">
        <v>72</v>
      </c>
      <c r="H1716" s="114" t="s">
        <v>21</v>
      </c>
      <c r="I1716" s="136">
        <v>2294</v>
      </c>
      <c r="J1716" s="114">
        <v>0</v>
      </c>
      <c r="K1716" s="136">
        <v>2294</v>
      </c>
      <c r="L1716" s="283">
        <v>2294</v>
      </c>
      <c r="M1716" s="283"/>
      <c r="N1716" s="136">
        <f t="shared" si="105"/>
        <v>0</v>
      </c>
      <c r="O1716" s="269" t="s">
        <v>1177</v>
      </c>
      <c r="P1716" s="269"/>
      <c r="XFC1716"/>
    </row>
    <row r="1717" s="84" customFormat="1" spans="1:16383">
      <c r="A1717" s="118">
        <v>46082</v>
      </c>
      <c r="B1717" s="114" t="str">
        <f t="shared" si="104"/>
        <v>3F</v>
      </c>
      <c r="C1717" s="114" t="s">
        <v>621</v>
      </c>
      <c r="D1717" s="114" t="s">
        <v>622</v>
      </c>
      <c r="E1717" s="114" t="s">
        <v>623</v>
      </c>
      <c r="F1717" s="117" t="s">
        <v>1440</v>
      </c>
      <c r="G1717" s="114" t="s">
        <v>1448</v>
      </c>
      <c r="H1717" s="114" t="s">
        <v>23</v>
      </c>
      <c r="I1717" s="136">
        <v>6105</v>
      </c>
      <c r="J1717" s="114">
        <v>0</v>
      </c>
      <c r="K1717" s="136">
        <v>6105</v>
      </c>
      <c r="L1717" s="283">
        <v>6105</v>
      </c>
      <c r="M1717" s="283"/>
      <c r="N1717" s="136">
        <f t="shared" si="105"/>
        <v>0</v>
      </c>
      <c r="O1717" s="269" t="s">
        <v>231</v>
      </c>
      <c r="P1717" s="269"/>
      <c r="XFC1717"/>
    </row>
    <row r="1718" s="84" customFormat="1" spans="1:16383">
      <c r="A1718" s="118">
        <v>46082</v>
      </c>
      <c r="B1718" s="114" t="str">
        <f t="shared" si="104"/>
        <v>3F</v>
      </c>
      <c r="C1718" s="114" t="s">
        <v>621</v>
      </c>
      <c r="D1718" s="114" t="s">
        <v>622</v>
      </c>
      <c r="E1718" s="114" t="s">
        <v>623</v>
      </c>
      <c r="F1718" s="117" t="s">
        <v>1440</v>
      </c>
      <c r="G1718" s="114" t="s">
        <v>1338</v>
      </c>
      <c r="H1718" s="114" t="s">
        <v>23</v>
      </c>
      <c r="I1718" s="136">
        <v>6105</v>
      </c>
      <c r="J1718" s="114">
        <v>0</v>
      </c>
      <c r="K1718" s="136">
        <v>6105</v>
      </c>
      <c r="L1718" s="283">
        <v>6105</v>
      </c>
      <c r="M1718" s="283"/>
      <c r="N1718" s="136">
        <f t="shared" si="105"/>
        <v>0</v>
      </c>
      <c r="O1718" s="269" t="s">
        <v>231</v>
      </c>
      <c r="P1718" s="269"/>
      <c r="XFC1718"/>
    </row>
    <row r="1719" s="84" customFormat="1" spans="1:16383">
      <c r="A1719" s="118">
        <v>46082</v>
      </c>
      <c r="B1719" s="114" t="str">
        <f t="shared" si="104"/>
        <v>3F</v>
      </c>
      <c r="C1719" s="114" t="s">
        <v>621</v>
      </c>
      <c r="D1719" s="114" t="s">
        <v>622</v>
      </c>
      <c r="E1719" s="114" t="s">
        <v>623</v>
      </c>
      <c r="F1719" s="117" t="s">
        <v>1440</v>
      </c>
      <c r="G1719" s="114" t="s">
        <v>1174</v>
      </c>
      <c r="H1719" s="114" t="s">
        <v>23</v>
      </c>
      <c r="I1719" s="136">
        <v>6105</v>
      </c>
      <c r="J1719" s="114">
        <v>0</v>
      </c>
      <c r="K1719" s="136">
        <v>6105</v>
      </c>
      <c r="L1719" s="283">
        <v>6105</v>
      </c>
      <c r="M1719" s="283"/>
      <c r="N1719" s="136">
        <f t="shared" si="105"/>
        <v>0</v>
      </c>
      <c r="O1719" s="269" t="s">
        <v>231</v>
      </c>
      <c r="P1719" s="269"/>
      <c r="XFC1719"/>
    </row>
    <row r="1720" s="84" customFormat="1" spans="1:16383">
      <c r="A1720" s="118">
        <v>46082</v>
      </c>
      <c r="B1720" s="114" t="str">
        <f t="shared" si="104"/>
        <v>3F</v>
      </c>
      <c r="C1720" s="114" t="s">
        <v>621</v>
      </c>
      <c r="D1720" s="114" t="s">
        <v>622</v>
      </c>
      <c r="E1720" s="114" t="s">
        <v>623</v>
      </c>
      <c r="F1720" s="117" t="s">
        <v>1440</v>
      </c>
      <c r="G1720" s="114" t="s">
        <v>1448</v>
      </c>
      <c r="H1720" s="114" t="s">
        <v>21</v>
      </c>
      <c r="I1720" s="136">
        <v>395.16</v>
      </c>
      <c r="J1720" s="114">
        <v>0</v>
      </c>
      <c r="K1720" s="136">
        <v>395.16</v>
      </c>
      <c r="L1720" s="283">
        <v>395.16</v>
      </c>
      <c r="M1720" s="283"/>
      <c r="N1720" s="136">
        <f t="shared" si="105"/>
        <v>0</v>
      </c>
      <c r="O1720" s="269" t="s">
        <v>231</v>
      </c>
      <c r="P1720" s="269"/>
      <c r="XFC1720"/>
    </row>
    <row r="1721" s="84" customFormat="1" spans="1:16383">
      <c r="A1721" s="118">
        <v>46082</v>
      </c>
      <c r="B1721" s="114" t="str">
        <f t="shared" si="104"/>
        <v>3F</v>
      </c>
      <c r="C1721" s="114" t="s">
        <v>621</v>
      </c>
      <c r="D1721" s="114" t="s">
        <v>622</v>
      </c>
      <c r="E1721" s="114" t="s">
        <v>623</v>
      </c>
      <c r="F1721" s="117" t="s">
        <v>1440</v>
      </c>
      <c r="G1721" s="114" t="s">
        <v>1338</v>
      </c>
      <c r="H1721" s="114" t="s">
        <v>21</v>
      </c>
      <c r="I1721" s="136">
        <v>395.16</v>
      </c>
      <c r="J1721" s="114">
        <v>0</v>
      </c>
      <c r="K1721" s="136">
        <v>395.16</v>
      </c>
      <c r="L1721" s="283">
        <v>395.16</v>
      </c>
      <c r="M1721" s="283"/>
      <c r="N1721" s="136">
        <f t="shared" si="105"/>
        <v>0</v>
      </c>
      <c r="O1721" s="269" t="s">
        <v>231</v>
      </c>
      <c r="P1721" s="269"/>
      <c r="XFC1721"/>
    </row>
    <row r="1722" s="84" customFormat="1" spans="1:16383">
      <c r="A1722" s="118">
        <v>46082</v>
      </c>
      <c r="B1722" s="114" t="str">
        <f t="shared" si="104"/>
        <v>3F</v>
      </c>
      <c r="C1722" s="114" t="s">
        <v>621</v>
      </c>
      <c r="D1722" s="114" t="s">
        <v>622</v>
      </c>
      <c r="E1722" s="114" t="s">
        <v>623</v>
      </c>
      <c r="F1722" s="117" t="s">
        <v>1440</v>
      </c>
      <c r="G1722" s="114" t="s">
        <v>1174</v>
      </c>
      <c r="H1722" s="114" t="s">
        <v>21</v>
      </c>
      <c r="I1722" s="136">
        <v>395.16</v>
      </c>
      <c r="J1722" s="114">
        <v>0</v>
      </c>
      <c r="K1722" s="136">
        <v>395.16</v>
      </c>
      <c r="L1722" s="283">
        <v>395.16</v>
      </c>
      <c r="M1722" s="283"/>
      <c r="N1722" s="136">
        <f t="shared" si="105"/>
        <v>0</v>
      </c>
      <c r="O1722" s="269" t="s">
        <v>231</v>
      </c>
      <c r="P1722" s="269"/>
      <c r="XFC1722"/>
    </row>
    <row r="1723" s="84" customFormat="1" spans="1:16383">
      <c r="A1723" s="118">
        <v>46082</v>
      </c>
      <c r="B1723" s="114" t="str">
        <f t="shared" si="104"/>
        <v>4F</v>
      </c>
      <c r="C1723" s="114" t="s">
        <v>631</v>
      </c>
      <c r="D1723" s="114" t="s">
        <v>632</v>
      </c>
      <c r="E1723" s="114" t="s">
        <v>633</v>
      </c>
      <c r="F1723" s="117" t="s">
        <v>1504</v>
      </c>
      <c r="G1723" s="114" t="s">
        <v>1505</v>
      </c>
      <c r="H1723" s="114" t="s">
        <v>23</v>
      </c>
      <c r="I1723" s="136">
        <v>6140</v>
      </c>
      <c r="J1723" s="114">
        <v>0</v>
      </c>
      <c r="K1723" s="136">
        <v>6140</v>
      </c>
      <c r="L1723" s="283">
        <v>6140</v>
      </c>
      <c r="M1723" s="283"/>
      <c r="N1723" s="136">
        <f t="shared" si="105"/>
        <v>0</v>
      </c>
      <c r="O1723" s="269" t="s">
        <v>1444</v>
      </c>
      <c r="P1723" s="269"/>
      <c r="XFC1723"/>
    </row>
    <row r="1724" s="84" customFormat="1" spans="1:16383">
      <c r="A1724" s="118">
        <v>46082</v>
      </c>
      <c r="B1724" s="114" t="str">
        <f t="shared" si="104"/>
        <v>4F</v>
      </c>
      <c r="C1724" s="114" t="s">
        <v>631</v>
      </c>
      <c r="D1724" s="114" t="s">
        <v>632</v>
      </c>
      <c r="E1724" s="114" t="s">
        <v>633</v>
      </c>
      <c r="F1724" s="117" t="s">
        <v>1504</v>
      </c>
      <c r="G1724" s="114" t="s">
        <v>1506</v>
      </c>
      <c r="H1724" s="114" t="s">
        <v>23</v>
      </c>
      <c r="I1724" s="136">
        <v>6140</v>
      </c>
      <c r="J1724" s="114">
        <v>0</v>
      </c>
      <c r="K1724" s="136">
        <v>6140</v>
      </c>
      <c r="L1724" s="283">
        <v>6140</v>
      </c>
      <c r="M1724" s="283"/>
      <c r="N1724" s="136">
        <f t="shared" si="105"/>
        <v>0</v>
      </c>
      <c r="O1724" s="269" t="s">
        <v>1444</v>
      </c>
      <c r="P1724" s="269"/>
      <c r="XFC1724"/>
    </row>
    <row r="1725" s="84" customFormat="1" spans="1:16383">
      <c r="A1725" s="118">
        <v>46082</v>
      </c>
      <c r="B1725" s="114" t="str">
        <f t="shared" si="104"/>
        <v>4F</v>
      </c>
      <c r="C1725" s="114" t="s">
        <v>631</v>
      </c>
      <c r="D1725" s="114" t="s">
        <v>632</v>
      </c>
      <c r="E1725" s="114" t="s">
        <v>633</v>
      </c>
      <c r="F1725" s="117" t="s">
        <v>1504</v>
      </c>
      <c r="G1725" s="114" t="s">
        <v>1507</v>
      </c>
      <c r="H1725" s="114" t="s">
        <v>23</v>
      </c>
      <c r="I1725" s="136">
        <v>6140</v>
      </c>
      <c r="J1725" s="114">
        <v>0</v>
      </c>
      <c r="K1725" s="136">
        <v>6140</v>
      </c>
      <c r="L1725" s="283">
        <v>6140</v>
      </c>
      <c r="M1725" s="283"/>
      <c r="N1725" s="136">
        <f t="shared" si="105"/>
        <v>0</v>
      </c>
      <c r="O1725" s="269" t="s">
        <v>1444</v>
      </c>
      <c r="P1725" s="269"/>
      <c r="XFC1725"/>
    </row>
    <row r="1726" s="84" customFormat="1" spans="1:16383">
      <c r="A1726" s="118">
        <v>46082</v>
      </c>
      <c r="B1726" s="114" t="str">
        <f t="shared" si="104"/>
        <v>4F</v>
      </c>
      <c r="C1726" s="114" t="s">
        <v>631</v>
      </c>
      <c r="D1726" s="114" t="s">
        <v>632</v>
      </c>
      <c r="E1726" s="114" t="s">
        <v>633</v>
      </c>
      <c r="F1726" s="117" t="s">
        <v>1504</v>
      </c>
      <c r="G1726" s="114" t="s">
        <v>1505</v>
      </c>
      <c r="H1726" s="114" t="s">
        <v>21</v>
      </c>
      <c r="I1726" s="136">
        <v>4448.43</v>
      </c>
      <c r="J1726" s="114">
        <v>0</v>
      </c>
      <c r="K1726" s="136">
        <v>4448.43</v>
      </c>
      <c r="L1726" s="283">
        <v>4448.43</v>
      </c>
      <c r="M1726" s="283"/>
      <c r="N1726" s="136">
        <f t="shared" si="105"/>
        <v>0</v>
      </c>
      <c r="O1726" s="269" t="s">
        <v>1444</v>
      </c>
      <c r="P1726" s="269"/>
      <c r="XFC1726"/>
    </row>
    <row r="1727" s="84" customFormat="1" spans="1:16383">
      <c r="A1727" s="118">
        <v>46082</v>
      </c>
      <c r="B1727" s="114" t="str">
        <f t="shared" si="104"/>
        <v>4F</v>
      </c>
      <c r="C1727" s="114" t="s">
        <v>631</v>
      </c>
      <c r="D1727" s="114" t="s">
        <v>632</v>
      </c>
      <c r="E1727" s="114" t="s">
        <v>633</v>
      </c>
      <c r="F1727" s="117" t="s">
        <v>1504</v>
      </c>
      <c r="G1727" s="114" t="s">
        <v>1506</v>
      </c>
      <c r="H1727" s="114" t="s">
        <v>21</v>
      </c>
      <c r="I1727" s="136">
        <v>4448.43</v>
      </c>
      <c r="J1727" s="114">
        <v>0</v>
      </c>
      <c r="K1727" s="136">
        <v>4448.43</v>
      </c>
      <c r="L1727" s="283">
        <v>4448.43</v>
      </c>
      <c r="M1727" s="283"/>
      <c r="N1727" s="136">
        <f t="shared" si="105"/>
        <v>0</v>
      </c>
      <c r="O1727" s="269" t="s">
        <v>1444</v>
      </c>
      <c r="P1727" s="269"/>
      <c r="XFC1727"/>
    </row>
    <row r="1728" s="84" customFormat="1" spans="1:16383">
      <c r="A1728" s="118">
        <v>46082</v>
      </c>
      <c r="B1728" s="114" t="str">
        <f t="shared" si="104"/>
        <v>4F</v>
      </c>
      <c r="C1728" s="114" t="s">
        <v>631</v>
      </c>
      <c r="D1728" s="114" t="s">
        <v>632</v>
      </c>
      <c r="E1728" s="114" t="s">
        <v>633</v>
      </c>
      <c r="F1728" s="117" t="s">
        <v>1504</v>
      </c>
      <c r="G1728" s="114" t="s">
        <v>1507</v>
      </c>
      <c r="H1728" s="114" t="s">
        <v>21</v>
      </c>
      <c r="I1728" s="136">
        <v>4448.43</v>
      </c>
      <c r="J1728" s="114">
        <v>0</v>
      </c>
      <c r="K1728" s="136">
        <v>4448.43</v>
      </c>
      <c r="L1728" s="283">
        <v>4448.43</v>
      </c>
      <c r="M1728" s="283"/>
      <c r="N1728" s="136">
        <f t="shared" si="105"/>
        <v>0</v>
      </c>
      <c r="O1728" s="269" t="s">
        <v>1444</v>
      </c>
      <c r="P1728" s="269"/>
      <c r="XFC1728"/>
    </row>
    <row r="1729" s="84" customFormat="1" spans="1:16383">
      <c r="A1729" s="118">
        <v>46082</v>
      </c>
      <c r="B1729" s="114" t="str">
        <f t="shared" si="104"/>
        <v>4F</v>
      </c>
      <c r="C1729" s="114" t="s">
        <v>1374</v>
      </c>
      <c r="D1729" s="114" t="s">
        <v>1375</v>
      </c>
      <c r="E1729" s="114" t="s">
        <v>1106</v>
      </c>
      <c r="F1729" s="117" t="s">
        <v>1440</v>
      </c>
      <c r="G1729" s="114" t="s">
        <v>1448</v>
      </c>
      <c r="H1729" s="114" t="s">
        <v>23</v>
      </c>
      <c r="I1729" s="136">
        <v>9380</v>
      </c>
      <c r="J1729" s="114">
        <v>0</v>
      </c>
      <c r="K1729" s="136">
        <v>9380</v>
      </c>
      <c r="L1729" s="283">
        <v>9380</v>
      </c>
      <c r="M1729" s="283"/>
      <c r="N1729" s="136">
        <f t="shared" si="105"/>
        <v>0</v>
      </c>
      <c r="O1729" s="269" t="s">
        <v>1508</v>
      </c>
      <c r="P1729" s="269"/>
      <c r="XFC1729"/>
    </row>
    <row r="1730" s="84" customFormat="1" spans="1:16383">
      <c r="A1730" s="118">
        <v>46082</v>
      </c>
      <c r="B1730" s="114" t="str">
        <f t="shared" si="104"/>
        <v>4F</v>
      </c>
      <c r="C1730" s="114" t="s">
        <v>1374</v>
      </c>
      <c r="D1730" s="114" t="s">
        <v>1375</v>
      </c>
      <c r="E1730" s="114" t="s">
        <v>1106</v>
      </c>
      <c r="F1730" s="117" t="s">
        <v>1440</v>
      </c>
      <c r="G1730" s="114" t="s">
        <v>1338</v>
      </c>
      <c r="H1730" s="114" t="s">
        <v>23</v>
      </c>
      <c r="I1730" s="136">
        <v>9380</v>
      </c>
      <c r="J1730" s="114">
        <v>0</v>
      </c>
      <c r="K1730" s="136">
        <v>9380</v>
      </c>
      <c r="L1730" s="283">
        <v>9380</v>
      </c>
      <c r="M1730" s="283"/>
      <c r="N1730" s="136">
        <f t="shared" si="105"/>
        <v>0</v>
      </c>
      <c r="O1730" s="269" t="s">
        <v>1508</v>
      </c>
      <c r="P1730" s="269"/>
      <c r="XFC1730"/>
    </row>
    <row r="1731" s="84" customFormat="1" spans="1:16383">
      <c r="A1731" s="118">
        <v>46082</v>
      </c>
      <c r="B1731" s="114" t="str">
        <f t="shared" si="104"/>
        <v>4F</v>
      </c>
      <c r="C1731" s="114" t="s">
        <v>1374</v>
      </c>
      <c r="D1731" s="114" t="s">
        <v>1375</v>
      </c>
      <c r="E1731" s="114" t="s">
        <v>1106</v>
      </c>
      <c r="F1731" s="117" t="s">
        <v>1440</v>
      </c>
      <c r="G1731" s="114" t="s">
        <v>1174</v>
      </c>
      <c r="H1731" s="114" t="s">
        <v>23</v>
      </c>
      <c r="I1731" s="136">
        <v>9380</v>
      </c>
      <c r="J1731" s="114">
        <v>0</v>
      </c>
      <c r="K1731" s="136">
        <v>9380</v>
      </c>
      <c r="L1731" s="283">
        <v>9380</v>
      </c>
      <c r="M1731" s="283"/>
      <c r="N1731" s="136">
        <f t="shared" si="105"/>
        <v>0</v>
      </c>
      <c r="O1731" s="269" t="s">
        <v>1508</v>
      </c>
      <c r="P1731" s="269"/>
      <c r="XFC1731"/>
    </row>
    <row r="1732" s="84" customFormat="1" spans="1:16383">
      <c r="A1732" s="118">
        <v>46082</v>
      </c>
      <c r="B1732" s="114" t="str">
        <f t="shared" si="104"/>
        <v>4F</v>
      </c>
      <c r="C1732" s="114" t="s">
        <v>1374</v>
      </c>
      <c r="D1732" s="114" t="s">
        <v>1375</v>
      </c>
      <c r="E1732" s="114" t="s">
        <v>1106</v>
      </c>
      <c r="F1732" s="117" t="s">
        <v>1440</v>
      </c>
      <c r="G1732" s="114" t="s">
        <v>1448</v>
      </c>
      <c r="H1732" s="114" t="s">
        <v>21</v>
      </c>
      <c r="I1732" s="136">
        <v>17897.04</v>
      </c>
      <c r="J1732" s="114">
        <v>0</v>
      </c>
      <c r="K1732" s="136">
        <v>17897.04</v>
      </c>
      <c r="L1732" s="283">
        <v>17897.04</v>
      </c>
      <c r="M1732" s="283"/>
      <c r="N1732" s="136">
        <f t="shared" si="105"/>
        <v>0</v>
      </c>
      <c r="O1732" s="269" t="s">
        <v>1508</v>
      </c>
      <c r="P1732" s="269"/>
      <c r="XFC1732"/>
    </row>
    <row r="1733" s="84" customFormat="1" spans="1:16383">
      <c r="A1733" s="118">
        <v>46082</v>
      </c>
      <c r="B1733" s="114" t="str">
        <f t="shared" si="104"/>
        <v>4F</v>
      </c>
      <c r="C1733" s="114" t="s">
        <v>1374</v>
      </c>
      <c r="D1733" s="114" t="s">
        <v>1375</v>
      </c>
      <c r="E1733" s="114" t="s">
        <v>1106</v>
      </c>
      <c r="F1733" s="117" t="s">
        <v>1440</v>
      </c>
      <c r="G1733" s="114" t="s">
        <v>1338</v>
      </c>
      <c r="H1733" s="114" t="s">
        <v>21</v>
      </c>
      <c r="I1733" s="136">
        <v>17897.04</v>
      </c>
      <c r="J1733" s="114">
        <v>0</v>
      </c>
      <c r="K1733" s="136">
        <v>17897.04</v>
      </c>
      <c r="L1733" s="283">
        <v>17897.04</v>
      </c>
      <c r="M1733" s="283"/>
      <c r="N1733" s="136">
        <f t="shared" si="105"/>
        <v>0</v>
      </c>
      <c r="O1733" s="269" t="s">
        <v>1508</v>
      </c>
      <c r="P1733" s="269"/>
      <c r="XFC1733"/>
    </row>
    <row r="1734" s="84" customFormat="1" spans="1:16383">
      <c r="A1734" s="118">
        <v>46082</v>
      </c>
      <c r="B1734" s="114" t="str">
        <f t="shared" si="104"/>
        <v>4F</v>
      </c>
      <c r="C1734" s="114" t="s">
        <v>1374</v>
      </c>
      <c r="D1734" s="114" t="s">
        <v>1375</v>
      </c>
      <c r="E1734" s="114" t="s">
        <v>1106</v>
      </c>
      <c r="F1734" s="117" t="s">
        <v>1440</v>
      </c>
      <c r="G1734" s="114" t="s">
        <v>1174</v>
      </c>
      <c r="H1734" s="114" t="s">
        <v>21</v>
      </c>
      <c r="I1734" s="136">
        <v>17897.04</v>
      </c>
      <c r="J1734" s="114">
        <v>0</v>
      </c>
      <c r="K1734" s="136">
        <v>17897.04</v>
      </c>
      <c r="L1734" s="283">
        <v>17897.04</v>
      </c>
      <c r="M1734" s="283"/>
      <c r="N1734" s="136">
        <f t="shared" si="105"/>
        <v>0</v>
      </c>
      <c r="O1734" s="269" t="s">
        <v>1508</v>
      </c>
      <c r="P1734" s="269"/>
      <c r="XFC1734"/>
    </row>
    <row r="1735" s="84" customFormat="1" spans="1:16383">
      <c r="A1735" s="118">
        <v>46082</v>
      </c>
      <c r="B1735" s="114" t="str">
        <f t="shared" si="104"/>
        <v>4F</v>
      </c>
      <c r="C1735" s="114" t="s">
        <v>1381</v>
      </c>
      <c r="D1735" s="114" t="s">
        <v>1375</v>
      </c>
      <c r="E1735" s="114" t="s">
        <v>1106</v>
      </c>
      <c r="F1735" s="117" t="s">
        <v>1440</v>
      </c>
      <c r="G1735" s="114" t="s">
        <v>1448</v>
      </c>
      <c r="H1735" s="114" t="s">
        <v>23</v>
      </c>
      <c r="I1735" s="136">
        <v>3765</v>
      </c>
      <c r="J1735" s="114">
        <v>0</v>
      </c>
      <c r="K1735" s="136">
        <v>3765</v>
      </c>
      <c r="L1735" s="283">
        <v>3765</v>
      </c>
      <c r="M1735" s="283"/>
      <c r="N1735" s="136">
        <f t="shared" si="105"/>
        <v>0</v>
      </c>
      <c r="O1735" s="269" t="s">
        <v>1508</v>
      </c>
      <c r="P1735" s="269"/>
      <c r="XFC1735"/>
    </row>
    <row r="1736" s="84" customFormat="1" spans="1:16383">
      <c r="A1736" s="118">
        <v>46082</v>
      </c>
      <c r="B1736" s="114" t="str">
        <f t="shared" si="104"/>
        <v>4F</v>
      </c>
      <c r="C1736" s="114" t="s">
        <v>1381</v>
      </c>
      <c r="D1736" s="114" t="s">
        <v>1375</v>
      </c>
      <c r="E1736" s="114" t="s">
        <v>1106</v>
      </c>
      <c r="F1736" s="117" t="s">
        <v>1440</v>
      </c>
      <c r="G1736" s="114" t="s">
        <v>1338</v>
      </c>
      <c r="H1736" s="114" t="s">
        <v>23</v>
      </c>
      <c r="I1736" s="136">
        <v>3765</v>
      </c>
      <c r="J1736" s="114">
        <v>0</v>
      </c>
      <c r="K1736" s="136">
        <v>3765</v>
      </c>
      <c r="L1736" s="283">
        <v>3765</v>
      </c>
      <c r="M1736" s="283"/>
      <c r="N1736" s="136">
        <f t="shared" si="105"/>
        <v>0</v>
      </c>
      <c r="O1736" s="269" t="s">
        <v>1508</v>
      </c>
      <c r="P1736" s="269"/>
      <c r="XFC1736"/>
    </row>
    <row r="1737" s="84" customFormat="1" spans="1:16383">
      <c r="A1737" s="118">
        <v>46082</v>
      </c>
      <c r="B1737" s="114" t="str">
        <f t="shared" si="104"/>
        <v>4F</v>
      </c>
      <c r="C1737" s="114" t="s">
        <v>1381</v>
      </c>
      <c r="D1737" s="114" t="s">
        <v>1375</v>
      </c>
      <c r="E1737" s="114" t="s">
        <v>1106</v>
      </c>
      <c r="F1737" s="117" t="s">
        <v>1440</v>
      </c>
      <c r="G1737" s="114" t="s">
        <v>1174</v>
      </c>
      <c r="H1737" s="114" t="s">
        <v>23</v>
      </c>
      <c r="I1737" s="136">
        <v>3765</v>
      </c>
      <c r="J1737" s="114">
        <v>0</v>
      </c>
      <c r="K1737" s="136">
        <v>3765</v>
      </c>
      <c r="L1737" s="283">
        <v>3765</v>
      </c>
      <c r="M1737" s="283"/>
      <c r="N1737" s="136">
        <f t="shared" si="105"/>
        <v>0</v>
      </c>
      <c r="O1737" s="269" t="s">
        <v>1508</v>
      </c>
      <c r="P1737" s="269"/>
      <c r="XFC1737"/>
    </row>
    <row r="1738" s="84" customFormat="1" spans="1:16383">
      <c r="A1738" s="118">
        <v>46082</v>
      </c>
      <c r="B1738" s="114" t="str">
        <f t="shared" si="104"/>
        <v>4F</v>
      </c>
      <c r="C1738" s="114" t="s">
        <v>1381</v>
      </c>
      <c r="D1738" s="114" t="s">
        <v>1375</v>
      </c>
      <c r="E1738" s="114" t="s">
        <v>1106</v>
      </c>
      <c r="F1738" s="117" t="s">
        <v>1440</v>
      </c>
      <c r="G1738" s="114" t="s">
        <v>1448</v>
      </c>
      <c r="H1738" s="114" t="s">
        <v>21</v>
      </c>
      <c r="I1738" s="136">
        <v>5321.2</v>
      </c>
      <c r="J1738" s="114">
        <v>0</v>
      </c>
      <c r="K1738" s="136">
        <v>5321.2</v>
      </c>
      <c r="L1738" s="283">
        <v>5321.2</v>
      </c>
      <c r="M1738" s="283"/>
      <c r="N1738" s="136">
        <f t="shared" si="105"/>
        <v>0</v>
      </c>
      <c r="O1738" s="269" t="s">
        <v>1508</v>
      </c>
      <c r="P1738" s="269"/>
      <c r="XFC1738"/>
    </row>
    <row r="1739" s="84" customFormat="1" spans="1:16383">
      <c r="A1739" s="118">
        <v>46082</v>
      </c>
      <c r="B1739" s="114" t="str">
        <f t="shared" si="104"/>
        <v>4F</v>
      </c>
      <c r="C1739" s="114" t="s">
        <v>1381</v>
      </c>
      <c r="D1739" s="114" t="s">
        <v>1375</v>
      </c>
      <c r="E1739" s="114" t="s">
        <v>1106</v>
      </c>
      <c r="F1739" s="117" t="s">
        <v>1440</v>
      </c>
      <c r="G1739" s="114" t="s">
        <v>1338</v>
      </c>
      <c r="H1739" s="114" t="s">
        <v>21</v>
      </c>
      <c r="I1739" s="136">
        <v>5321.2</v>
      </c>
      <c r="J1739" s="114">
        <v>0</v>
      </c>
      <c r="K1739" s="136">
        <v>5321.2</v>
      </c>
      <c r="L1739" s="283">
        <v>5321.2</v>
      </c>
      <c r="M1739" s="283"/>
      <c r="N1739" s="136">
        <f t="shared" si="105"/>
        <v>0</v>
      </c>
      <c r="O1739" s="269" t="s">
        <v>1508</v>
      </c>
      <c r="P1739" s="269"/>
      <c r="XFC1739"/>
    </row>
    <row r="1740" s="84" customFormat="1" spans="1:16383">
      <c r="A1740" s="118">
        <v>46082</v>
      </c>
      <c r="B1740" s="114" t="str">
        <f t="shared" si="104"/>
        <v>4F</v>
      </c>
      <c r="C1740" s="114" t="s">
        <v>1381</v>
      </c>
      <c r="D1740" s="114" t="s">
        <v>1375</v>
      </c>
      <c r="E1740" s="114" t="s">
        <v>1106</v>
      </c>
      <c r="F1740" s="117" t="s">
        <v>1440</v>
      </c>
      <c r="G1740" s="114" t="s">
        <v>1174</v>
      </c>
      <c r="H1740" s="114" t="s">
        <v>21</v>
      </c>
      <c r="I1740" s="136">
        <v>5321.2</v>
      </c>
      <c r="J1740" s="114">
        <v>0</v>
      </c>
      <c r="K1740" s="136">
        <v>5321.2</v>
      </c>
      <c r="L1740" s="283">
        <v>5321.2</v>
      </c>
      <c r="M1740" s="283"/>
      <c r="N1740" s="136">
        <f t="shared" si="105"/>
        <v>0</v>
      </c>
      <c r="O1740" s="269" t="s">
        <v>1508</v>
      </c>
      <c r="P1740" s="269"/>
      <c r="XFC1740"/>
    </row>
    <row r="1741" s="84" customFormat="1" spans="1:16383">
      <c r="A1741" s="118">
        <v>46082</v>
      </c>
      <c r="B1741" s="114" t="str">
        <f t="shared" si="104"/>
        <v>5F</v>
      </c>
      <c r="C1741" s="114" t="s">
        <v>680</v>
      </c>
      <c r="D1741" s="114" t="s">
        <v>681</v>
      </c>
      <c r="E1741" s="114" t="s">
        <v>682</v>
      </c>
      <c r="F1741" s="117">
        <v>46097</v>
      </c>
      <c r="G1741" s="114" t="s">
        <v>1174</v>
      </c>
      <c r="H1741" s="114" t="s">
        <v>23</v>
      </c>
      <c r="I1741" s="136">
        <v>6500</v>
      </c>
      <c r="J1741" s="136">
        <v>500</v>
      </c>
      <c r="K1741" s="130">
        <f>I1741-J1741</f>
        <v>6000</v>
      </c>
      <c r="L1741" s="283">
        <v>6000</v>
      </c>
      <c r="M1741" s="283"/>
      <c r="N1741" s="136">
        <f t="shared" si="105"/>
        <v>0</v>
      </c>
      <c r="O1741" s="114" t="s">
        <v>1509</v>
      </c>
      <c r="P1741" s="269"/>
      <c r="XFC1741"/>
    </row>
    <row r="1742" s="84" customFormat="1" spans="1:16383">
      <c r="A1742" s="118">
        <v>46082</v>
      </c>
      <c r="B1742" s="114" t="str">
        <f t="shared" si="104"/>
        <v>5F</v>
      </c>
      <c r="C1742" s="114" t="s">
        <v>680</v>
      </c>
      <c r="D1742" s="114" t="s">
        <v>681</v>
      </c>
      <c r="E1742" s="114" t="s">
        <v>682</v>
      </c>
      <c r="F1742" s="117">
        <v>46097</v>
      </c>
      <c r="G1742" s="114" t="s">
        <v>1174</v>
      </c>
      <c r="H1742" s="114" t="s">
        <v>21</v>
      </c>
      <c r="I1742" s="136">
        <v>25278.5</v>
      </c>
      <c r="J1742" s="136">
        <v>25278.5</v>
      </c>
      <c r="K1742" s="130">
        <f>I1742-J1742</f>
        <v>0</v>
      </c>
      <c r="L1742" s="283"/>
      <c r="M1742" s="283"/>
      <c r="N1742" s="136">
        <f t="shared" si="105"/>
        <v>0</v>
      </c>
      <c r="O1742" s="269"/>
      <c r="P1742" s="269"/>
      <c r="XFC1742"/>
    </row>
    <row r="1743" s="84" customFormat="1" spans="1:16383">
      <c r="A1743" s="118">
        <v>46082</v>
      </c>
      <c r="B1743" s="114" t="str">
        <f t="shared" si="104"/>
        <v>5F</v>
      </c>
      <c r="C1743" s="114" t="s">
        <v>694</v>
      </c>
      <c r="D1743" s="114" t="s">
        <v>695</v>
      </c>
      <c r="E1743" s="114" t="s">
        <v>696</v>
      </c>
      <c r="F1743" s="117" t="s">
        <v>1440</v>
      </c>
      <c r="G1743" s="114" t="s">
        <v>1448</v>
      </c>
      <c r="H1743" s="114" t="s">
        <v>23</v>
      </c>
      <c r="I1743" s="136">
        <v>5680</v>
      </c>
      <c r="J1743" s="114">
        <v>0</v>
      </c>
      <c r="K1743" s="136">
        <v>5680</v>
      </c>
      <c r="L1743" s="283">
        <v>5680</v>
      </c>
      <c r="M1743" s="283"/>
      <c r="N1743" s="136">
        <f t="shared" si="105"/>
        <v>0</v>
      </c>
      <c r="O1743" s="269" t="s">
        <v>1510</v>
      </c>
      <c r="P1743" s="269"/>
      <c r="XFC1743"/>
    </row>
    <row r="1744" s="84" customFormat="1" spans="1:16383">
      <c r="A1744" s="118">
        <v>46082</v>
      </c>
      <c r="B1744" s="114" t="str">
        <f t="shared" si="104"/>
        <v>5F</v>
      </c>
      <c r="C1744" s="114" t="s">
        <v>694</v>
      </c>
      <c r="D1744" s="114" t="s">
        <v>695</v>
      </c>
      <c r="E1744" s="114" t="s">
        <v>696</v>
      </c>
      <c r="F1744" s="117" t="s">
        <v>1440</v>
      </c>
      <c r="G1744" s="114" t="s">
        <v>1338</v>
      </c>
      <c r="H1744" s="114" t="s">
        <v>23</v>
      </c>
      <c r="I1744" s="136">
        <v>5680</v>
      </c>
      <c r="J1744" s="114">
        <v>0</v>
      </c>
      <c r="K1744" s="136">
        <v>5680</v>
      </c>
      <c r="L1744" s="283">
        <v>5680</v>
      </c>
      <c r="M1744" s="283"/>
      <c r="N1744" s="136">
        <f t="shared" si="105"/>
        <v>0</v>
      </c>
      <c r="O1744" s="269" t="s">
        <v>1510</v>
      </c>
      <c r="P1744" s="269"/>
      <c r="XFC1744"/>
    </row>
    <row r="1745" s="84" customFormat="1" spans="1:16383">
      <c r="A1745" s="118">
        <v>46082</v>
      </c>
      <c r="B1745" s="114" t="str">
        <f t="shared" si="104"/>
        <v>5F</v>
      </c>
      <c r="C1745" s="114" t="s">
        <v>694</v>
      </c>
      <c r="D1745" s="114" t="s">
        <v>695</v>
      </c>
      <c r="E1745" s="114" t="s">
        <v>696</v>
      </c>
      <c r="F1745" s="117" t="s">
        <v>1440</v>
      </c>
      <c r="G1745" s="114" t="s">
        <v>1174</v>
      </c>
      <c r="H1745" s="114" t="s">
        <v>23</v>
      </c>
      <c r="I1745" s="136">
        <v>5680</v>
      </c>
      <c r="J1745" s="114">
        <v>0</v>
      </c>
      <c r="K1745" s="136">
        <v>5680</v>
      </c>
      <c r="L1745" s="283">
        <v>5680</v>
      </c>
      <c r="M1745" s="283"/>
      <c r="N1745" s="136">
        <f t="shared" si="105"/>
        <v>0</v>
      </c>
      <c r="O1745" s="269" t="s">
        <v>1510</v>
      </c>
      <c r="P1745" s="269"/>
      <c r="XFC1745"/>
    </row>
    <row r="1746" s="84" customFormat="1" spans="1:16383">
      <c r="A1746" s="118">
        <v>46082</v>
      </c>
      <c r="B1746" s="114" t="str">
        <f t="shared" si="104"/>
        <v>5F</v>
      </c>
      <c r="C1746" s="114" t="s">
        <v>694</v>
      </c>
      <c r="D1746" s="114" t="s">
        <v>695</v>
      </c>
      <c r="E1746" s="114" t="s">
        <v>696</v>
      </c>
      <c r="F1746" s="117" t="s">
        <v>1440</v>
      </c>
      <c r="G1746" s="114" t="s">
        <v>1448</v>
      </c>
      <c r="H1746" s="114" t="s">
        <v>21</v>
      </c>
      <c r="I1746" s="136">
        <v>5479.78</v>
      </c>
      <c r="J1746" s="114">
        <v>0</v>
      </c>
      <c r="K1746" s="136">
        <v>5479.78</v>
      </c>
      <c r="L1746" s="283">
        <v>5479.78</v>
      </c>
      <c r="M1746" s="283"/>
      <c r="N1746" s="136">
        <f t="shared" si="105"/>
        <v>0</v>
      </c>
      <c r="O1746" s="269" t="s">
        <v>1510</v>
      </c>
      <c r="P1746" s="269"/>
      <c r="XFC1746"/>
    </row>
    <row r="1747" s="84" customFormat="1" spans="1:16383">
      <c r="A1747" s="118">
        <v>46082</v>
      </c>
      <c r="B1747" s="114" t="str">
        <f t="shared" si="104"/>
        <v>5F</v>
      </c>
      <c r="C1747" s="114" t="s">
        <v>694</v>
      </c>
      <c r="D1747" s="114" t="s">
        <v>695</v>
      </c>
      <c r="E1747" s="114" t="s">
        <v>696</v>
      </c>
      <c r="F1747" s="117" t="s">
        <v>1440</v>
      </c>
      <c r="G1747" s="114" t="s">
        <v>1338</v>
      </c>
      <c r="H1747" s="114" t="s">
        <v>21</v>
      </c>
      <c r="I1747" s="136">
        <v>5479.78</v>
      </c>
      <c r="J1747" s="114">
        <v>0</v>
      </c>
      <c r="K1747" s="136">
        <v>5479.78</v>
      </c>
      <c r="L1747" s="283">
        <v>5479.78</v>
      </c>
      <c r="M1747" s="283"/>
      <c r="N1747" s="136">
        <f t="shared" si="105"/>
        <v>0</v>
      </c>
      <c r="O1747" s="269" t="s">
        <v>1510</v>
      </c>
      <c r="P1747" s="269"/>
      <c r="XFC1747"/>
    </row>
    <row r="1748" s="84" customFormat="1" spans="1:16383">
      <c r="A1748" s="289">
        <v>46082</v>
      </c>
      <c r="B1748" s="114" t="str">
        <f t="shared" si="104"/>
        <v>5F</v>
      </c>
      <c r="C1748" s="290" t="s">
        <v>694</v>
      </c>
      <c r="D1748" s="290" t="s">
        <v>695</v>
      </c>
      <c r="E1748" s="290" t="s">
        <v>696</v>
      </c>
      <c r="F1748" s="117" t="s">
        <v>1440</v>
      </c>
      <c r="G1748" s="290" t="s">
        <v>1174</v>
      </c>
      <c r="H1748" s="290" t="s">
        <v>21</v>
      </c>
      <c r="I1748" s="294">
        <v>5479.44</v>
      </c>
      <c r="J1748" s="290">
        <v>0</v>
      </c>
      <c r="K1748" s="294">
        <v>5479.44</v>
      </c>
      <c r="L1748" s="283">
        <v>5479.44</v>
      </c>
      <c r="M1748" s="283"/>
      <c r="N1748" s="136">
        <f t="shared" si="105"/>
        <v>0</v>
      </c>
      <c r="O1748" s="269" t="s">
        <v>1510</v>
      </c>
      <c r="P1748" s="269"/>
      <c r="XFC1748"/>
    </row>
    <row r="1749" s="84" customFormat="1" spans="1:16383">
      <c r="A1749" s="118">
        <v>46082</v>
      </c>
      <c r="B1749" s="114" t="str">
        <f t="shared" si="104"/>
        <v>5F</v>
      </c>
      <c r="C1749" s="114" t="s">
        <v>711</v>
      </c>
      <c r="D1749" s="114" t="s">
        <v>715</v>
      </c>
      <c r="E1749" s="114" t="s">
        <v>713</v>
      </c>
      <c r="F1749" s="117">
        <v>46097</v>
      </c>
      <c r="G1749" s="114" t="s">
        <v>1338</v>
      </c>
      <c r="H1749" s="114" t="s">
        <v>23</v>
      </c>
      <c r="I1749" s="136">
        <v>13446</v>
      </c>
      <c r="J1749" s="114">
        <v>0</v>
      </c>
      <c r="K1749" s="136">
        <v>13446</v>
      </c>
      <c r="L1749" s="283">
        <v>13446</v>
      </c>
      <c r="M1749" s="283"/>
      <c r="N1749" s="136">
        <f t="shared" si="105"/>
        <v>0</v>
      </c>
      <c r="O1749" s="269" t="s">
        <v>1511</v>
      </c>
      <c r="P1749" s="269"/>
      <c r="XFC1749"/>
    </row>
    <row r="1750" s="84" customFormat="1" spans="1:16383">
      <c r="A1750" s="118">
        <v>46082</v>
      </c>
      <c r="B1750" s="114" t="str">
        <f t="shared" si="104"/>
        <v>5F</v>
      </c>
      <c r="C1750" s="114" t="s">
        <v>711</v>
      </c>
      <c r="D1750" s="114" t="s">
        <v>715</v>
      </c>
      <c r="E1750" s="114" t="s">
        <v>713</v>
      </c>
      <c r="F1750" s="117">
        <v>46097</v>
      </c>
      <c r="G1750" s="114" t="s">
        <v>1174</v>
      </c>
      <c r="H1750" s="114" t="s">
        <v>23</v>
      </c>
      <c r="I1750" s="136">
        <v>13446</v>
      </c>
      <c r="J1750" s="114">
        <v>0</v>
      </c>
      <c r="K1750" s="136">
        <v>13446</v>
      </c>
      <c r="L1750" s="283">
        <v>13446</v>
      </c>
      <c r="M1750" s="283"/>
      <c r="N1750" s="136">
        <f t="shared" si="105"/>
        <v>0</v>
      </c>
      <c r="O1750" s="269" t="s">
        <v>1511</v>
      </c>
      <c r="P1750" s="269"/>
      <c r="XFC1750"/>
    </row>
    <row r="1751" s="84" customFormat="1" spans="1:16383">
      <c r="A1751" s="118">
        <v>46082</v>
      </c>
      <c r="B1751" s="114" t="str">
        <f t="shared" si="104"/>
        <v>5F</v>
      </c>
      <c r="C1751" s="114" t="s">
        <v>711</v>
      </c>
      <c r="D1751" s="114" t="s">
        <v>715</v>
      </c>
      <c r="E1751" s="114" t="s">
        <v>713</v>
      </c>
      <c r="F1751" s="117">
        <v>46097</v>
      </c>
      <c r="G1751" s="114" t="s">
        <v>1338</v>
      </c>
      <c r="H1751" s="114" t="s">
        <v>21</v>
      </c>
      <c r="I1751" s="136">
        <v>29650.92</v>
      </c>
      <c r="J1751" s="114">
        <v>0</v>
      </c>
      <c r="K1751" s="136">
        <v>29650.92</v>
      </c>
      <c r="L1751" s="283">
        <v>29650</v>
      </c>
      <c r="M1751" s="283"/>
      <c r="N1751" s="136">
        <f t="shared" si="105"/>
        <v>0.919999999998254</v>
      </c>
      <c r="O1751" s="269" t="s">
        <v>1511</v>
      </c>
      <c r="P1751" s="269"/>
      <c r="XFC1751"/>
    </row>
    <row r="1752" s="84" customFormat="1" spans="1:16383">
      <c r="A1752" s="118">
        <v>46082</v>
      </c>
      <c r="B1752" s="114" t="str">
        <f t="shared" si="104"/>
        <v>5F</v>
      </c>
      <c r="C1752" s="114" t="s">
        <v>711</v>
      </c>
      <c r="D1752" s="114" t="s">
        <v>715</v>
      </c>
      <c r="E1752" s="114" t="s">
        <v>713</v>
      </c>
      <c r="F1752" s="117">
        <v>46097</v>
      </c>
      <c r="G1752" s="114" t="s">
        <v>1174</v>
      </c>
      <c r="H1752" s="114" t="s">
        <v>21</v>
      </c>
      <c r="I1752" s="136">
        <v>29650.92</v>
      </c>
      <c r="J1752" s="114">
        <v>0</v>
      </c>
      <c r="K1752" s="136">
        <v>29650.92</v>
      </c>
      <c r="L1752" s="283">
        <v>29650</v>
      </c>
      <c r="M1752" s="283"/>
      <c r="N1752" s="136">
        <f t="shared" si="105"/>
        <v>0.919999999998254</v>
      </c>
      <c r="O1752" s="269" t="s">
        <v>1511</v>
      </c>
      <c r="P1752" s="269"/>
      <c r="XFC1752"/>
    </row>
    <row r="1753" s="84" customFormat="1" spans="1:16383">
      <c r="A1753" s="118">
        <v>46082</v>
      </c>
      <c r="B1753" s="114" t="str">
        <f t="shared" si="104"/>
        <v>5F</v>
      </c>
      <c r="C1753" s="114" t="s">
        <v>718</v>
      </c>
      <c r="D1753" s="114" t="s">
        <v>719</v>
      </c>
      <c r="E1753" s="114" t="s">
        <v>720</v>
      </c>
      <c r="F1753" s="117" t="s">
        <v>1512</v>
      </c>
      <c r="G1753" s="114" t="s">
        <v>1513</v>
      </c>
      <c r="H1753" s="114" t="s">
        <v>30</v>
      </c>
      <c r="I1753" s="136">
        <v>1500</v>
      </c>
      <c r="J1753" s="114">
        <v>0</v>
      </c>
      <c r="K1753" s="136">
        <v>1500</v>
      </c>
      <c r="L1753" s="283">
        <v>1500</v>
      </c>
      <c r="M1753" s="283"/>
      <c r="N1753" s="136">
        <f t="shared" si="105"/>
        <v>0</v>
      </c>
      <c r="O1753" s="269" t="s">
        <v>1514</v>
      </c>
      <c r="P1753" s="269"/>
      <c r="XFC1753"/>
    </row>
    <row r="1754" s="84" customFormat="1" spans="1:16383">
      <c r="A1754" s="118">
        <v>46082</v>
      </c>
      <c r="B1754" s="114" t="str">
        <f t="shared" si="104"/>
        <v>5F</v>
      </c>
      <c r="C1754" s="114" t="s">
        <v>718</v>
      </c>
      <c r="D1754" s="114" t="s">
        <v>719</v>
      </c>
      <c r="E1754" s="114" t="s">
        <v>720</v>
      </c>
      <c r="F1754" s="117" t="s">
        <v>1440</v>
      </c>
      <c r="G1754" s="114" t="s">
        <v>1448</v>
      </c>
      <c r="H1754" s="114" t="s">
        <v>23</v>
      </c>
      <c r="I1754" s="136">
        <v>1650</v>
      </c>
      <c r="J1754" s="114">
        <v>0</v>
      </c>
      <c r="K1754" s="136">
        <v>1650</v>
      </c>
      <c r="L1754" s="283">
        <v>1650</v>
      </c>
      <c r="M1754" s="283"/>
      <c r="N1754" s="136">
        <f t="shared" si="105"/>
        <v>0</v>
      </c>
      <c r="O1754" s="269" t="s">
        <v>1515</v>
      </c>
      <c r="P1754" s="269"/>
      <c r="XFC1754"/>
    </row>
    <row r="1755" s="84" customFormat="1" spans="1:16383">
      <c r="A1755" s="118">
        <v>46082</v>
      </c>
      <c r="B1755" s="114" t="str">
        <f t="shared" si="104"/>
        <v>5F</v>
      </c>
      <c r="C1755" s="114" t="s">
        <v>718</v>
      </c>
      <c r="D1755" s="114" t="s">
        <v>719</v>
      </c>
      <c r="E1755" s="114" t="s">
        <v>720</v>
      </c>
      <c r="F1755" s="117" t="s">
        <v>1440</v>
      </c>
      <c r="G1755" s="114" t="s">
        <v>1338</v>
      </c>
      <c r="H1755" s="114" t="s">
        <v>23</v>
      </c>
      <c r="I1755" s="136">
        <v>1650</v>
      </c>
      <c r="J1755" s="114">
        <v>0</v>
      </c>
      <c r="K1755" s="136">
        <v>1650</v>
      </c>
      <c r="L1755" s="283">
        <v>1650</v>
      </c>
      <c r="M1755" s="283"/>
      <c r="N1755" s="136">
        <f t="shared" si="105"/>
        <v>0</v>
      </c>
      <c r="O1755" s="269" t="s">
        <v>1515</v>
      </c>
      <c r="P1755" s="269"/>
      <c r="XFC1755"/>
    </row>
    <row r="1756" s="84" customFormat="1" spans="1:16383">
      <c r="A1756" s="118">
        <v>46082</v>
      </c>
      <c r="B1756" s="114" t="str">
        <f t="shared" si="104"/>
        <v>5F</v>
      </c>
      <c r="C1756" s="114" t="s">
        <v>718</v>
      </c>
      <c r="D1756" s="114" t="s">
        <v>719</v>
      </c>
      <c r="E1756" s="114" t="s">
        <v>720</v>
      </c>
      <c r="F1756" s="117" t="s">
        <v>1440</v>
      </c>
      <c r="G1756" s="114" t="s">
        <v>1174</v>
      </c>
      <c r="H1756" s="114" t="s">
        <v>23</v>
      </c>
      <c r="I1756" s="136">
        <v>1650</v>
      </c>
      <c r="J1756" s="114">
        <v>0</v>
      </c>
      <c r="K1756" s="136">
        <v>1650</v>
      </c>
      <c r="L1756" s="283">
        <v>1650</v>
      </c>
      <c r="M1756" s="283"/>
      <c r="N1756" s="136">
        <f t="shared" si="105"/>
        <v>0</v>
      </c>
      <c r="O1756" s="269" t="s">
        <v>1515</v>
      </c>
      <c r="P1756" s="269"/>
      <c r="XFC1756"/>
    </row>
    <row r="1757" s="84" customFormat="1" spans="1:16383">
      <c r="A1757" s="118">
        <v>46082</v>
      </c>
      <c r="B1757" s="114" t="str">
        <f t="shared" ref="B1757:B1792" si="106">MID(C1757,1,2)</f>
        <v>5F</v>
      </c>
      <c r="C1757" s="114" t="s">
        <v>718</v>
      </c>
      <c r="D1757" s="114" t="s">
        <v>719</v>
      </c>
      <c r="E1757" s="114" t="s">
        <v>720</v>
      </c>
      <c r="F1757" s="117" t="s">
        <v>1440</v>
      </c>
      <c r="G1757" s="114" t="s">
        <v>1448</v>
      </c>
      <c r="H1757" s="114" t="s">
        <v>21</v>
      </c>
      <c r="I1757" s="136">
        <v>1551</v>
      </c>
      <c r="J1757" s="114">
        <v>0</v>
      </c>
      <c r="K1757" s="136">
        <v>1551</v>
      </c>
      <c r="L1757" s="283">
        <v>1551</v>
      </c>
      <c r="M1757" s="283"/>
      <c r="N1757" s="136">
        <f t="shared" si="105"/>
        <v>0</v>
      </c>
      <c r="O1757" s="269" t="s">
        <v>1515</v>
      </c>
      <c r="P1757" s="269"/>
      <c r="XFC1757"/>
    </row>
    <row r="1758" s="84" customFormat="1" spans="1:16383">
      <c r="A1758" s="118">
        <v>46082</v>
      </c>
      <c r="B1758" s="114" t="str">
        <f t="shared" si="106"/>
        <v>5F</v>
      </c>
      <c r="C1758" s="114" t="s">
        <v>718</v>
      </c>
      <c r="D1758" s="114" t="s">
        <v>719</v>
      </c>
      <c r="E1758" s="114" t="s">
        <v>720</v>
      </c>
      <c r="F1758" s="117" t="s">
        <v>1440</v>
      </c>
      <c r="G1758" s="114" t="s">
        <v>1338</v>
      </c>
      <c r="H1758" s="114" t="s">
        <v>21</v>
      </c>
      <c r="I1758" s="136">
        <v>1551</v>
      </c>
      <c r="J1758" s="114">
        <v>0</v>
      </c>
      <c r="K1758" s="136">
        <v>1551</v>
      </c>
      <c r="L1758" s="283">
        <v>1551</v>
      </c>
      <c r="M1758" s="283"/>
      <c r="N1758" s="136">
        <f t="shared" si="105"/>
        <v>0</v>
      </c>
      <c r="O1758" s="269" t="s">
        <v>1515</v>
      </c>
      <c r="P1758" s="269"/>
      <c r="XFC1758"/>
    </row>
    <row r="1759" s="84" customFormat="1" spans="1:16383">
      <c r="A1759" s="118">
        <v>46082</v>
      </c>
      <c r="B1759" s="114" t="str">
        <f t="shared" si="106"/>
        <v>5F</v>
      </c>
      <c r="C1759" s="114" t="s">
        <v>718</v>
      </c>
      <c r="D1759" s="114" t="s">
        <v>719</v>
      </c>
      <c r="E1759" s="114" t="s">
        <v>720</v>
      </c>
      <c r="F1759" s="117" t="s">
        <v>1440</v>
      </c>
      <c r="G1759" s="114" t="s">
        <v>1174</v>
      </c>
      <c r="H1759" s="114" t="s">
        <v>21</v>
      </c>
      <c r="I1759" s="136">
        <v>1551</v>
      </c>
      <c r="J1759" s="114">
        <v>0</v>
      </c>
      <c r="K1759" s="136">
        <v>1551</v>
      </c>
      <c r="L1759" s="283">
        <f>1119+432</f>
        <v>1551</v>
      </c>
      <c r="M1759" s="283"/>
      <c r="N1759" s="136">
        <f t="shared" ref="N1759:N1822" si="107">K1759-L1759</f>
        <v>0</v>
      </c>
      <c r="O1759" s="269" t="s">
        <v>1516</v>
      </c>
      <c r="P1759" s="269"/>
      <c r="XFC1759"/>
    </row>
    <row r="1760" s="84" customFormat="1" spans="1:16383">
      <c r="A1760" s="118">
        <v>46082</v>
      </c>
      <c r="B1760" s="114" t="str">
        <f t="shared" si="106"/>
        <v>5F</v>
      </c>
      <c r="C1760" s="114" t="s">
        <v>721</v>
      </c>
      <c r="D1760" s="114" t="s">
        <v>719</v>
      </c>
      <c r="E1760" s="114" t="s">
        <v>722</v>
      </c>
      <c r="F1760" s="117" t="s">
        <v>1512</v>
      </c>
      <c r="G1760" s="114" t="s">
        <v>1513</v>
      </c>
      <c r="H1760" s="199" t="s">
        <v>30</v>
      </c>
      <c r="I1760" s="136">
        <v>1500</v>
      </c>
      <c r="J1760" s="114">
        <v>0</v>
      </c>
      <c r="K1760" s="136">
        <v>1500</v>
      </c>
      <c r="L1760" s="283">
        <v>1500</v>
      </c>
      <c r="M1760" s="283"/>
      <c r="N1760" s="136">
        <f t="shared" si="107"/>
        <v>0</v>
      </c>
      <c r="O1760" s="269" t="s">
        <v>1514</v>
      </c>
      <c r="P1760" s="269"/>
      <c r="XFC1760"/>
    </row>
    <row r="1761" s="84" customFormat="1" spans="1:16383">
      <c r="A1761" s="118">
        <v>46082</v>
      </c>
      <c r="B1761" s="114" t="str">
        <f t="shared" si="106"/>
        <v>5F</v>
      </c>
      <c r="C1761" s="114" t="s">
        <v>721</v>
      </c>
      <c r="D1761" s="114" t="s">
        <v>719</v>
      </c>
      <c r="E1761" s="114" t="s">
        <v>722</v>
      </c>
      <c r="F1761" s="117" t="s">
        <v>1440</v>
      </c>
      <c r="G1761" s="114" t="s">
        <v>1448</v>
      </c>
      <c r="H1761" s="114" t="s">
        <v>23</v>
      </c>
      <c r="I1761" s="136">
        <v>1595</v>
      </c>
      <c r="J1761" s="114">
        <v>0</v>
      </c>
      <c r="K1761" s="136">
        <v>1595</v>
      </c>
      <c r="L1761" s="283">
        <v>1595</v>
      </c>
      <c r="M1761" s="283"/>
      <c r="N1761" s="136">
        <f t="shared" si="107"/>
        <v>0</v>
      </c>
      <c r="O1761" s="269" t="s">
        <v>1517</v>
      </c>
      <c r="P1761" s="269"/>
      <c r="XFC1761"/>
    </row>
    <row r="1762" s="84" customFormat="1" spans="1:16383">
      <c r="A1762" s="118">
        <v>46082</v>
      </c>
      <c r="B1762" s="114" t="str">
        <f t="shared" si="106"/>
        <v>5F</v>
      </c>
      <c r="C1762" s="114" t="s">
        <v>721</v>
      </c>
      <c r="D1762" s="114" t="s">
        <v>719</v>
      </c>
      <c r="E1762" s="114" t="s">
        <v>722</v>
      </c>
      <c r="F1762" s="117" t="s">
        <v>1440</v>
      </c>
      <c r="G1762" s="114" t="s">
        <v>1338</v>
      </c>
      <c r="H1762" s="114" t="s">
        <v>23</v>
      </c>
      <c r="I1762" s="136">
        <v>1595</v>
      </c>
      <c r="J1762" s="114">
        <v>0</v>
      </c>
      <c r="K1762" s="136">
        <v>1595</v>
      </c>
      <c r="L1762" s="283">
        <v>1595</v>
      </c>
      <c r="M1762" s="283"/>
      <c r="N1762" s="136">
        <f t="shared" si="107"/>
        <v>0</v>
      </c>
      <c r="O1762" s="269" t="s">
        <v>1517</v>
      </c>
      <c r="P1762" s="269"/>
      <c r="XFC1762"/>
    </row>
    <row r="1763" s="84" customFormat="1" spans="1:16383">
      <c r="A1763" s="118">
        <v>46082</v>
      </c>
      <c r="B1763" s="114" t="str">
        <f t="shared" si="106"/>
        <v>5F</v>
      </c>
      <c r="C1763" s="114" t="s">
        <v>721</v>
      </c>
      <c r="D1763" s="114" t="s">
        <v>719</v>
      </c>
      <c r="E1763" s="114" t="s">
        <v>722</v>
      </c>
      <c r="F1763" s="117" t="s">
        <v>1440</v>
      </c>
      <c r="G1763" s="114" t="s">
        <v>1174</v>
      </c>
      <c r="H1763" s="114" t="s">
        <v>23</v>
      </c>
      <c r="I1763" s="136">
        <v>1595</v>
      </c>
      <c r="J1763" s="114">
        <v>0</v>
      </c>
      <c r="K1763" s="136">
        <v>1595</v>
      </c>
      <c r="L1763" s="283">
        <v>1595</v>
      </c>
      <c r="M1763" s="283"/>
      <c r="N1763" s="136">
        <f t="shared" si="107"/>
        <v>0</v>
      </c>
      <c r="O1763" s="269" t="s">
        <v>1517</v>
      </c>
      <c r="P1763" s="269"/>
      <c r="XFC1763"/>
    </row>
    <row r="1764" s="84" customFormat="1" spans="1:16383">
      <c r="A1764" s="118">
        <v>46082</v>
      </c>
      <c r="B1764" s="114" t="str">
        <f t="shared" si="106"/>
        <v>5F</v>
      </c>
      <c r="C1764" s="114" t="s">
        <v>721</v>
      </c>
      <c r="D1764" s="114" t="s">
        <v>719</v>
      </c>
      <c r="E1764" s="114" t="s">
        <v>722</v>
      </c>
      <c r="F1764" s="117" t="s">
        <v>1440</v>
      </c>
      <c r="G1764" s="114" t="s">
        <v>1448</v>
      </c>
      <c r="H1764" s="114" t="s">
        <v>21</v>
      </c>
      <c r="I1764" s="136">
        <v>1499.3</v>
      </c>
      <c r="J1764" s="114">
        <v>0</v>
      </c>
      <c r="K1764" s="136">
        <v>1499.3</v>
      </c>
      <c r="L1764" s="283">
        <v>1499.3</v>
      </c>
      <c r="M1764" s="283"/>
      <c r="N1764" s="136">
        <f t="shared" si="107"/>
        <v>0</v>
      </c>
      <c r="O1764" s="269" t="s">
        <v>1517</v>
      </c>
      <c r="P1764" s="269"/>
      <c r="XFC1764"/>
    </row>
    <row r="1765" s="84" customFormat="1" spans="1:16383">
      <c r="A1765" s="118">
        <v>46082</v>
      </c>
      <c r="B1765" s="114" t="str">
        <f t="shared" si="106"/>
        <v>5F</v>
      </c>
      <c r="C1765" s="114" t="s">
        <v>721</v>
      </c>
      <c r="D1765" s="114" t="s">
        <v>719</v>
      </c>
      <c r="E1765" s="114" t="s">
        <v>722</v>
      </c>
      <c r="F1765" s="117" t="s">
        <v>1440</v>
      </c>
      <c r="G1765" s="114" t="s">
        <v>1338</v>
      </c>
      <c r="H1765" s="114" t="s">
        <v>21</v>
      </c>
      <c r="I1765" s="136">
        <v>1499.3</v>
      </c>
      <c r="J1765" s="114">
        <v>0</v>
      </c>
      <c r="K1765" s="136">
        <v>1499.3</v>
      </c>
      <c r="L1765" s="283">
        <v>1499.3</v>
      </c>
      <c r="M1765" s="283"/>
      <c r="N1765" s="136">
        <f t="shared" si="107"/>
        <v>0</v>
      </c>
      <c r="O1765" s="269" t="s">
        <v>1517</v>
      </c>
      <c r="P1765" s="269"/>
      <c r="XFC1765"/>
    </row>
    <row r="1766" s="84" customFormat="1" spans="1:16383">
      <c r="A1766" s="118">
        <v>46082</v>
      </c>
      <c r="B1766" s="114" t="str">
        <f t="shared" si="106"/>
        <v>5F</v>
      </c>
      <c r="C1766" s="114" t="s">
        <v>721</v>
      </c>
      <c r="D1766" s="114" t="s">
        <v>719</v>
      </c>
      <c r="E1766" s="114" t="s">
        <v>722</v>
      </c>
      <c r="F1766" s="117" t="s">
        <v>1440</v>
      </c>
      <c r="G1766" s="114" t="s">
        <v>1174</v>
      </c>
      <c r="H1766" s="114" t="s">
        <v>21</v>
      </c>
      <c r="I1766" s="136">
        <v>1499.3</v>
      </c>
      <c r="J1766" s="114">
        <v>0</v>
      </c>
      <c r="K1766" s="136">
        <v>1499.3</v>
      </c>
      <c r="L1766" s="283">
        <v>1499.3</v>
      </c>
      <c r="M1766" s="283"/>
      <c r="N1766" s="136">
        <f t="shared" si="107"/>
        <v>0</v>
      </c>
      <c r="O1766" s="269" t="s">
        <v>1517</v>
      </c>
      <c r="P1766" s="269"/>
      <c r="XFC1766"/>
    </row>
    <row r="1767" s="84" customFormat="1" spans="1:16383">
      <c r="A1767" s="291">
        <v>46082</v>
      </c>
      <c r="B1767" s="114" t="str">
        <f t="shared" si="106"/>
        <v>5F</v>
      </c>
      <c r="C1767" s="292" t="s">
        <v>727</v>
      </c>
      <c r="D1767" s="292" t="s">
        <v>728</v>
      </c>
      <c r="E1767" s="292" t="s">
        <v>729</v>
      </c>
      <c r="F1767" s="117" t="s">
        <v>1440</v>
      </c>
      <c r="G1767" s="292" t="s">
        <v>1448</v>
      </c>
      <c r="H1767" s="292" t="s">
        <v>23</v>
      </c>
      <c r="I1767" s="295">
        <v>7500</v>
      </c>
      <c r="J1767" s="292">
        <v>0</v>
      </c>
      <c r="K1767" s="295">
        <v>7500</v>
      </c>
      <c r="L1767" s="283">
        <v>7500</v>
      </c>
      <c r="M1767" s="283"/>
      <c r="N1767" s="136">
        <f t="shared" si="107"/>
        <v>0</v>
      </c>
      <c r="O1767" s="269" t="s">
        <v>1518</v>
      </c>
      <c r="P1767" s="269"/>
      <c r="XFC1767"/>
    </row>
    <row r="1768" s="84" customFormat="1" spans="1:16383">
      <c r="A1768" s="291">
        <v>46082</v>
      </c>
      <c r="B1768" s="114" t="str">
        <f t="shared" si="106"/>
        <v>5F</v>
      </c>
      <c r="C1768" s="292" t="s">
        <v>727</v>
      </c>
      <c r="D1768" s="292" t="s">
        <v>728</v>
      </c>
      <c r="E1768" s="292" t="s">
        <v>729</v>
      </c>
      <c r="F1768" s="117" t="s">
        <v>1440</v>
      </c>
      <c r="G1768" s="292" t="s">
        <v>1338</v>
      </c>
      <c r="H1768" s="292" t="s">
        <v>23</v>
      </c>
      <c r="I1768" s="295">
        <v>7500</v>
      </c>
      <c r="J1768" s="292">
        <v>0</v>
      </c>
      <c r="K1768" s="295">
        <v>7500</v>
      </c>
      <c r="L1768" s="283">
        <v>7500</v>
      </c>
      <c r="M1768" s="283"/>
      <c r="N1768" s="136">
        <f t="shared" si="107"/>
        <v>0</v>
      </c>
      <c r="O1768" s="269" t="s">
        <v>1327</v>
      </c>
      <c r="P1768" s="269"/>
      <c r="XFC1768"/>
    </row>
    <row r="1769" s="84" customFormat="1" spans="1:16383">
      <c r="A1769" s="291">
        <v>46082</v>
      </c>
      <c r="B1769" s="114" t="str">
        <f t="shared" si="106"/>
        <v>5F</v>
      </c>
      <c r="C1769" s="292" t="s">
        <v>727</v>
      </c>
      <c r="D1769" s="292" t="s">
        <v>728</v>
      </c>
      <c r="E1769" s="292" t="s">
        <v>729</v>
      </c>
      <c r="F1769" s="117" t="s">
        <v>1440</v>
      </c>
      <c r="G1769" s="292" t="s">
        <v>1174</v>
      </c>
      <c r="H1769" s="292" t="s">
        <v>23</v>
      </c>
      <c r="I1769" s="295">
        <v>7500</v>
      </c>
      <c r="J1769" s="292">
        <v>0</v>
      </c>
      <c r="K1769" s="295">
        <v>7500</v>
      </c>
      <c r="L1769" s="283">
        <v>7500</v>
      </c>
      <c r="M1769" s="283"/>
      <c r="N1769" s="136">
        <f t="shared" si="107"/>
        <v>0</v>
      </c>
      <c r="O1769" s="269" t="s">
        <v>1519</v>
      </c>
      <c r="P1769" s="269"/>
      <c r="XFC1769"/>
    </row>
    <row r="1770" s="84" customFormat="1" spans="1:16383">
      <c r="A1770" s="291">
        <v>46082</v>
      </c>
      <c r="B1770" s="114" t="str">
        <f t="shared" si="106"/>
        <v>5F</v>
      </c>
      <c r="C1770" s="292" t="s">
        <v>727</v>
      </c>
      <c r="D1770" s="292" t="s">
        <v>728</v>
      </c>
      <c r="E1770" s="292" t="s">
        <v>729</v>
      </c>
      <c r="F1770" s="117" t="s">
        <v>1440</v>
      </c>
      <c r="G1770" s="292" t="s">
        <v>1448</v>
      </c>
      <c r="H1770" s="292" t="s">
        <v>21</v>
      </c>
      <c r="I1770" s="295">
        <v>7500</v>
      </c>
      <c r="J1770" s="292">
        <v>0</v>
      </c>
      <c r="K1770" s="295">
        <v>7500</v>
      </c>
      <c r="L1770" s="283">
        <v>7500</v>
      </c>
      <c r="M1770" s="283"/>
      <c r="N1770" s="136">
        <f t="shared" si="107"/>
        <v>0</v>
      </c>
      <c r="O1770" s="269" t="s">
        <v>1518</v>
      </c>
      <c r="P1770" s="269"/>
      <c r="XFC1770"/>
    </row>
    <row r="1771" s="84" customFormat="1" spans="1:16383">
      <c r="A1771" s="291">
        <v>46082</v>
      </c>
      <c r="B1771" s="114" t="str">
        <f t="shared" si="106"/>
        <v>5F</v>
      </c>
      <c r="C1771" s="292" t="s">
        <v>727</v>
      </c>
      <c r="D1771" s="292" t="s">
        <v>728</v>
      </c>
      <c r="E1771" s="292" t="s">
        <v>729</v>
      </c>
      <c r="F1771" s="117" t="s">
        <v>1440</v>
      </c>
      <c r="G1771" s="292" t="s">
        <v>1338</v>
      </c>
      <c r="H1771" s="292" t="s">
        <v>21</v>
      </c>
      <c r="I1771" s="295">
        <v>7500</v>
      </c>
      <c r="J1771" s="292">
        <v>0</v>
      </c>
      <c r="K1771" s="295">
        <v>7500</v>
      </c>
      <c r="L1771" s="283">
        <v>7500</v>
      </c>
      <c r="M1771" s="283"/>
      <c r="N1771" s="136">
        <f t="shared" si="107"/>
        <v>0</v>
      </c>
      <c r="O1771" s="269" t="s">
        <v>1327</v>
      </c>
      <c r="P1771" s="269"/>
      <c r="XFC1771"/>
    </row>
    <row r="1772" s="84" customFormat="1" spans="1:16383">
      <c r="A1772" s="291">
        <v>46082</v>
      </c>
      <c r="B1772" s="114" t="str">
        <f t="shared" si="106"/>
        <v>5F</v>
      </c>
      <c r="C1772" s="292" t="s">
        <v>727</v>
      </c>
      <c r="D1772" s="292" t="s">
        <v>728</v>
      </c>
      <c r="E1772" s="292" t="s">
        <v>729</v>
      </c>
      <c r="F1772" s="117" t="s">
        <v>1440</v>
      </c>
      <c r="G1772" s="292" t="s">
        <v>1174</v>
      </c>
      <c r="H1772" s="292" t="s">
        <v>21</v>
      </c>
      <c r="I1772" s="295">
        <v>7500</v>
      </c>
      <c r="J1772" s="292">
        <v>0</v>
      </c>
      <c r="K1772" s="295">
        <v>7500</v>
      </c>
      <c r="L1772" s="283">
        <v>7500</v>
      </c>
      <c r="M1772" s="283"/>
      <c r="N1772" s="136">
        <f t="shared" si="107"/>
        <v>0</v>
      </c>
      <c r="O1772" s="269" t="s">
        <v>1519</v>
      </c>
      <c r="P1772" s="269"/>
      <c r="XFC1772"/>
    </row>
    <row r="1773" s="84" customFormat="1" spans="1:16383">
      <c r="A1773" s="118">
        <v>46082</v>
      </c>
      <c r="B1773" s="114" t="str">
        <f t="shared" si="106"/>
        <v>5F</v>
      </c>
      <c r="C1773" s="114" t="s">
        <v>763</v>
      </c>
      <c r="D1773" s="114" t="s">
        <v>764</v>
      </c>
      <c r="E1773" s="114" t="s">
        <v>765</v>
      </c>
      <c r="F1773" s="117">
        <v>46092</v>
      </c>
      <c r="G1773" s="114" t="s">
        <v>1176</v>
      </c>
      <c r="H1773" s="114" t="s">
        <v>23</v>
      </c>
      <c r="I1773" s="136">
        <v>47910</v>
      </c>
      <c r="J1773" s="114">
        <v>0</v>
      </c>
      <c r="K1773" s="136">
        <v>47910</v>
      </c>
      <c r="L1773" s="283">
        <v>47910</v>
      </c>
      <c r="M1773" s="283"/>
      <c r="N1773" s="136">
        <f t="shared" si="107"/>
        <v>0</v>
      </c>
      <c r="O1773" s="269" t="s">
        <v>1520</v>
      </c>
      <c r="P1773" s="269"/>
      <c r="XFC1773"/>
    </row>
    <row r="1774" s="84" customFormat="1" spans="1:16383">
      <c r="A1774" s="118">
        <v>46082</v>
      </c>
      <c r="B1774" s="114" t="str">
        <f t="shared" si="106"/>
        <v>5F</v>
      </c>
      <c r="C1774" s="114" t="s">
        <v>763</v>
      </c>
      <c r="D1774" s="114" t="s">
        <v>764</v>
      </c>
      <c r="E1774" s="114" t="s">
        <v>765</v>
      </c>
      <c r="F1774" s="117">
        <v>46092</v>
      </c>
      <c r="G1774" s="114" t="s">
        <v>1176</v>
      </c>
      <c r="H1774" s="114" t="s">
        <v>21</v>
      </c>
      <c r="I1774" s="136">
        <v>85423</v>
      </c>
      <c r="J1774" s="114">
        <v>0</v>
      </c>
      <c r="K1774" s="136">
        <v>85423</v>
      </c>
      <c r="L1774" s="283">
        <v>85423</v>
      </c>
      <c r="M1774" s="283"/>
      <c r="N1774" s="136">
        <f t="shared" si="107"/>
        <v>0</v>
      </c>
      <c r="O1774" s="269" t="s">
        <v>1520</v>
      </c>
      <c r="P1774" s="269"/>
      <c r="XFC1774"/>
    </row>
    <row r="1775" s="84" customFormat="1" spans="1:16383">
      <c r="A1775" s="118">
        <v>46082</v>
      </c>
      <c r="B1775" s="114" t="str">
        <f t="shared" si="106"/>
        <v>5F</v>
      </c>
      <c r="C1775" s="114" t="s">
        <v>778</v>
      </c>
      <c r="D1775" s="114" t="s">
        <v>779</v>
      </c>
      <c r="E1775" s="114" t="s">
        <v>780</v>
      </c>
      <c r="F1775" s="117" t="s">
        <v>1440</v>
      </c>
      <c r="G1775" s="114" t="s">
        <v>1448</v>
      </c>
      <c r="H1775" s="114" t="s">
        <v>23</v>
      </c>
      <c r="I1775" s="136">
        <v>2090</v>
      </c>
      <c r="J1775" s="114">
        <v>0</v>
      </c>
      <c r="K1775" s="136">
        <v>2090</v>
      </c>
      <c r="L1775" s="283">
        <v>2090</v>
      </c>
      <c r="M1775" s="283"/>
      <c r="N1775" s="136">
        <f t="shared" si="107"/>
        <v>0</v>
      </c>
      <c r="O1775" s="269" t="s">
        <v>1521</v>
      </c>
      <c r="P1775" s="269"/>
      <c r="XFC1775"/>
    </row>
    <row r="1776" s="84" customFormat="1" spans="1:16383">
      <c r="A1776" s="118">
        <v>46082</v>
      </c>
      <c r="B1776" s="114" t="str">
        <f t="shared" si="106"/>
        <v>5F</v>
      </c>
      <c r="C1776" s="114" t="s">
        <v>778</v>
      </c>
      <c r="D1776" s="114" t="s">
        <v>779</v>
      </c>
      <c r="E1776" s="114" t="s">
        <v>780</v>
      </c>
      <c r="F1776" s="117" t="s">
        <v>1440</v>
      </c>
      <c r="G1776" s="114" t="s">
        <v>1338</v>
      </c>
      <c r="H1776" s="114" t="s">
        <v>23</v>
      </c>
      <c r="I1776" s="136">
        <v>2090</v>
      </c>
      <c r="J1776" s="114">
        <v>0</v>
      </c>
      <c r="K1776" s="136">
        <v>2090</v>
      </c>
      <c r="L1776" s="283">
        <v>2090</v>
      </c>
      <c r="M1776" s="283"/>
      <c r="N1776" s="136">
        <f t="shared" si="107"/>
        <v>0</v>
      </c>
      <c r="O1776" s="269" t="s">
        <v>1359</v>
      </c>
      <c r="P1776" s="269"/>
      <c r="XFC1776"/>
    </row>
    <row r="1777" s="84" customFormat="1" spans="1:16383">
      <c r="A1777" s="118">
        <v>46082</v>
      </c>
      <c r="B1777" s="114" t="str">
        <f t="shared" si="106"/>
        <v>5F</v>
      </c>
      <c r="C1777" s="114" t="s">
        <v>778</v>
      </c>
      <c r="D1777" s="114" t="s">
        <v>779</v>
      </c>
      <c r="E1777" s="114" t="s">
        <v>780</v>
      </c>
      <c r="F1777" s="117" t="s">
        <v>1440</v>
      </c>
      <c r="G1777" s="114" t="s">
        <v>1174</v>
      </c>
      <c r="H1777" s="114" t="s">
        <v>23</v>
      </c>
      <c r="I1777" s="136">
        <v>2090</v>
      </c>
      <c r="J1777" s="114">
        <v>0</v>
      </c>
      <c r="K1777" s="136">
        <v>2090</v>
      </c>
      <c r="L1777" s="283">
        <v>2090</v>
      </c>
      <c r="M1777" s="283"/>
      <c r="N1777" s="136">
        <f t="shared" si="107"/>
        <v>0</v>
      </c>
      <c r="O1777" s="269" t="s">
        <v>1359</v>
      </c>
      <c r="P1777" s="269"/>
      <c r="XFC1777"/>
    </row>
    <row r="1778" s="84" customFormat="1" spans="1:16383">
      <c r="A1778" s="118">
        <v>46082</v>
      </c>
      <c r="B1778" s="114" t="str">
        <f t="shared" si="106"/>
        <v>5F</v>
      </c>
      <c r="C1778" s="114" t="s">
        <v>778</v>
      </c>
      <c r="D1778" s="114" t="s">
        <v>779</v>
      </c>
      <c r="E1778" s="114" t="s">
        <v>780</v>
      </c>
      <c r="F1778" s="117" t="s">
        <v>1440</v>
      </c>
      <c r="G1778" s="114" t="s">
        <v>1448</v>
      </c>
      <c r="H1778" s="114" t="s">
        <v>21</v>
      </c>
      <c r="I1778" s="136">
        <v>1409.8</v>
      </c>
      <c r="J1778" s="114">
        <v>0</v>
      </c>
      <c r="K1778" s="136">
        <v>1409.8</v>
      </c>
      <c r="L1778" s="283">
        <v>1409.8</v>
      </c>
      <c r="M1778" s="283"/>
      <c r="N1778" s="136">
        <f t="shared" si="107"/>
        <v>0</v>
      </c>
      <c r="O1778" s="269" t="s">
        <v>1521</v>
      </c>
      <c r="P1778" s="269"/>
      <c r="XFC1778"/>
    </row>
    <row r="1779" s="84" customFormat="1" spans="1:16383">
      <c r="A1779" s="118">
        <v>46082</v>
      </c>
      <c r="B1779" s="114" t="str">
        <f t="shared" si="106"/>
        <v>5F</v>
      </c>
      <c r="C1779" s="114" t="s">
        <v>778</v>
      </c>
      <c r="D1779" s="114" t="s">
        <v>779</v>
      </c>
      <c r="E1779" s="114" t="s">
        <v>780</v>
      </c>
      <c r="F1779" s="117" t="s">
        <v>1440</v>
      </c>
      <c r="G1779" s="114" t="s">
        <v>1338</v>
      </c>
      <c r="H1779" s="114" t="s">
        <v>21</v>
      </c>
      <c r="I1779" s="136">
        <v>1409.8</v>
      </c>
      <c r="J1779" s="114">
        <v>0</v>
      </c>
      <c r="K1779" s="136">
        <v>1409.8</v>
      </c>
      <c r="L1779" s="283">
        <v>1409.8</v>
      </c>
      <c r="M1779" s="283"/>
      <c r="N1779" s="136">
        <f t="shared" si="107"/>
        <v>0</v>
      </c>
      <c r="O1779" s="269" t="s">
        <v>1359</v>
      </c>
      <c r="P1779" s="269"/>
      <c r="XFC1779"/>
    </row>
    <row r="1780" s="84" customFormat="1" spans="1:16383">
      <c r="A1780" s="118">
        <v>46082</v>
      </c>
      <c r="B1780" s="114" t="str">
        <f t="shared" si="106"/>
        <v>5F</v>
      </c>
      <c r="C1780" s="114" t="s">
        <v>778</v>
      </c>
      <c r="D1780" s="114" t="s">
        <v>779</v>
      </c>
      <c r="E1780" s="114" t="s">
        <v>780</v>
      </c>
      <c r="F1780" s="117" t="s">
        <v>1440</v>
      </c>
      <c r="G1780" s="114" t="s">
        <v>1174</v>
      </c>
      <c r="H1780" s="114" t="s">
        <v>21</v>
      </c>
      <c r="I1780" s="136">
        <v>1409.8</v>
      </c>
      <c r="J1780" s="114">
        <v>0</v>
      </c>
      <c r="K1780" s="136">
        <v>1409.8</v>
      </c>
      <c r="L1780" s="283">
        <v>1409.8</v>
      </c>
      <c r="M1780" s="283"/>
      <c r="N1780" s="136">
        <f t="shared" si="107"/>
        <v>0</v>
      </c>
      <c r="O1780" s="269" t="s">
        <v>1359</v>
      </c>
      <c r="P1780" s="269"/>
      <c r="XFC1780"/>
    </row>
    <row r="1781" s="84" customFormat="1" spans="1:16383">
      <c r="A1781" s="118">
        <v>46082</v>
      </c>
      <c r="B1781" s="114" t="str">
        <f t="shared" si="106"/>
        <v>5F</v>
      </c>
      <c r="C1781" s="114" t="s">
        <v>789</v>
      </c>
      <c r="D1781" s="114" t="s">
        <v>790</v>
      </c>
      <c r="E1781" s="114" t="s">
        <v>791</v>
      </c>
      <c r="F1781" s="268" t="s">
        <v>1440</v>
      </c>
      <c r="G1781" s="114" t="s">
        <v>1448</v>
      </c>
      <c r="H1781" s="114" t="s">
        <v>23</v>
      </c>
      <c r="I1781" s="136">
        <v>7935</v>
      </c>
      <c r="J1781" s="114">
        <v>0</v>
      </c>
      <c r="K1781" s="136">
        <v>7935</v>
      </c>
      <c r="L1781" s="296">
        <f>6635+900</f>
        <v>7535</v>
      </c>
      <c r="M1781" s="296"/>
      <c r="N1781" s="136">
        <f t="shared" si="107"/>
        <v>400</v>
      </c>
      <c r="O1781" s="269" t="s">
        <v>1522</v>
      </c>
      <c r="P1781" s="269"/>
      <c r="XFC1781"/>
    </row>
    <row r="1782" s="84" customFormat="1" spans="1:16383">
      <c r="A1782" s="118">
        <v>46082</v>
      </c>
      <c r="B1782" s="114" t="str">
        <f t="shared" si="106"/>
        <v>5F</v>
      </c>
      <c r="C1782" s="114" t="s">
        <v>789</v>
      </c>
      <c r="D1782" s="114" t="s">
        <v>790</v>
      </c>
      <c r="E1782" s="114" t="s">
        <v>791</v>
      </c>
      <c r="F1782" s="268" t="s">
        <v>1440</v>
      </c>
      <c r="G1782" s="114" t="s">
        <v>1338</v>
      </c>
      <c r="H1782" s="114" t="s">
        <v>23</v>
      </c>
      <c r="I1782" s="136">
        <v>7935</v>
      </c>
      <c r="J1782" s="114">
        <v>0</v>
      </c>
      <c r="K1782" s="136">
        <v>7935</v>
      </c>
      <c r="L1782" s="296">
        <f>2960.68+4974.32</f>
        <v>7935</v>
      </c>
      <c r="M1782" s="296"/>
      <c r="N1782" s="136">
        <f t="shared" si="107"/>
        <v>0</v>
      </c>
      <c r="O1782" s="297" t="s">
        <v>1523</v>
      </c>
      <c r="P1782" s="269"/>
      <c r="XFC1782"/>
    </row>
    <row r="1783" s="84" customFormat="1" spans="1:16383">
      <c r="A1783" s="118">
        <v>46082</v>
      </c>
      <c r="B1783" s="114" t="str">
        <f t="shared" si="106"/>
        <v>5F</v>
      </c>
      <c r="C1783" s="114" t="s">
        <v>789</v>
      </c>
      <c r="D1783" s="114" t="s">
        <v>790</v>
      </c>
      <c r="E1783" s="114" t="s">
        <v>791</v>
      </c>
      <c r="F1783" s="117" t="s">
        <v>1440</v>
      </c>
      <c r="G1783" s="114" t="s">
        <v>1174</v>
      </c>
      <c r="H1783" s="114" t="s">
        <v>23</v>
      </c>
      <c r="I1783" s="136">
        <v>7935</v>
      </c>
      <c r="J1783" s="114">
        <v>0</v>
      </c>
      <c r="K1783" s="136">
        <v>7935</v>
      </c>
      <c r="L1783" s="283">
        <v>7935</v>
      </c>
      <c r="M1783" s="283"/>
      <c r="N1783" s="136">
        <f t="shared" si="107"/>
        <v>0</v>
      </c>
      <c r="O1783" s="269" t="s">
        <v>1524</v>
      </c>
      <c r="P1783" s="269"/>
      <c r="XFC1783"/>
    </row>
    <row r="1784" s="84" customFormat="1" spans="1:16383">
      <c r="A1784" s="118">
        <v>46082</v>
      </c>
      <c r="B1784" s="114" t="str">
        <f t="shared" si="106"/>
        <v>5F</v>
      </c>
      <c r="C1784" s="114" t="s">
        <v>789</v>
      </c>
      <c r="D1784" s="114" t="s">
        <v>790</v>
      </c>
      <c r="E1784" s="114" t="s">
        <v>791</v>
      </c>
      <c r="F1784" s="117" t="s">
        <v>1440</v>
      </c>
      <c r="G1784" s="114" t="s">
        <v>1448</v>
      </c>
      <c r="H1784" s="114" t="s">
        <v>21</v>
      </c>
      <c r="I1784" s="136">
        <v>9056.94</v>
      </c>
      <c r="J1784" s="114">
        <v>0</v>
      </c>
      <c r="K1784" s="136">
        <v>9056.94</v>
      </c>
      <c r="L1784" s="283">
        <v>9056.94</v>
      </c>
      <c r="M1784" s="283"/>
      <c r="N1784" s="136">
        <f t="shared" si="107"/>
        <v>0</v>
      </c>
      <c r="O1784" s="269" t="s">
        <v>1525</v>
      </c>
      <c r="P1784" s="269"/>
      <c r="XFC1784"/>
    </row>
    <row r="1785" s="84" customFormat="1" spans="1:16383">
      <c r="A1785" s="118">
        <v>46082</v>
      </c>
      <c r="B1785" s="114" t="str">
        <f t="shared" si="106"/>
        <v>5F</v>
      </c>
      <c r="C1785" s="114" t="s">
        <v>789</v>
      </c>
      <c r="D1785" s="114" t="s">
        <v>790</v>
      </c>
      <c r="E1785" s="114" t="s">
        <v>791</v>
      </c>
      <c r="F1785" s="117" t="s">
        <v>1440</v>
      </c>
      <c r="G1785" s="114" t="s">
        <v>1338</v>
      </c>
      <c r="H1785" s="114" t="s">
        <v>21</v>
      </c>
      <c r="I1785" s="136">
        <v>9056.94</v>
      </c>
      <c r="J1785" s="114">
        <v>0</v>
      </c>
      <c r="K1785" s="136">
        <v>9056.94</v>
      </c>
      <c r="L1785" s="283">
        <v>9056.94</v>
      </c>
      <c r="M1785" s="283"/>
      <c r="N1785" s="136">
        <f t="shared" si="107"/>
        <v>0</v>
      </c>
      <c r="O1785" s="269" t="s">
        <v>1524</v>
      </c>
      <c r="P1785" s="269"/>
      <c r="XFC1785"/>
    </row>
    <row r="1786" s="84" customFormat="1" spans="1:16383">
      <c r="A1786" s="118">
        <v>46082</v>
      </c>
      <c r="B1786" s="114" t="str">
        <f t="shared" si="106"/>
        <v>5F</v>
      </c>
      <c r="C1786" s="114" t="s">
        <v>789</v>
      </c>
      <c r="D1786" s="114" t="s">
        <v>790</v>
      </c>
      <c r="E1786" s="114" t="s">
        <v>791</v>
      </c>
      <c r="F1786" s="117" t="s">
        <v>1440</v>
      </c>
      <c r="G1786" s="114" t="s">
        <v>1174</v>
      </c>
      <c r="H1786" s="114" t="s">
        <v>21</v>
      </c>
      <c r="I1786" s="136">
        <v>9056.94</v>
      </c>
      <c r="J1786" s="114">
        <v>0</v>
      </c>
      <c r="K1786" s="136">
        <v>9056.94</v>
      </c>
      <c r="L1786" s="283">
        <v>9056.94</v>
      </c>
      <c r="M1786" s="283"/>
      <c r="N1786" s="136">
        <f t="shared" si="107"/>
        <v>0</v>
      </c>
      <c r="O1786" s="269" t="s">
        <v>1524</v>
      </c>
      <c r="P1786" s="269"/>
      <c r="XFC1786"/>
    </row>
    <row r="1787" s="84" customFormat="1" spans="1:16383">
      <c r="A1787" s="118">
        <v>46082</v>
      </c>
      <c r="B1787" s="114" t="str">
        <f t="shared" si="106"/>
        <v>5F</v>
      </c>
      <c r="C1787" s="114" t="s">
        <v>797</v>
      </c>
      <c r="D1787" s="114" t="s">
        <v>1245</v>
      </c>
      <c r="E1787" s="114" t="s">
        <v>799</v>
      </c>
      <c r="F1787" s="117" t="s">
        <v>1440</v>
      </c>
      <c r="G1787" s="114" t="s">
        <v>1448</v>
      </c>
      <c r="H1787" s="114" t="s">
        <v>23</v>
      </c>
      <c r="I1787" s="136">
        <v>12650</v>
      </c>
      <c r="J1787" s="114">
        <v>0</v>
      </c>
      <c r="K1787" s="136">
        <v>12650</v>
      </c>
      <c r="L1787" s="233">
        <v>12650</v>
      </c>
      <c r="M1787" s="283"/>
      <c r="N1787" s="136">
        <f t="shared" si="107"/>
        <v>0</v>
      </c>
      <c r="O1787" s="269" t="s">
        <v>1526</v>
      </c>
      <c r="P1787" s="269"/>
      <c r="XFC1787"/>
    </row>
    <row r="1788" s="84" customFormat="1" spans="1:16383">
      <c r="A1788" s="118">
        <v>46082</v>
      </c>
      <c r="B1788" s="114" t="str">
        <f t="shared" si="106"/>
        <v>5F</v>
      </c>
      <c r="C1788" s="114" t="s">
        <v>797</v>
      </c>
      <c r="D1788" s="114" t="s">
        <v>1245</v>
      </c>
      <c r="E1788" s="114" t="s">
        <v>799</v>
      </c>
      <c r="F1788" s="117" t="s">
        <v>1440</v>
      </c>
      <c r="G1788" s="114" t="s">
        <v>1338</v>
      </c>
      <c r="H1788" s="114" t="s">
        <v>23</v>
      </c>
      <c r="I1788" s="136">
        <v>12650</v>
      </c>
      <c r="J1788" s="114">
        <v>0</v>
      </c>
      <c r="K1788" s="136">
        <v>12650</v>
      </c>
      <c r="L1788" s="233">
        <v>12650</v>
      </c>
      <c r="M1788" s="283"/>
      <c r="N1788" s="136">
        <f t="shared" si="107"/>
        <v>0</v>
      </c>
      <c r="O1788" s="269" t="s">
        <v>1526</v>
      </c>
      <c r="P1788" s="269"/>
      <c r="XFC1788"/>
    </row>
    <row r="1789" s="84" customFormat="1" spans="1:16383">
      <c r="A1789" s="118">
        <v>46082</v>
      </c>
      <c r="B1789" s="114" t="str">
        <f t="shared" si="106"/>
        <v>5F</v>
      </c>
      <c r="C1789" s="114" t="s">
        <v>797</v>
      </c>
      <c r="D1789" s="114" t="s">
        <v>1245</v>
      </c>
      <c r="E1789" s="114" t="s">
        <v>799</v>
      </c>
      <c r="F1789" s="117" t="s">
        <v>1440</v>
      </c>
      <c r="G1789" s="114" t="s">
        <v>1174</v>
      </c>
      <c r="H1789" s="114" t="s">
        <v>23</v>
      </c>
      <c r="I1789" s="136">
        <v>12650</v>
      </c>
      <c r="J1789" s="114">
        <v>0</v>
      </c>
      <c r="K1789" s="136">
        <v>12650</v>
      </c>
      <c r="L1789" s="233">
        <v>12650</v>
      </c>
      <c r="M1789" s="283"/>
      <c r="N1789" s="136">
        <f t="shared" si="107"/>
        <v>0</v>
      </c>
      <c r="O1789" s="269" t="s">
        <v>1526</v>
      </c>
      <c r="P1789" s="269"/>
      <c r="XFC1789"/>
    </row>
    <row r="1790" s="84" customFormat="1" spans="1:16383">
      <c r="A1790" s="118">
        <v>46082</v>
      </c>
      <c r="B1790" s="114" t="str">
        <f t="shared" si="106"/>
        <v>5F</v>
      </c>
      <c r="C1790" s="114" t="s">
        <v>797</v>
      </c>
      <c r="D1790" s="114" t="s">
        <v>1245</v>
      </c>
      <c r="E1790" s="114" t="s">
        <v>799</v>
      </c>
      <c r="F1790" s="117" t="s">
        <v>1440</v>
      </c>
      <c r="G1790" s="114" t="s">
        <v>1448</v>
      </c>
      <c r="H1790" s="114" t="s">
        <v>21</v>
      </c>
      <c r="I1790" s="136">
        <v>9200</v>
      </c>
      <c r="J1790" s="114">
        <v>0</v>
      </c>
      <c r="K1790" s="136">
        <v>9200</v>
      </c>
      <c r="L1790" s="233">
        <f>1701.67+4125+3373.33</f>
        <v>9200</v>
      </c>
      <c r="M1790" s="283"/>
      <c r="N1790" s="136">
        <f t="shared" si="107"/>
        <v>0</v>
      </c>
      <c r="O1790" s="269" t="s">
        <v>1527</v>
      </c>
      <c r="P1790" s="269"/>
      <c r="XFC1790"/>
    </row>
    <row r="1791" s="84" customFormat="1" spans="1:16383">
      <c r="A1791" s="118">
        <v>46082</v>
      </c>
      <c r="B1791" s="114" t="str">
        <f t="shared" si="106"/>
        <v>5F</v>
      </c>
      <c r="C1791" s="114" t="s">
        <v>797</v>
      </c>
      <c r="D1791" s="114" t="s">
        <v>1245</v>
      </c>
      <c r="E1791" s="114" t="s">
        <v>799</v>
      </c>
      <c r="F1791" s="117" t="s">
        <v>1440</v>
      </c>
      <c r="G1791" s="114" t="s">
        <v>1338</v>
      </c>
      <c r="H1791" s="114" t="s">
        <v>21</v>
      </c>
      <c r="I1791" s="136">
        <v>9200</v>
      </c>
      <c r="J1791" s="114">
        <v>0</v>
      </c>
      <c r="K1791" s="136">
        <v>9200</v>
      </c>
      <c r="L1791" s="233">
        <v>9200</v>
      </c>
      <c r="M1791" s="283"/>
      <c r="N1791" s="136">
        <f t="shared" si="107"/>
        <v>0</v>
      </c>
      <c r="O1791" s="269" t="s">
        <v>1526</v>
      </c>
      <c r="P1791" s="269"/>
      <c r="XFC1791"/>
    </row>
    <row r="1792" s="84" customFormat="1" spans="1:16383">
      <c r="A1792" s="118">
        <v>46082</v>
      </c>
      <c r="B1792" s="114" t="str">
        <f t="shared" si="106"/>
        <v>5F</v>
      </c>
      <c r="C1792" s="114" t="s">
        <v>797</v>
      </c>
      <c r="D1792" s="114" t="s">
        <v>1245</v>
      </c>
      <c r="E1792" s="114" t="s">
        <v>799</v>
      </c>
      <c r="F1792" s="117" t="s">
        <v>1440</v>
      </c>
      <c r="G1792" s="114" t="s">
        <v>1174</v>
      </c>
      <c r="H1792" s="114" t="s">
        <v>21</v>
      </c>
      <c r="I1792" s="136">
        <v>9200</v>
      </c>
      <c r="J1792" s="114">
        <v>0</v>
      </c>
      <c r="K1792" s="136">
        <v>9200</v>
      </c>
      <c r="L1792" s="233">
        <f>5000+4200</f>
        <v>9200</v>
      </c>
      <c r="M1792" s="283"/>
      <c r="N1792" s="136">
        <f t="shared" si="107"/>
        <v>0</v>
      </c>
      <c r="O1792" s="269" t="s">
        <v>1528</v>
      </c>
      <c r="P1792" s="269"/>
      <c r="XFC1792"/>
    </row>
    <row r="1793" s="84" customFormat="1" spans="1:16383">
      <c r="A1793" s="118">
        <v>46082</v>
      </c>
      <c r="B1793" s="116" t="s">
        <v>854</v>
      </c>
      <c r="C1793" s="114" t="s">
        <v>851</v>
      </c>
      <c r="D1793" s="114" t="s">
        <v>287</v>
      </c>
      <c r="E1793" s="152" t="s">
        <v>852</v>
      </c>
      <c r="F1793" s="117">
        <v>46097</v>
      </c>
      <c r="G1793" s="114" t="s">
        <v>1174</v>
      </c>
      <c r="H1793" s="116" t="s">
        <v>833</v>
      </c>
      <c r="I1793" s="136">
        <v>800</v>
      </c>
      <c r="J1793" s="114">
        <v>0</v>
      </c>
      <c r="K1793" s="136">
        <v>800</v>
      </c>
      <c r="L1793" s="283">
        <v>800</v>
      </c>
      <c r="M1793" s="283"/>
      <c r="N1793" s="136">
        <f t="shared" si="107"/>
        <v>0</v>
      </c>
      <c r="O1793" s="269" t="s">
        <v>1185</v>
      </c>
      <c r="P1793" s="269"/>
      <c r="XFC1793"/>
    </row>
    <row r="1794" s="84" customFormat="1" spans="1:16383">
      <c r="A1794" s="118">
        <v>46082</v>
      </c>
      <c r="B1794" s="116" t="s">
        <v>16</v>
      </c>
      <c r="C1794" s="114" t="s">
        <v>870</v>
      </c>
      <c r="D1794" s="114" t="s">
        <v>871</v>
      </c>
      <c r="E1794" s="114" t="s">
        <v>872</v>
      </c>
      <c r="F1794" s="117" t="s">
        <v>1440</v>
      </c>
      <c r="G1794" s="114" t="s">
        <v>1448</v>
      </c>
      <c r="H1794" s="114" t="s">
        <v>833</v>
      </c>
      <c r="I1794" s="136">
        <v>8000</v>
      </c>
      <c r="J1794" s="114">
        <v>0</v>
      </c>
      <c r="K1794" s="136">
        <v>8000</v>
      </c>
      <c r="L1794" s="283">
        <v>8000</v>
      </c>
      <c r="M1794" s="283"/>
      <c r="N1794" s="136">
        <f t="shared" si="107"/>
        <v>0</v>
      </c>
      <c r="O1794" s="269" t="s">
        <v>1359</v>
      </c>
      <c r="P1794" s="269"/>
      <c r="XFC1794"/>
    </row>
    <row r="1795" s="84" customFormat="1" spans="1:16383">
      <c r="A1795" s="118">
        <v>46082</v>
      </c>
      <c r="B1795" s="116" t="s">
        <v>16</v>
      </c>
      <c r="C1795" s="114" t="s">
        <v>870</v>
      </c>
      <c r="D1795" s="114" t="s">
        <v>871</v>
      </c>
      <c r="E1795" s="114" t="s">
        <v>872</v>
      </c>
      <c r="F1795" s="117" t="s">
        <v>1440</v>
      </c>
      <c r="G1795" s="114" t="s">
        <v>1338</v>
      </c>
      <c r="H1795" s="114" t="s">
        <v>833</v>
      </c>
      <c r="I1795" s="136">
        <v>8000</v>
      </c>
      <c r="J1795" s="114">
        <v>0</v>
      </c>
      <c r="K1795" s="136">
        <v>8000</v>
      </c>
      <c r="L1795" s="283">
        <v>8000</v>
      </c>
      <c r="M1795" s="283"/>
      <c r="N1795" s="136">
        <f t="shared" si="107"/>
        <v>0</v>
      </c>
      <c r="O1795" s="269" t="s">
        <v>1359</v>
      </c>
      <c r="P1795" s="269"/>
      <c r="XFC1795"/>
    </row>
    <row r="1796" s="84" customFormat="1" spans="1:16383">
      <c r="A1796" s="118">
        <v>46082</v>
      </c>
      <c r="B1796" s="116" t="s">
        <v>16</v>
      </c>
      <c r="C1796" s="114" t="s">
        <v>870</v>
      </c>
      <c r="D1796" s="114" t="s">
        <v>871</v>
      </c>
      <c r="E1796" s="114" t="s">
        <v>872</v>
      </c>
      <c r="F1796" s="117" t="s">
        <v>1440</v>
      </c>
      <c r="G1796" s="114" t="s">
        <v>1174</v>
      </c>
      <c r="H1796" s="114" t="s">
        <v>833</v>
      </c>
      <c r="I1796" s="136">
        <v>8000</v>
      </c>
      <c r="J1796" s="114">
        <v>0</v>
      </c>
      <c r="K1796" s="136">
        <v>8000</v>
      </c>
      <c r="L1796" s="283">
        <v>8000</v>
      </c>
      <c r="M1796" s="283"/>
      <c r="N1796" s="136">
        <f t="shared" si="107"/>
        <v>0</v>
      </c>
      <c r="O1796" s="269" t="s">
        <v>1359</v>
      </c>
      <c r="P1796" s="269"/>
      <c r="XFC1796"/>
    </row>
    <row r="1797" s="84" customFormat="1" spans="1:16383">
      <c r="A1797" s="118">
        <v>46082</v>
      </c>
      <c r="B1797" s="112" t="s">
        <v>16</v>
      </c>
      <c r="C1797" s="114" t="s">
        <v>873</v>
      </c>
      <c r="D1797" s="114" t="s">
        <v>874</v>
      </c>
      <c r="E1797" s="114" t="s">
        <v>875</v>
      </c>
      <c r="F1797" s="117" t="s">
        <v>1440</v>
      </c>
      <c r="G1797" s="114" t="s">
        <v>1174</v>
      </c>
      <c r="H1797" s="114" t="s">
        <v>833</v>
      </c>
      <c r="I1797" s="136">
        <v>8000</v>
      </c>
      <c r="J1797" s="136">
        <v>0</v>
      </c>
      <c r="K1797" s="136">
        <v>8000</v>
      </c>
      <c r="L1797" s="283">
        <v>8000</v>
      </c>
      <c r="M1797" s="283"/>
      <c r="N1797" s="136">
        <f t="shared" si="107"/>
        <v>0</v>
      </c>
      <c r="O1797" s="269" t="s">
        <v>1449</v>
      </c>
      <c r="P1797" s="269"/>
      <c r="XFC1797"/>
    </row>
    <row r="1798" s="84" customFormat="1" spans="1:16383">
      <c r="A1798" s="118">
        <v>46082</v>
      </c>
      <c r="B1798" s="114" t="s">
        <v>16</v>
      </c>
      <c r="C1798" s="114" t="s">
        <v>890</v>
      </c>
      <c r="D1798" s="114" t="s">
        <v>891</v>
      </c>
      <c r="E1798" s="114" t="s">
        <v>892</v>
      </c>
      <c r="F1798" s="117" t="s">
        <v>1440</v>
      </c>
      <c r="G1798" s="114" t="s">
        <v>1448</v>
      </c>
      <c r="H1798" s="114" t="s">
        <v>833</v>
      </c>
      <c r="I1798" s="136">
        <v>6300</v>
      </c>
      <c r="J1798" s="114">
        <v>0</v>
      </c>
      <c r="K1798" s="136">
        <v>6300</v>
      </c>
      <c r="L1798" s="283">
        <v>6300</v>
      </c>
      <c r="M1798" s="283"/>
      <c r="N1798" s="136">
        <f t="shared" si="107"/>
        <v>0</v>
      </c>
      <c r="O1798" s="269" t="s">
        <v>1394</v>
      </c>
      <c r="P1798" s="269"/>
      <c r="XFC1798"/>
    </row>
    <row r="1799" s="84" customFormat="1" spans="1:16383">
      <c r="A1799" s="118">
        <v>46082</v>
      </c>
      <c r="B1799" s="114" t="s">
        <v>16</v>
      </c>
      <c r="C1799" s="114" t="s">
        <v>890</v>
      </c>
      <c r="D1799" s="114" t="s">
        <v>891</v>
      </c>
      <c r="E1799" s="114" t="s">
        <v>892</v>
      </c>
      <c r="F1799" s="117" t="s">
        <v>1440</v>
      </c>
      <c r="G1799" s="114" t="s">
        <v>1338</v>
      </c>
      <c r="H1799" s="114" t="s">
        <v>833</v>
      </c>
      <c r="I1799" s="136">
        <v>6300</v>
      </c>
      <c r="J1799" s="114">
        <v>0</v>
      </c>
      <c r="K1799" s="136">
        <v>6300</v>
      </c>
      <c r="L1799" s="283">
        <v>6300</v>
      </c>
      <c r="M1799" s="283"/>
      <c r="N1799" s="136">
        <f t="shared" si="107"/>
        <v>0</v>
      </c>
      <c r="O1799" s="269" t="s">
        <v>1394</v>
      </c>
      <c r="P1799" s="269"/>
      <c r="XFC1799"/>
    </row>
    <row r="1800" s="84" customFormat="1" spans="1:16383">
      <c r="A1800" s="118">
        <v>46082</v>
      </c>
      <c r="B1800" s="114" t="s">
        <v>16</v>
      </c>
      <c r="C1800" s="114" t="s">
        <v>890</v>
      </c>
      <c r="D1800" s="114" t="s">
        <v>891</v>
      </c>
      <c r="E1800" s="114" t="s">
        <v>892</v>
      </c>
      <c r="F1800" s="117" t="s">
        <v>1440</v>
      </c>
      <c r="G1800" s="114" t="s">
        <v>1174</v>
      </c>
      <c r="H1800" s="114" t="s">
        <v>833</v>
      </c>
      <c r="I1800" s="136">
        <v>6300</v>
      </c>
      <c r="J1800" s="114">
        <v>0</v>
      </c>
      <c r="K1800" s="136">
        <v>6300</v>
      </c>
      <c r="L1800" s="283">
        <v>6300</v>
      </c>
      <c r="M1800" s="283"/>
      <c r="N1800" s="136">
        <f t="shared" si="107"/>
        <v>0</v>
      </c>
      <c r="O1800" s="269" t="s">
        <v>1394</v>
      </c>
      <c r="P1800" s="269"/>
      <c r="XFC1800"/>
    </row>
    <row r="1801" s="84" customFormat="1" spans="1:16383">
      <c r="A1801" s="118">
        <v>46082</v>
      </c>
      <c r="B1801" s="114" t="s">
        <v>909</v>
      </c>
      <c r="C1801" s="114" t="s">
        <v>910</v>
      </c>
      <c r="D1801" s="114" t="s">
        <v>553</v>
      </c>
      <c r="E1801" s="114" t="s">
        <v>554</v>
      </c>
      <c r="F1801" s="117" t="s">
        <v>1440</v>
      </c>
      <c r="G1801" s="114" t="s">
        <v>1174</v>
      </c>
      <c r="H1801" s="114" t="s">
        <v>833</v>
      </c>
      <c r="I1801" s="136">
        <v>500</v>
      </c>
      <c r="J1801" s="114">
        <v>0</v>
      </c>
      <c r="K1801" s="136">
        <v>500</v>
      </c>
      <c r="L1801" s="283">
        <v>500</v>
      </c>
      <c r="M1801" s="283"/>
      <c r="N1801" s="136">
        <f t="shared" si="107"/>
        <v>0</v>
      </c>
      <c r="O1801" s="269" t="s">
        <v>1218</v>
      </c>
      <c r="P1801" s="269"/>
      <c r="XFC1801"/>
    </row>
    <row r="1802" s="84" customFormat="1" spans="1:16383">
      <c r="A1802" s="118">
        <v>46082</v>
      </c>
      <c r="B1802" s="114" t="s">
        <v>491</v>
      </c>
      <c r="C1802" s="114" t="s">
        <v>1529</v>
      </c>
      <c r="D1802" s="114" t="s">
        <v>550</v>
      </c>
      <c r="E1802" s="114" t="s">
        <v>551</v>
      </c>
      <c r="F1802" s="117" t="s">
        <v>1504</v>
      </c>
      <c r="G1802" s="114" t="s">
        <v>1530</v>
      </c>
      <c r="H1802" s="114" t="s">
        <v>833</v>
      </c>
      <c r="I1802" s="136">
        <v>2000</v>
      </c>
      <c r="J1802" s="114">
        <v>0</v>
      </c>
      <c r="K1802" s="136">
        <v>2000</v>
      </c>
      <c r="L1802" s="283">
        <v>2000</v>
      </c>
      <c r="M1802" s="283"/>
      <c r="N1802" s="136">
        <f t="shared" si="107"/>
        <v>0</v>
      </c>
      <c r="O1802" s="269" t="s">
        <v>1470</v>
      </c>
      <c r="P1802" s="269"/>
      <c r="XFC1802"/>
    </row>
    <row r="1803" s="84" customFormat="1" spans="1:16383">
      <c r="A1803" s="118">
        <v>46082</v>
      </c>
      <c r="B1803" s="114" t="s">
        <v>491</v>
      </c>
      <c r="C1803" s="114" t="s">
        <v>1529</v>
      </c>
      <c r="D1803" s="114" t="s">
        <v>550</v>
      </c>
      <c r="E1803" s="114" t="s">
        <v>551</v>
      </c>
      <c r="F1803" s="117" t="s">
        <v>1504</v>
      </c>
      <c r="G1803" s="114" t="s">
        <v>1531</v>
      </c>
      <c r="H1803" s="114" t="s">
        <v>833</v>
      </c>
      <c r="I1803" s="136">
        <v>2000</v>
      </c>
      <c r="J1803" s="114">
        <v>0</v>
      </c>
      <c r="K1803" s="136">
        <v>2000</v>
      </c>
      <c r="L1803" s="283">
        <v>2000</v>
      </c>
      <c r="M1803" s="283"/>
      <c r="N1803" s="136">
        <f t="shared" si="107"/>
        <v>0</v>
      </c>
      <c r="O1803" s="269" t="s">
        <v>1470</v>
      </c>
      <c r="P1803" s="269"/>
      <c r="XFC1803"/>
    </row>
    <row r="1804" s="84" customFormat="1" spans="1:16383">
      <c r="A1804" s="118">
        <v>46082</v>
      </c>
      <c r="B1804" s="114" t="s">
        <v>491</v>
      </c>
      <c r="C1804" s="114" t="s">
        <v>1529</v>
      </c>
      <c r="D1804" s="114" t="s">
        <v>550</v>
      </c>
      <c r="E1804" s="114" t="s">
        <v>551</v>
      </c>
      <c r="F1804" s="117" t="s">
        <v>1504</v>
      </c>
      <c r="G1804" s="114" t="s">
        <v>1532</v>
      </c>
      <c r="H1804" s="114" t="s">
        <v>833</v>
      </c>
      <c r="I1804" s="136">
        <v>2000</v>
      </c>
      <c r="J1804" s="114">
        <v>0</v>
      </c>
      <c r="K1804" s="136">
        <v>2000</v>
      </c>
      <c r="L1804" s="283">
        <v>2000</v>
      </c>
      <c r="M1804" s="283"/>
      <c r="N1804" s="136">
        <f t="shared" si="107"/>
        <v>0</v>
      </c>
      <c r="O1804" s="269" t="s">
        <v>1470</v>
      </c>
      <c r="P1804" s="269"/>
      <c r="XFC1804"/>
    </row>
    <row r="1805" s="84" customFormat="1" spans="1:16383">
      <c r="A1805" s="118">
        <v>46082</v>
      </c>
      <c r="B1805" s="114" t="s">
        <v>909</v>
      </c>
      <c r="C1805" s="114" t="s">
        <v>1098</v>
      </c>
      <c r="D1805" s="114" t="s">
        <v>1099</v>
      </c>
      <c r="E1805" s="114" t="s">
        <v>1100</v>
      </c>
      <c r="F1805" s="117" t="s">
        <v>1440</v>
      </c>
      <c r="G1805" s="114" t="s">
        <v>1448</v>
      </c>
      <c r="H1805" s="114" t="s">
        <v>833</v>
      </c>
      <c r="I1805" s="136">
        <v>5000</v>
      </c>
      <c r="J1805" s="114">
        <v>0</v>
      </c>
      <c r="K1805" s="136">
        <v>5000</v>
      </c>
      <c r="L1805" s="283">
        <v>5000</v>
      </c>
      <c r="M1805" s="283"/>
      <c r="N1805" s="136">
        <f t="shared" si="107"/>
        <v>0</v>
      </c>
      <c r="O1805" s="269" t="s">
        <v>1533</v>
      </c>
      <c r="P1805" s="269"/>
      <c r="XFC1805"/>
    </row>
    <row r="1806" s="84" customFormat="1" spans="1:16383">
      <c r="A1806" s="118">
        <v>46082</v>
      </c>
      <c r="B1806" s="114" t="s">
        <v>909</v>
      </c>
      <c r="C1806" s="114" t="s">
        <v>1098</v>
      </c>
      <c r="D1806" s="114" t="s">
        <v>1099</v>
      </c>
      <c r="E1806" s="114" t="s">
        <v>1100</v>
      </c>
      <c r="F1806" s="117" t="s">
        <v>1440</v>
      </c>
      <c r="G1806" s="114" t="s">
        <v>1338</v>
      </c>
      <c r="H1806" s="114" t="s">
        <v>833</v>
      </c>
      <c r="I1806" s="136">
        <v>5000</v>
      </c>
      <c r="J1806" s="114">
        <v>0</v>
      </c>
      <c r="K1806" s="136">
        <v>5000</v>
      </c>
      <c r="L1806" s="283">
        <v>5000</v>
      </c>
      <c r="M1806" s="283"/>
      <c r="N1806" s="136">
        <f t="shared" si="107"/>
        <v>0</v>
      </c>
      <c r="O1806" s="269" t="s">
        <v>1533</v>
      </c>
      <c r="P1806" s="269"/>
      <c r="XFC1806"/>
    </row>
    <row r="1807" s="84" customFormat="1" spans="1:16383">
      <c r="A1807" s="118">
        <v>46082</v>
      </c>
      <c r="B1807" s="114" t="s">
        <v>909</v>
      </c>
      <c r="C1807" s="114" t="s">
        <v>1098</v>
      </c>
      <c r="D1807" s="114" t="s">
        <v>1099</v>
      </c>
      <c r="E1807" s="114" t="s">
        <v>1100</v>
      </c>
      <c r="F1807" s="117" t="s">
        <v>1440</v>
      </c>
      <c r="G1807" s="114" t="s">
        <v>1174</v>
      </c>
      <c r="H1807" s="114" t="s">
        <v>833</v>
      </c>
      <c r="I1807" s="136">
        <v>5000</v>
      </c>
      <c r="J1807" s="114">
        <v>0</v>
      </c>
      <c r="K1807" s="136">
        <v>5000</v>
      </c>
      <c r="L1807" s="283">
        <v>5000</v>
      </c>
      <c r="M1807" s="283"/>
      <c r="N1807" s="136">
        <f t="shared" si="107"/>
        <v>0</v>
      </c>
      <c r="O1807" s="269" t="s">
        <v>1533</v>
      </c>
      <c r="P1807" s="269"/>
      <c r="XFC1807"/>
    </row>
    <row r="1808" s="84" customFormat="1" spans="1:16383">
      <c r="A1808" s="118">
        <v>46082</v>
      </c>
      <c r="B1808" s="135" t="s">
        <v>1073</v>
      </c>
      <c r="C1808" s="114" t="s">
        <v>1534</v>
      </c>
      <c r="D1808" s="114" t="s">
        <v>1075</v>
      </c>
      <c r="E1808" s="114" t="s">
        <v>1076</v>
      </c>
      <c r="F1808" s="117" t="s">
        <v>1512</v>
      </c>
      <c r="G1808" s="114" t="s">
        <v>350</v>
      </c>
      <c r="H1808" s="114" t="s">
        <v>833</v>
      </c>
      <c r="I1808" s="136">
        <v>5240</v>
      </c>
      <c r="J1808" s="114">
        <v>0</v>
      </c>
      <c r="K1808" s="136">
        <v>5240</v>
      </c>
      <c r="L1808" s="283">
        <v>5240</v>
      </c>
      <c r="M1808" s="283"/>
      <c r="N1808" s="136">
        <f t="shared" si="107"/>
        <v>0</v>
      </c>
      <c r="O1808" s="269" t="s">
        <v>1480</v>
      </c>
      <c r="P1808" s="269"/>
      <c r="XFC1808"/>
    </row>
    <row r="1809" s="84" customFormat="1" spans="1:16383">
      <c r="A1809" s="118">
        <v>46082</v>
      </c>
      <c r="B1809" s="135" t="s">
        <v>1073</v>
      </c>
      <c r="C1809" s="114" t="s">
        <v>1534</v>
      </c>
      <c r="D1809" s="114" t="s">
        <v>1075</v>
      </c>
      <c r="E1809" s="114" t="s">
        <v>1076</v>
      </c>
      <c r="F1809" s="117" t="s">
        <v>1512</v>
      </c>
      <c r="G1809" s="114" t="s">
        <v>351</v>
      </c>
      <c r="H1809" s="114" t="s">
        <v>833</v>
      </c>
      <c r="I1809" s="136">
        <v>5240</v>
      </c>
      <c r="J1809" s="114">
        <v>0</v>
      </c>
      <c r="K1809" s="136">
        <v>5240</v>
      </c>
      <c r="L1809" s="283">
        <v>5240</v>
      </c>
      <c r="M1809" s="283"/>
      <c r="N1809" s="136">
        <f t="shared" si="107"/>
        <v>0</v>
      </c>
      <c r="O1809" s="269" t="s">
        <v>1480</v>
      </c>
      <c r="P1809" s="269"/>
      <c r="XFC1809"/>
    </row>
    <row r="1810" s="84" customFormat="1" spans="1:16383">
      <c r="A1810" s="118">
        <v>46082</v>
      </c>
      <c r="B1810" s="135" t="s">
        <v>1073</v>
      </c>
      <c r="C1810" s="114" t="s">
        <v>1534</v>
      </c>
      <c r="D1810" s="114" t="s">
        <v>1075</v>
      </c>
      <c r="E1810" s="114" t="s">
        <v>1076</v>
      </c>
      <c r="F1810" s="117" t="s">
        <v>1512</v>
      </c>
      <c r="G1810" s="114" t="s">
        <v>352</v>
      </c>
      <c r="H1810" s="114" t="s">
        <v>833</v>
      </c>
      <c r="I1810" s="136">
        <v>5240</v>
      </c>
      <c r="J1810" s="114">
        <v>0</v>
      </c>
      <c r="K1810" s="136">
        <v>5240</v>
      </c>
      <c r="L1810" s="283">
        <v>5240</v>
      </c>
      <c r="M1810" s="283"/>
      <c r="N1810" s="136">
        <f t="shared" si="107"/>
        <v>0</v>
      </c>
      <c r="O1810" s="269" t="s">
        <v>1480</v>
      </c>
      <c r="P1810" s="269"/>
      <c r="XFC1810"/>
    </row>
    <row r="1811" s="88" customFormat="1" spans="1:16">
      <c r="A1811" s="118">
        <v>46082</v>
      </c>
      <c r="B1811" s="114" t="s">
        <v>1044</v>
      </c>
      <c r="C1811" s="114" t="s">
        <v>1273</v>
      </c>
      <c r="D1811" s="114" t="s">
        <v>1274</v>
      </c>
      <c r="E1811" s="114" t="s">
        <v>1275</v>
      </c>
      <c r="F1811" s="117">
        <v>46097</v>
      </c>
      <c r="G1811" s="114" t="s">
        <v>1535</v>
      </c>
      <c r="H1811" s="114" t="s">
        <v>833</v>
      </c>
      <c r="I1811" s="136">
        <v>200</v>
      </c>
      <c r="J1811" s="114">
        <v>0</v>
      </c>
      <c r="K1811" s="136">
        <v>200</v>
      </c>
      <c r="L1811" s="131">
        <v>200</v>
      </c>
      <c r="M1811" s="131"/>
      <c r="N1811" s="136">
        <f t="shared" si="107"/>
        <v>0</v>
      </c>
      <c r="O1811" s="138" t="s">
        <v>1536</v>
      </c>
      <c r="P1811" s="138"/>
    </row>
    <row r="1812" s="84" customFormat="1" spans="1:16383">
      <c r="A1812" s="118">
        <v>46082</v>
      </c>
      <c r="B1812" s="114" t="s">
        <v>1044</v>
      </c>
      <c r="C1812" s="114" t="s">
        <v>966</v>
      </c>
      <c r="D1812" s="114" t="s">
        <v>967</v>
      </c>
      <c r="E1812" s="114" t="s">
        <v>968</v>
      </c>
      <c r="F1812" s="117" t="s">
        <v>1537</v>
      </c>
      <c r="G1812" s="114" t="s">
        <v>739</v>
      </c>
      <c r="H1812" s="114" t="s">
        <v>833</v>
      </c>
      <c r="I1812" s="136">
        <v>4200</v>
      </c>
      <c r="J1812" s="114">
        <v>0</v>
      </c>
      <c r="K1812" s="136">
        <v>4200</v>
      </c>
      <c r="L1812" s="283">
        <v>4200</v>
      </c>
      <c r="M1812" s="283"/>
      <c r="N1812" s="136">
        <f t="shared" si="107"/>
        <v>0</v>
      </c>
      <c r="O1812" s="269" t="s">
        <v>231</v>
      </c>
      <c r="P1812" s="269"/>
      <c r="XFC1812"/>
    </row>
    <row r="1813" s="84" customFormat="1" spans="1:16383">
      <c r="A1813" s="118">
        <v>46082</v>
      </c>
      <c r="B1813" s="114" t="s">
        <v>1044</v>
      </c>
      <c r="C1813" s="114" t="s">
        <v>966</v>
      </c>
      <c r="D1813" s="114" t="s">
        <v>967</v>
      </c>
      <c r="E1813" s="114" t="s">
        <v>968</v>
      </c>
      <c r="F1813" s="117" t="s">
        <v>1537</v>
      </c>
      <c r="G1813" s="114" t="s">
        <v>740</v>
      </c>
      <c r="H1813" s="114" t="s">
        <v>833</v>
      </c>
      <c r="I1813" s="136">
        <v>4200</v>
      </c>
      <c r="J1813" s="114">
        <v>0</v>
      </c>
      <c r="K1813" s="136">
        <v>4200</v>
      </c>
      <c r="L1813" s="283">
        <v>4200</v>
      </c>
      <c r="M1813" s="283"/>
      <c r="N1813" s="136">
        <f t="shared" si="107"/>
        <v>0</v>
      </c>
      <c r="O1813" s="269" t="s">
        <v>231</v>
      </c>
      <c r="P1813" s="269"/>
      <c r="XFC1813"/>
    </row>
    <row r="1814" s="84" customFormat="1" spans="1:16383">
      <c r="A1814" s="118">
        <v>46082</v>
      </c>
      <c r="B1814" s="114" t="s">
        <v>1044</v>
      </c>
      <c r="C1814" s="114" t="s">
        <v>966</v>
      </c>
      <c r="D1814" s="114" t="s">
        <v>967</v>
      </c>
      <c r="E1814" s="114" t="s">
        <v>968</v>
      </c>
      <c r="F1814" s="117" t="s">
        <v>1537</v>
      </c>
      <c r="G1814" s="114" t="s">
        <v>741</v>
      </c>
      <c r="H1814" s="114" t="s">
        <v>833</v>
      </c>
      <c r="I1814" s="136">
        <v>4200</v>
      </c>
      <c r="J1814" s="114">
        <v>0</v>
      </c>
      <c r="K1814" s="136">
        <v>4200</v>
      </c>
      <c r="L1814" s="283">
        <v>4200</v>
      </c>
      <c r="M1814" s="283"/>
      <c r="N1814" s="136">
        <f t="shared" si="107"/>
        <v>0</v>
      </c>
      <c r="O1814" s="269" t="s">
        <v>231</v>
      </c>
      <c r="P1814" s="269"/>
      <c r="XFC1814"/>
    </row>
    <row r="1815" s="84" customFormat="1" spans="1:16383">
      <c r="A1815" s="118">
        <v>46082</v>
      </c>
      <c r="B1815" s="116" t="s">
        <v>491</v>
      </c>
      <c r="C1815" s="114" t="s">
        <v>993</v>
      </c>
      <c r="D1815" s="114" t="s">
        <v>1149</v>
      </c>
      <c r="E1815" s="114" t="s">
        <v>994</v>
      </c>
      <c r="F1815" s="117" t="s">
        <v>1440</v>
      </c>
      <c r="G1815" s="114" t="s">
        <v>1448</v>
      </c>
      <c r="H1815" s="114" t="s">
        <v>833</v>
      </c>
      <c r="I1815" s="136">
        <v>3339</v>
      </c>
      <c r="J1815" s="114">
        <v>0</v>
      </c>
      <c r="K1815" s="136">
        <v>3339</v>
      </c>
      <c r="L1815" s="283">
        <v>3339</v>
      </c>
      <c r="M1815" s="283"/>
      <c r="N1815" s="136">
        <f t="shared" si="107"/>
        <v>0</v>
      </c>
      <c r="O1815" s="269" t="s">
        <v>1538</v>
      </c>
      <c r="P1815" s="269"/>
      <c r="XFC1815"/>
    </row>
    <row r="1816" s="84" customFormat="1" spans="1:16383">
      <c r="A1816" s="118">
        <v>46082</v>
      </c>
      <c r="B1816" s="116" t="s">
        <v>491</v>
      </c>
      <c r="C1816" s="114" t="s">
        <v>993</v>
      </c>
      <c r="D1816" s="114" t="s">
        <v>1149</v>
      </c>
      <c r="E1816" s="114" t="s">
        <v>994</v>
      </c>
      <c r="F1816" s="117" t="s">
        <v>1440</v>
      </c>
      <c r="G1816" s="114" t="s">
        <v>1338</v>
      </c>
      <c r="H1816" s="114" t="s">
        <v>833</v>
      </c>
      <c r="I1816" s="136">
        <v>3339</v>
      </c>
      <c r="J1816" s="114">
        <v>0</v>
      </c>
      <c r="K1816" s="136">
        <v>3339</v>
      </c>
      <c r="L1816" s="283">
        <v>3339</v>
      </c>
      <c r="M1816" s="283"/>
      <c r="N1816" s="136">
        <f t="shared" si="107"/>
        <v>0</v>
      </c>
      <c r="O1816" s="269" t="s">
        <v>1538</v>
      </c>
      <c r="P1816" s="269"/>
      <c r="XFC1816"/>
    </row>
    <row r="1817" s="84" customFormat="1" spans="1:16383">
      <c r="A1817" s="118">
        <v>46082</v>
      </c>
      <c r="B1817" s="116" t="s">
        <v>491</v>
      </c>
      <c r="C1817" s="114" t="s">
        <v>993</v>
      </c>
      <c r="D1817" s="114" t="s">
        <v>1149</v>
      </c>
      <c r="E1817" s="114" t="s">
        <v>994</v>
      </c>
      <c r="F1817" s="117" t="s">
        <v>1440</v>
      </c>
      <c r="G1817" s="114" t="s">
        <v>1174</v>
      </c>
      <c r="H1817" s="114" t="s">
        <v>833</v>
      </c>
      <c r="I1817" s="136">
        <v>3339</v>
      </c>
      <c r="J1817" s="114">
        <v>0</v>
      </c>
      <c r="K1817" s="136">
        <v>3339</v>
      </c>
      <c r="L1817" s="283">
        <v>3339</v>
      </c>
      <c r="M1817" s="283"/>
      <c r="N1817" s="136">
        <f t="shared" si="107"/>
        <v>0</v>
      </c>
      <c r="O1817" s="269" t="s">
        <v>1538</v>
      </c>
      <c r="P1817" s="269"/>
      <c r="XFC1817"/>
    </row>
    <row r="1818" s="84" customFormat="1" spans="1:16383">
      <c r="A1818" s="291">
        <v>46054</v>
      </c>
      <c r="B1818" s="298" t="s">
        <v>679</v>
      </c>
      <c r="C1818" s="299" t="s">
        <v>811</v>
      </c>
      <c r="D1818" s="298" t="s">
        <v>812</v>
      </c>
      <c r="E1818" s="298" t="s">
        <v>813</v>
      </c>
      <c r="F1818" s="117">
        <v>46097</v>
      </c>
      <c r="G1818" s="292" t="s">
        <v>1176</v>
      </c>
      <c r="H1818" s="300" t="s">
        <v>23</v>
      </c>
      <c r="I1818" s="303">
        <v>7717.5</v>
      </c>
      <c r="J1818" s="304"/>
      <c r="K1818" s="303">
        <v>7717.5</v>
      </c>
      <c r="L1818" s="283">
        <v>7717.5</v>
      </c>
      <c r="M1818" s="283"/>
      <c r="N1818" s="136">
        <f t="shared" si="107"/>
        <v>0</v>
      </c>
      <c r="O1818" s="269" t="s">
        <v>1539</v>
      </c>
      <c r="P1818" s="269"/>
      <c r="XFC1818"/>
    </row>
    <row r="1819" s="84" customFormat="1" spans="1:16383">
      <c r="A1819" s="291">
        <v>46054</v>
      </c>
      <c r="B1819" s="298" t="s">
        <v>679</v>
      </c>
      <c r="C1819" s="299" t="s">
        <v>811</v>
      </c>
      <c r="D1819" s="298" t="s">
        <v>812</v>
      </c>
      <c r="E1819" s="298" t="s">
        <v>813</v>
      </c>
      <c r="F1819" s="117">
        <v>46097</v>
      </c>
      <c r="G1819" s="292" t="s">
        <v>1176</v>
      </c>
      <c r="H1819" s="300" t="s">
        <v>21</v>
      </c>
      <c r="I1819" s="303">
        <v>7282.5</v>
      </c>
      <c r="J1819" s="304"/>
      <c r="K1819" s="303">
        <v>7282.5</v>
      </c>
      <c r="L1819" s="283">
        <v>7282.5</v>
      </c>
      <c r="M1819" s="283"/>
      <c r="N1819" s="136">
        <f t="shared" si="107"/>
        <v>0</v>
      </c>
      <c r="O1819" s="269" t="s">
        <v>1539</v>
      </c>
      <c r="P1819" s="269"/>
      <c r="XFC1819"/>
    </row>
    <row r="1820" s="84" customFormat="1" spans="1:16383">
      <c r="A1820" s="291">
        <v>46082</v>
      </c>
      <c r="B1820" s="298" t="s">
        <v>491</v>
      </c>
      <c r="C1820" s="299" t="s">
        <v>583</v>
      </c>
      <c r="D1820" s="298" t="s">
        <v>584</v>
      </c>
      <c r="E1820" s="298" t="s">
        <v>585</v>
      </c>
      <c r="F1820" s="117">
        <v>46097</v>
      </c>
      <c r="G1820" s="292" t="s">
        <v>1540</v>
      </c>
      <c r="H1820" s="300" t="s">
        <v>23</v>
      </c>
      <c r="I1820" s="303">
        <v>6150</v>
      </c>
      <c r="J1820" s="304">
        <v>0</v>
      </c>
      <c r="K1820" s="303">
        <f t="shared" ref="K1820:K1829" si="108">I1820-J1820</f>
        <v>6150</v>
      </c>
      <c r="L1820" s="283">
        <f>2000+4150</f>
        <v>6150</v>
      </c>
      <c r="M1820" s="283"/>
      <c r="N1820" s="136">
        <f t="shared" si="107"/>
        <v>0</v>
      </c>
      <c r="O1820" s="269" t="s">
        <v>1541</v>
      </c>
      <c r="P1820" s="269"/>
      <c r="XFC1820"/>
    </row>
    <row r="1821" s="84" customFormat="1" spans="1:16383">
      <c r="A1821" s="291">
        <v>46082</v>
      </c>
      <c r="B1821" s="298" t="s">
        <v>491</v>
      </c>
      <c r="C1821" s="299" t="s">
        <v>583</v>
      </c>
      <c r="D1821" s="298" t="s">
        <v>584</v>
      </c>
      <c r="E1821" s="298" t="s">
        <v>585</v>
      </c>
      <c r="F1821" s="117">
        <v>46097</v>
      </c>
      <c r="G1821" s="292" t="s">
        <v>1540</v>
      </c>
      <c r="H1821" s="300" t="s">
        <v>21</v>
      </c>
      <c r="I1821" s="303">
        <v>9686.25</v>
      </c>
      <c r="J1821" s="304">
        <v>0</v>
      </c>
      <c r="K1821" s="303">
        <f t="shared" si="108"/>
        <v>9686.25</v>
      </c>
      <c r="L1821" s="283">
        <f>1121.06+8000+565.19</f>
        <v>9686.25</v>
      </c>
      <c r="M1821" s="283"/>
      <c r="N1821" s="136">
        <f t="shared" si="107"/>
        <v>0</v>
      </c>
      <c r="O1821" s="269" t="s">
        <v>1542</v>
      </c>
      <c r="P1821" s="269"/>
      <c r="XFC1821"/>
    </row>
    <row r="1822" s="86" customFormat="1" spans="1:16">
      <c r="A1822" s="291">
        <v>46082</v>
      </c>
      <c r="B1822" s="116" t="s">
        <v>16</v>
      </c>
      <c r="C1822" s="299" t="s">
        <v>864</v>
      </c>
      <c r="D1822" s="298" t="s">
        <v>1543</v>
      </c>
      <c r="E1822" s="298" t="s">
        <v>866</v>
      </c>
      <c r="F1822" s="117" t="s">
        <v>1440</v>
      </c>
      <c r="G1822" s="292" t="s">
        <v>1544</v>
      </c>
      <c r="H1822" s="300" t="s">
        <v>833</v>
      </c>
      <c r="I1822" s="303">
        <v>38322.58</v>
      </c>
      <c r="J1822" s="304">
        <v>0</v>
      </c>
      <c r="K1822" s="303">
        <v>38322.58</v>
      </c>
      <c r="L1822" s="283">
        <v>38322.58</v>
      </c>
      <c r="M1822" s="283"/>
      <c r="N1822" s="136">
        <f t="shared" si="107"/>
        <v>0</v>
      </c>
      <c r="O1822" s="269" t="s">
        <v>1545</v>
      </c>
      <c r="P1822" s="269"/>
    </row>
    <row r="1823" s="89" customFormat="1" spans="1:17">
      <c r="A1823" s="291">
        <v>46082</v>
      </c>
      <c r="B1823" s="116" t="s">
        <v>16</v>
      </c>
      <c r="C1823" s="299" t="s">
        <v>1546</v>
      </c>
      <c r="D1823" s="298" t="s">
        <v>977</v>
      </c>
      <c r="E1823" s="298" t="s">
        <v>978</v>
      </c>
      <c r="F1823" s="117" t="s">
        <v>1440</v>
      </c>
      <c r="G1823" s="292" t="s">
        <v>1433</v>
      </c>
      <c r="H1823" s="300" t="s">
        <v>833</v>
      </c>
      <c r="I1823" s="303">
        <v>7800</v>
      </c>
      <c r="J1823" s="304">
        <v>0</v>
      </c>
      <c r="K1823" s="303">
        <f t="shared" si="108"/>
        <v>7800</v>
      </c>
      <c r="L1823" s="283">
        <v>7800</v>
      </c>
      <c r="M1823" s="283"/>
      <c r="N1823" s="136">
        <f t="shared" ref="N1823:N1833" si="109">K1823-L1823</f>
        <v>0</v>
      </c>
      <c r="O1823" s="269" t="s">
        <v>1221</v>
      </c>
      <c r="P1823" s="269" t="s">
        <v>1547</v>
      </c>
      <c r="Q1823" s="84"/>
    </row>
    <row r="1824" s="89" customFormat="1" spans="1:17">
      <c r="A1824" s="291">
        <v>46082</v>
      </c>
      <c r="B1824" s="298" t="s">
        <v>1044</v>
      </c>
      <c r="C1824" s="299" t="s">
        <v>983</v>
      </c>
      <c r="D1824" s="298" t="s">
        <v>984</v>
      </c>
      <c r="E1824" s="298" t="s">
        <v>985</v>
      </c>
      <c r="F1824" s="117" t="s">
        <v>1440</v>
      </c>
      <c r="G1824" s="292" t="s">
        <v>1433</v>
      </c>
      <c r="H1824" s="300" t="s">
        <v>833</v>
      </c>
      <c r="I1824" s="303">
        <v>6000</v>
      </c>
      <c r="J1824" s="304">
        <v>0</v>
      </c>
      <c r="K1824" s="303">
        <f t="shared" si="108"/>
        <v>6000</v>
      </c>
      <c r="L1824" s="283">
        <v>6000</v>
      </c>
      <c r="M1824" s="283"/>
      <c r="N1824" s="136">
        <f t="shared" si="109"/>
        <v>0</v>
      </c>
      <c r="O1824" s="269" t="s">
        <v>1548</v>
      </c>
      <c r="P1824" s="269"/>
      <c r="Q1824" s="84"/>
    </row>
    <row r="1825" s="89" customFormat="1" spans="1:16">
      <c r="A1825" s="291">
        <v>46082</v>
      </c>
      <c r="B1825" s="298" t="s">
        <v>1044</v>
      </c>
      <c r="C1825" s="299" t="s">
        <v>1549</v>
      </c>
      <c r="D1825" s="298" t="s">
        <v>1550</v>
      </c>
      <c r="E1825" s="298" t="s">
        <v>1551</v>
      </c>
      <c r="F1825" s="117" t="s">
        <v>1440</v>
      </c>
      <c r="G1825" s="292" t="s">
        <v>1423</v>
      </c>
      <c r="H1825" s="116" t="s">
        <v>833</v>
      </c>
      <c r="I1825" s="303">
        <v>1500</v>
      </c>
      <c r="J1825" s="305">
        <v>0</v>
      </c>
      <c r="K1825" s="303">
        <f t="shared" si="108"/>
        <v>1500</v>
      </c>
      <c r="L1825" s="283">
        <v>1500</v>
      </c>
      <c r="M1825" s="283"/>
      <c r="N1825" s="136">
        <f t="shared" si="109"/>
        <v>0</v>
      </c>
      <c r="O1825" s="269" t="s">
        <v>1552</v>
      </c>
      <c r="P1825" s="269"/>
    </row>
    <row r="1826" s="89" customFormat="1" spans="1:16">
      <c r="A1826" s="291">
        <v>46082</v>
      </c>
      <c r="B1826" s="298" t="s">
        <v>1044</v>
      </c>
      <c r="C1826" s="299" t="s">
        <v>1553</v>
      </c>
      <c r="D1826" s="298" t="s">
        <v>1554</v>
      </c>
      <c r="E1826" s="298" t="s">
        <v>1555</v>
      </c>
      <c r="F1826" s="117" t="s">
        <v>1440</v>
      </c>
      <c r="G1826" s="292" t="s">
        <v>1501</v>
      </c>
      <c r="H1826" s="300" t="s">
        <v>833</v>
      </c>
      <c r="I1826" s="303">
        <v>30000</v>
      </c>
      <c r="J1826" s="304">
        <v>0</v>
      </c>
      <c r="K1826" s="303">
        <f t="shared" si="108"/>
        <v>30000</v>
      </c>
      <c r="L1826" s="283">
        <v>30000</v>
      </c>
      <c r="M1826" s="283"/>
      <c r="N1826" s="136">
        <f t="shared" si="109"/>
        <v>0</v>
      </c>
      <c r="O1826" s="269" t="s">
        <v>1556</v>
      </c>
      <c r="P1826" s="269"/>
    </row>
    <row r="1827" s="89" customFormat="1" spans="1:16">
      <c r="A1827" s="291">
        <v>46082</v>
      </c>
      <c r="B1827" s="298" t="s">
        <v>16</v>
      </c>
      <c r="C1827" s="299" t="s">
        <v>124</v>
      </c>
      <c r="D1827" s="298" t="s">
        <v>1557</v>
      </c>
      <c r="E1827" s="298" t="s">
        <v>1558</v>
      </c>
      <c r="F1827" s="117" t="s">
        <v>1440</v>
      </c>
      <c r="G1827" s="292" t="s">
        <v>1559</v>
      </c>
      <c r="H1827" s="300" t="s">
        <v>21</v>
      </c>
      <c r="I1827" s="303">
        <v>40326</v>
      </c>
      <c r="J1827" s="304"/>
      <c r="K1827" s="303">
        <f t="shared" si="108"/>
        <v>40326</v>
      </c>
      <c r="L1827" s="283">
        <v>40326</v>
      </c>
      <c r="M1827" s="283"/>
      <c r="N1827" s="136">
        <f t="shared" si="109"/>
        <v>0</v>
      </c>
      <c r="O1827" s="269" t="s">
        <v>1560</v>
      </c>
      <c r="P1827" s="269" t="s">
        <v>1561</v>
      </c>
    </row>
    <row r="1828" s="89" customFormat="1" spans="1:16">
      <c r="A1828" s="291">
        <v>46082</v>
      </c>
      <c r="B1828" s="298" t="s">
        <v>16</v>
      </c>
      <c r="C1828" s="299" t="s">
        <v>124</v>
      </c>
      <c r="D1828" s="298" t="s">
        <v>1557</v>
      </c>
      <c r="E1828" s="298" t="s">
        <v>1558</v>
      </c>
      <c r="F1828" s="117" t="s">
        <v>1440</v>
      </c>
      <c r="G1828" s="292" t="s">
        <v>1559</v>
      </c>
      <c r="H1828" s="300" t="s">
        <v>23</v>
      </c>
      <c r="I1828" s="303">
        <v>5243.33</v>
      </c>
      <c r="J1828" s="304"/>
      <c r="K1828" s="303">
        <f t="shared" si="108"/>
        <v>5243.33</v>
      </c>
      <c r="L1828" s="283">
        <v>5243.33</v>
      </c>
      <c r="M1828" s="283"/>
      <c r="N1828" s="136">
        <f t="shared" si="109"/>
        <v>0</v>
      </c>
      <c r="O1828" s="269" t="s">
        <v>1560</v>
      </c>
      <c r="P1828" s="269" t="s">
        <v>1561</v>
      </c>
    </row>
    <row r="1829" s="89" customFormat="1" spans="1:16">
      <c r="A1829" s="291">
        <v>46082</v>
      </c>
      <c r="B1829" s="298" t="s">
        <v>16</v>
      </c>
      <c r="C1829" s="299" t="s">
        <v>124</v>
      </c>
      <c r="D1829" s="298" t="s">
        <v>1557</v>
      </c>
      <c r="E1829" s="298" t="s">
        <v>1558</v>
      </c>
      <c r="F1829" s="117" t="s">
        <v>1440</v>
      </c>
      <c r="G1829" s="292" t="s">
        <v>1562</v>
      </c>
      <c r="H1829" s="300" t="s">
        <v>30</v>
      </c>
      <c r="I1829" s="303">
        <v>3000</v>
      </c>
      <c r="J1829" s="304"/>
      <c r="K1829" s="303">
        <f t="shared" si="108"/>
        <v>3000</v>
      </c>
      <c r="L1829" s="283">
        <v>3000</v>
      </c>
      <c r="M1829" s="283"/>
      <c r="N1829" s="136">
        <f t="shared" si="109"/>
        <v>0</v>
      </c>
      <c r="O1829" s="269" t="s">
        <v>1560</v>
      </c>
      <c r="P1829" s="269" t="s">
        <v>1561</v>
      </c>
    </row>
    <row r="1830" s="89" customFormat="1" spans="1:16">
      <c r="A1830" s="291">
        <v>46082</v>
      </c>
      <c r="B1830" s="298" t="s">
        <v>16</v>
      </c>
      <c r="C1830" s="299" t="s">
        <v>232</v>
      </c>
      <c r="D1830" s="298" t="s">
        <v>1563</v>
      </c>
      <c r="E1830" s="298" t="s">
        <v>234</v>
      </c>
      <c r="F1830" s="117" t="s">
        <v>1440</v>
      </c>
      <c r="G1830" s="292" t="s">
        <v>1402</v>
      </c>
      <c r="H1830" s="300" t="s">
        <v>23</v>
      </c>
      <c r="I1830" s="303">
        <v>7920</v>
      </c>
      <c r="J1830" s="304"/>
      <c r="K1830" s="303">
        <v>7920</v>
      </c>
      <c r="L1830" s="283">
        <f>3960*2</f>
        <v>7920</v>
      </c>
      <c r="M1830" s="283"/>
      <c r="N1830" s="136">
        <f t="shared" si="109"/>
        <v>0</v>
      </c>
      <c r="O1830" s="269" t="s">
        <v>1564</v>
      </c>
      <c r="P1830" s="269" t="s">
        <v>1272</v>
      </c>
    </row>
    <row r="1831" s="89" customFormat="1" spans="1:16">
      <c r="A1831" s="291">
        <v>46082</v>
      </c>
      <c r="B1831" s="298" t="s">
        <v>16</v>
      </c>
      <c r="C1831" s="299" t="s">
        <v>232</v>
      </c>
      <c r="D1831" s="298" t="s">
        <v>1563</v>
      </c>
      <c r="E1831" s="298" t="s">
        <v>234</v>
      </c>
      <c r="F1831" s="117" t="s">
        <v>1440</v>
      </c>
      <c r="G1831" s="292" t="s">
        <v>1402</v>
      </c>
      <c r="H1831" s="300" t="s">
        <v>21</v>
      </c>
      <c r="I1831" s="303">
        <v>32400</v>
      </c>
      <c r="J1831" s="304"/>
      <c r="K1831" s="303">
        <v>32400</v>
      </c>
      <c r="L1831" s="283">
        <f>16200*2</f>
        <v>32400</v>
      </c>
      <c r="M1831" s="283"/>
      <c r="N1831" s="136">
        <f t="shared" si="109"/>
        <v>0</v>
      </c>
      <c r="O1831" s="269" t="s">
        <v>1564</v>
      </c>
      <c r="P1831" s="269" t="s">
        <v>1272</v>
      </c>
    </row>
    <row r="1832" s="89" customFormat="1" spans="1:16">
      <c r="A1832" s="291">
        <v>46082</v>
      </c>
      <c r="B1832" s="298" t="s">
        <v>16</v>
      </c>
      <c r="C1832" s="299" t="s">
        <v>232</v>
      </c>
      <c r="D1832" s="298" t="s">
        <v>1563</v>
      </c>
      <c r="E1832" s="298" t="s">
        <v>234</v>
      </c>
      <c r="F1832" s="117" t="s">
        <v>1440</v>
      </c>
      <c r="G1832" s="292" t="s">
        <v>1565</v>
      </c>
      <c r="H1832" s="300" t="s">
        <v>30</v>
      </c>
      <c r="I1832" s="303">
        <v>3000</v>
      </c>
      <c r="J1832" s="304"/>
      <c r="K1832" s="303">
        <v>3000</v>
      </c>
      <c r="L1832" s="283">
        <v>3000</v>
      </c>
      <c r="M1832" s="283"/>
      <c r="N1832" s="136">
        <f t="shared" si="109"/>
        <v>0</v>
      </c>
      <c r="O1832" s="269" t="s">
        <v>1463</v>
      </c>
      <c r="P1832" s="269" t="s">
        <v>1272</v>
      </c>
    </row>
    <row r="1833" s="84" customFormat="1" spans="1:16">
      <c r="A1833" s="291">
        <v>46082</v>
      </c>
      <c r="B1833" s="114" t="str">
        <f>MID(C1833,1,2)</f>
        <v>5F</v>
      </c>
      <c r="C1833" s="292" t="s">
        <v>727</v>
      </c>
      <c r="D1833" s="292" t="s">
        <v>728</v>
      </c>
      <c r="E1833" s="292" t="s">
        <v>729</v>
      </c>
      <c r="F1833" s="117" t="s">
        <v>1440</v>
      </c>
      <c r="G1833" s="292" t="s">
        <v>96</v>
      </c>
      <c r="H1833" s="292" t="s">
        <v>21</v>
      </c>
      <c r="I1833" s="295">
        <v>5609.64</v>
      </c>
      <c r="J1833" s="292">
        <v>0</v>
      </c>
      <c r="K1833" s="295">
        <v>5609.64</v>
      </c>
      <c r="L1833" s="283">
        <v>5609.64</v>
      </c>
      <c r="M1833" s="283"/>
      <c r="N1833" s="136">
        <f t="shared" si="109"/>
        <v>0</v>
      </c>
      <c r="O1833" s="269" t="s">
        <v>1566</v>
      </c>
      <c r="P1833" s="269"/>
    </row>
    <row r="1834" s="84" customFormat="1" spans="1:16">
      <c r="A1834" s="291">
        <v>46082</v>
      </c>
      <c r="B1834" s="114" t="str">
        <f>MID(C1834,1,2)</f>
        <v>5F</v>
      </c>
      <c r="C1834" s="292" t="s">
        <v>727</v>
      </c>
      <c r="D1834" s="292" t="s">
        <v>728</v>
      </c>
      <c r="E1834" s="292" t="s">
        <v>729</v>
      </c>
      <c r="F1834" s="117" t="s">
        <v>1440</v>
      </c>
      <c r="G1834" s="292" t="s">
        <v>96</v>
      </c>
      <c r="H1834" s="292" t="s">
        <v>23</v>
      </c>
      <c r="I1834" s="295">
        <v>5609.64</v>
      </c>
      <c r="J1834" s="292"/>
      <c r="K1834" s="295">
        <v>5609.64</v>
      </c>
      <c r="L1834" s="283">
        <v>5609.64</v>
      </c>
      <c r="M1834" s="283"/>
      <c r="N1834" s="136"/>
      <c r="O1834" s="269" t="s">
        <v>1566</v>
      </c>
      <c r="P1834" s="269"/>
    </row>
    <row r="1835" s="88" customFormat="1" spans="1:16">
      <c r="A1835" s="111">
        <v>46082</v>
      </c>
      <c r="B1835" s="284" t="s">
        <v>16</v>
      </c>
      <c r="C1835" s="78" t="s">
        <v>43</v>
      </c>
      <c r="D1835" s="116" t="s">
        <v>44</v>
      </c>
      <c r="E1835" s="116" t="s">
        <v>45</v>
      </c>
      <c r="F1835" s="117">
        <v>46066</v>
      </c>
      <c r="G1835" s="284" t="s">
        <v>96</v>
      </c>
      <c r="H1835" s="116" t="s">
        <v>21</v>
      </c>
      <c r="I1835" s="161">
        <v>11525</v>
      </c>
      <c r="J1835" s="161">
        <v>0</v>
      </c>
      <c r="K1835" s="139">
        <f>I1835-J1835</f>
        <v>11525</v>
      </c>
      <c r="L1835" s="161">
        <v>11525</v>
      </c>
      <c r="M1835" s="161"/>
      <c r="N1835" s="161">
        <f t="shared" ref="N1835:N1898" si="110">K1835-L1835</f>
        <v>0</v>
      </c>
      <c r="O1835" s="138" t="s">
        <v>1405</v>
      </c>
      <c r="P1835" s="138"/>
    </row>
    <row r="1836" s="88" customFormat="1" spans="1:16">
      <c r="A1836" s="111">
        <v>46082</v>
      </c>
      <c r="B1836" s="284" t="s">
        <v>16</v>
      </c>
      <c r="C1836" s="78" t="s">
        <v>43</v>
      </c>
      <c r="D1836" s="116" t="s">
        <v>44</v>
      </c>
      <c r="E1836" s="116" t="s">
        <v>45</v>
      </c>
      <c r="F1836" s="117">
        <v>46066</v>
      </c>
      <c r="G1836" s="284" t="s">
        <v>96</v>
      </c>
      <c r="H1836" s="116" t="s">
        <v>23</v>
      </c>
      <c r="I1836" s="161">
        <v>7376</v>
      </c>
      <c r="J1836" s="161">
        <v>0</v>
      </c>
      <c r="K1836" s="139">
        <f>I1836-J1836</f>
        <v>7376</v>
      </c>
      <c r="L1836" s="161">
        <v>7376</v>
      </c>
      <c r="M1836" s="161"/>
      <c r="N1836" s="161">
        <f t="shared" si="110"/>
        <v>0</v>
      </c>
      <c r="O1836" s="138" t="s">
        <v>1405</v>
      </c>
      <c r="P1836" s="138"/>
    </row>
    <row r="1837" s="94" customFormat="1" spans="1:16">
      <c r="A1837" s="200">
        <v>46082</v>
      </c>
      <c r="B1837" s="146" t="s">
        <v>16</v>
      </c>
      <c r="C1837" s="197" t="s">
        <v>238</v>
      </c>
      <c r="D1837" s="199" t="s">
        <v>239</v>
      </c>
      <c r="E1837" s="198" t="s">
        <v>240</v>
      </c>
      <c r="F1837" s="117">
        <v>46095</v>
      </c>
      <c r="G1837" s="198" t="s">
        <v>1567</v>
      </c>
      <c r="H1837" s="199" t="s">
        <v>21</v>
      </c>
      <c r="I1837" s="144">
        <v>57173.87</v>
      </c>
      <c r="J1837" s="144"/>
      <c r="K1837" s="144">
        <v>57173.87</v>
      </c>
      <c r="L1837" s="144">
        <v>57173.87</v>
      </c>
      <c r="M1837" s="144"/>
      <c r="N1837" s="144">
        <f t="shared" si="110"/>
        <v>0</v>
      </c>
      <c r="O1837" s="190" t="s">
        <v>1568</v>
      </c>
      <c r="P1837" s="190"/>
    </row>
    <row r="1838" s="94" customFormat="1" spans="1:16">
      <c r="A1838" s="200">
        <v>46082</v>
      </c>
      <c r="B1838" s="146" t="s">
        <v>16</v>
      </c>
      <c r="C1838" s="197" t="s">
        <v>238</v>
      </c>
      <c r="D1838" s="199" t="s">
        <v>239</v>
      </c>
      <c r="E1838" s="198" t="s">
        <v>240</v>
      </c>
      <c r="F1838" s="117">
        <v>46095</v>
      </c>
      <c r="G1838" s="198" t="s">
        <v>1567</v>
      </c>
      <c r="H1838" s="199" t="s">
        <v>23</v>
      </c>
      <c r="I1838" s="144">
        <v>31227.04</v>
      </c>
      <c r="J1838" s="144"/>
      <c r="K1838" s="144">
        <v>31227.04</v>
      </c>
      <c r="L1838" s="144">
        <v>31227.04</v>
      </c>
      <c r="M1838" s="144"/>
      <c r="N1838" s="144">
        <f t="shared" si="110"/>
        <v>0</v>
      </c>
      <c r="O1838" s="190" t="s">
        <v>1568</v>
      </c>
      <c r="P1838" s="190"/>
    </row>
    <row r="1839" s="94" customFormat="1" spans="1:16">
      <c r="A1839" s="200">
        <v>46082</v>
      </c>
      <c r="B1839" s="146" t="s">
        <v>16</v>
      </c>
      <c r="C1839" s="197" t="s">
        <v>238</v>
      </c>
      <c r="D1839" s="199" t="s">
        <v>239</v>
      </c>
      <c r="E1839" s="198" t="s">
        <v>240</v>
      </c>
      <c r="F1839" s="117">
        <v>46095</v>
      </c>
      <c r="G1839" s="198" t="s">
        <v>1567</v>
      </c>
      <c r="H1839" s="146" t="s">
        <v>30</v>
      </c>
      <c r="I1839" s="144">
        <v>805.48</v>
      </c>
      <c r="J1839" s="144"/>
      <c r="K1839" s="144">
        <v>805.48</v>
      </c>
      <c r="L1839" s="144">
        <v>805.48</v>
      </c>
      <c r="M1839" s="144"/>
      <c r="N1839" s="144">
        <f t="shared" si="110"/>
        <v>0</v>
      </c>
      <c r="O1839" s="190" t="s">
        <v>1568</v>
      </c>
      <c r="P1839" s="190"/>
    </row>
    <row r="1840" s="94" customFormat="1" spans="1:16">
      <c r="A1840" s="200">
        <v>46082</v>
      </c>
      <c r="B1840" s="190" t="s">
        <v>491</v>
      </c>
      <c r="C1840" s="197" t="s">
        <v>1003</v>
      </c>
      <c r="D1840" s="190" t="s">
        <v>1004</v>
      </c>
      <c r="E1840" s="190" t="s">
        <v>1005</v>
      </c>
      <c r="F1840" s="117">
        <v>46097</v>
      </c>
      <c r="G1840" s="190" t="s">
        <v>1569</v>
      </c>
      <c r="H1840" s="190" t="s">
        <v>833</v>
      </c>
      <c r="I1840" s="144">
        <v>250</v>
      </c>
      <c r="J1840" s="144"/>
      <c r="K1840" s="144">
        <v>250</v>
      </c>
      <c r="L1840" s="306">
        <v>250</v>
      </c>
      <c r="M1840" s="306"/>
      <c r="N1840" s="306">
        <f t="shared" si="110"/>
        <v>0</v>
      </c>
      <c r="O1840" s="307" t="s">
        <v>1470</v>
      </c>
      <c r="P1840" s="190"/>
    </row>
    <row r="1841" s="94" customFormat="1" spans="1:16">
      <c r="A1841" s="200">
        <v>46082</v>
      </c>
      <c r="B1841" s="190" t="s">
        <v>285</v>
      </c>
      <c r="C1841" s="119" t="s">
        <v>477</v>
      </c>
      <c r="D1841" s="198" t="s">
        <v>478</v>
      </c>
      <c r="E1841" s="198" t="s">
        <v>479</v>
      </c>
      <c r="F1841" s="117">
        <v>46097</v>
      </c>
      <c r="G1841" s="198" t="s">
        <v>96</v>
      </c>
      <c r="H1841" s="198" t="s">
        <v>23</v>
      </c>
      <c r="I1841" s="144">
        <v>2860</v>
      </c>
      <c r="J1841" s="144"/>
      <c r="K1841" s="211">
        <v>2860</v>
      </c>
      <c r="L1841" s="144">
        <v>2860</v>
      </c>
      <c r="M1841" s="144"/>
      <c r="N1841" s="306">
        <f t="shared" si="110"/>
        <v>0</v>
      </c>
      <c r="O1841" s="307" t="s">
        <v>1470</v>
      </c>
      <c r="P1841" s="190" t="s">
        <v>1570</v>
      </c>
    </row>
    <row r="1842" s="94" customFormat="1" spans="1:16">
      <c r="A1842" s="200">
        <v>46082</v>
      </c>
      <c r="B1842" s="190" t="s">
        <v>285</v>
      </c>
      <c r="C1842" s="119" t="s">
        <v>477</v>
      </c>
      <c r="D1842" s="198" t="s">
        <v>478</v>
      </c>
      <c r="E1842" s="198" t="s">
        <v>479</v>
      </c>
      <c r="F1842" s="117">
        <v>46097</v>
      </c>
      <c r="G1842" s="198" t="s">
        <v>96</v>
      </c>
      <c r="H1842" s="199" t="s">
        <v>21</v>
      </c>
      <c r="I1842" s="144">
        <v>1300</v>
      </c>
      <c r="J1842" s="144"/>
      <c r="K1842" s="211">
        <v>1300</v>
      </c>
      <c r="L1842" s="144">
        <v>1300</v>
      </c>
      <c r="M1842" s="144"/>
      <c r="N1842" s="144">
        <f t="shared" si="110"/>
        <v>0</v>
      </c>
      <c r="O1842" s="190" t="s">
        <v>1470</v>
      </c>
      <c r="P1842" s="190" t="s">
        <v>1570</v>
      </c>
    </row>
    <row r="1843" s="94" customFormat="1" spans="1:16">
      <c r="A1843" s="200">
        <v>46082</v>
      </c>
      <c r="B1843" s="301" t="s">
        <v>16</v>
      </c>
      <c r="C1843" s="257" t="s">
        <v>846</v>
      </c>
      <c r="D1843" s="192" t="s">
        <v>847</v>
      </c>
      <c r="E1843" s="192" t="s">
        <v>848</v>
      </c>
      <c r="F1843" s="117">
        <v>46097</v>
      </c>
      <c r="G1843" s="192" t="s">
        <v>96</v>
      </c>
      <c r="H1843" s="146" t="s">
        <v>833</v>
      </c>
      <c r="I1843" s="144">
        <v>99</v>
      </c>
      <c r="J1843" s="306"/>
      <c r="K1843" s="306">
        <v>99</v>
      </c>
      <c r="L1843" s="306">
        <v>99</v>
      </c>
      <c r="M1843" s="306"/>
      <c r="N1843" s="306">
        <f t="shared" si="110"/>
        <v>0</v>
      </c>
      <c r="O1843" s="307" t="s">
        <v>1343</v>
      </c>
      <c r="P1843" s="307" t="s">
        <v>1571</v>
      </c>
    </row>
    <row r="1844" s="94" customFormat="1" spans="1:16">
      <c r="A1844" s="200">
        <v>46082</v>
      </c>
      <c r="B1844" s="190" t="s">
        <v>679</v>
      </c>
      <c r="C1844" s="197" t="s">
        <v>807</v>
      </c>
      <c r="D1844" s="190" t="s">
        <v>808</v>
      </c>
      <c r="E1844" s="190" t="s">
        <v>809</v>
      </c>
      <c r="F1844" s="117">
        <v>45737</v>
      </c>
      <c r="G1844" s="190" t="s">
        <v>1019</v>
      </c>
      <c r="H1844" s="190" t="s">
        <v>23</v>
      </c>
      <c r="I1844" s="144">
        <v>8085</v>
      </c>
      <c r="J1844" s="144"/>
      <c r="K1844" s="144">
        <v>8085</v>
      </c>
      <c r="L1844" s="144">
        <v>8085</v>
      </c>
      <c r="M1844" s="144"/>
      <c r="N1844" s="144">
        <f t="shared" si="110"/>
        <v>0</v>
      </c>
      <c r="O1844" s="190" t="s">
        <v>1468</v>
      </c>
      <c r="P1844" s="190" t="s">
        <v>1572</v>
      </c>
    </row>
    <row r="1845" s="94" customFormat="1" spans="1:16">
      <c r="A1845" s="200">
        <v>46082</v>
      </c>
      <c r="B1845" s="190" t="s">
        <v>679</v>
      </c>
      <c r="C1845" s="197" t="s">
        <v>807</v>
      </c>
      <c r="D1845" s="190" t="s">
        <v>808</v>
      </c>
      <c r="E1845" s="190" t="s">
        <v>809</v>
      </c>
      <c r="F1845" s="117">
        <v>45737</v>
      </c>
      <c r="G1845" s="190" t="s">
        <v>1019</v>
      </c>
      <c r="H1845" s="190" t="s">
        <v>21</v>
      </c>
      <c r="I1845" s="144">
        <v>40131</v>
      </c>
      <c r="J1845" s="144"/>
      <c r="K1845" s="144">
        <v>40131</v>
      </c>
      <c r="L1845" s="144">
        <v>40131</v>
      </c>
      <c r="M1845" s="144"/>
      <c r="N1845" s="144">
        <f t="shared" si="110"/>
        <v>0</v>
      </c>
      <c r="O1845" s="190" t="s">
        <v>1468</v>
      </c>
      <c r="P1845" s="190" t="s">
        <v>1572</v>
      </c>
    </row>
    <row r="1846" s="94" customFormat="1" spans="1:16">
      <c r="A1846" s="200">
        <v>46082</v>
      </c>
      <c r="B1846" s="190" t="s">
        <v>679</v>
      </c>
      <c r="C1846" s="197" t="s">
        <v>807</v>
      </c>
      <c r="D1846" s="190" t="s">
        <v>808</v>
      </c>
      <c r="E1846" s="190" t="s">
        <v>809</v>
      </c>
      <c r="F1846" s="117">
        <v>45737</v>
      </c>
      <c r="G1846" s="190" t="s">
        <v>1038</v>
      </c>
      <c r="H1846" s="146" t="s">
        <v>30</v>
      </c>
      <c r="I1846" s="144">
        <v>3000</v>
      </c>
      <c r="J1846" s="144"/>
      <c r="K1846" s="144">
        <v>3000</v>
      </c>
      <c r="L1846" s="144">
        <v>3000</v>
      </c>
      <c r="M1846" s="144"/>
      <c r="N1846" s="144">
        <f t="shared" si="110"/>
        <v>0</v>
      </c>
      <c r="O1846" s="190" t="s">
        <v>1468</v>
      </c>
      <c r="P1846" s="190" t="s">
        <v>1572</v>
      </c>
    </row>
    <row r="1847" s="94" customFormat="1" spans="1:16">
      <c r="A1847" s="200">
        <v>46082</v>
      </c>
      <c r="B1847" s="135" t="s">
        <v>285</v>
      </c>
      <c r="C1847" s="257" t="s">
        <v>322</v>
      </c>
      <c r="D1847" s="192" t="s">
        <v>323</v>
      </c>
      <c r="E1847" s="192" t="s">
        <v>324</v>
      </c>
      <c r="F1847" s="117">
        <v>46103</v>
      </c>
      <c r="G1847" s="192" t="s">
        <v>1573</v>
      </c>
      <c r="H1847" s="146" t="s">
        <v>30</v>
      </c>
      <c r="I1847" s="144">
        <v>3000</v>
      </c>
      <c r="J1847" s="144"/>
      <c r="K1847" s="144">
        <v>3000</v>
      </c>
      <c r="L1847" s="144">
        <v>3000</v>
      </c>
      <c r="M1847" s="144"/>
      <c r="N1847" s="144">
        <f t="shared" si="110"/>
        <v>0</v>
      </c>
      <c r="O1847" s="190" t="s">
        <v>1218</v>
      </c>
      <c r="P1847" s="190"/>
    </row>
    <row r="1848" s="94" customFormat="1" spans="1:16">
      <c r="A1848" s="200">
        <v>46082</v>
      </c>
      <c r="B1848" s="146" t="s">
        <v>16</v>
      </c>
      <c r="C1848" s="201" t="s">
        <v>198</v>
      </c>
      <c r="D1848" s="199" t="s">
        <v>199</v>
      </c>
      <c r="E1848" s="199" t="s">
        <v>200</v>
      </c>
      <c r="F1848" s="117">
        <v>45741</v>
      </c>
      <c r="G1848" s="199" t="s">
        <v>1402</v>
      </c>
      <c r="H1848" s="199" t="s">
        <v>21</v>
      </c>
      <c r="I1848" s="179">
        <v>34518</v>
      </c>
      <c r="J1848" s="179">
        <v>0</v>
      </c>
      <c r="K1848" s="179">
        <v>34518</v>
      </c>
      <c r="L1848" s="144">
        <v>34518</v>
      </c>
      <c r="M1848" s="144"/>
      <c r="N1848" s="144">
        <f t="shared" si="110"/>
        <v>0</v>
      </c>
      <c r="O1848" s="190" t="s">
        <v>231</v>
      </c>
      <c r="P1848" s="190" t="s">
        <v>1574</v>
      </c>
    </row>
    <row r="1849" s="94" customFormat="1" spans="1:16">
      <c r="A1849" s="200">
        <v>46082</v>
      </c>
      <c r="B1849" s="146" t="s">
        <v>16</v>
      </c>
      <c r="C1849" s="147" t="s">
        <v>198</v>
      </c>
      <c r="D1849" s="146" t="s">
        <v>199</v>
      </c>
      <c r="E1849" s="146" t="s">
        <v>200</v>
      </c>
      <c r="F1849" s="117">
        <v>45741</v>
      </c>
      <c r="G1849" s="199" t="s">
        <v>1402</v>
      </c>
      <c r="H1849" s="146" t="s">
        <v>23</v>
      </c>
      <c r="I1849" s="156">
        <v>34518</v>
      </c>
      <c r="J1849" s="156">
        <v>0</v>
      </c>
      <c r="K1849" s="156">
        <f t="shared" ref="K1849:K1852" si="111">I1849-J1849</f>
        <v>34518</v>
      </c>
      <c r="L1849" s="144">
        <v>34518</v>
      </c>
      <c r="M1849" s="144"/>
      <c r="N1849" s="144">
        <f t="shared" si="110"/>
        <v>0</v>
      </c>
      <c r="O1849" s="190" t="s">
        <v>231</v>
      </c>
      <c r="P1849" s="190" t="s">
        <v>1574</v>
      </c>
    </row>
    <row r="1850" s="94" customFormat="1" spans="1:16">
      <c r="A1850" s="200">
        <v>46082</v>
      </c>
      <c r="B1850" s="146" t="s">
        <v>16</v>
      </c>
      <c r="C1850" s="147" t="s">
        <v>198</v>
      </c>
      <c r="D1850" s="146" t="s">
        <v>199</v>
      </c>
      <c r="E1850" s="146" t="s">
        <v>200</v>
      </c>
      <c r="F1850" s="117">
        <v>45741</v>
      </c>
      <c r="G1850" s="199" t="s">
        <v>1565</v>
      </c>
      <c r="H1850" s="190" t="s">
        <v>30</v>
      </c>
      <c r="I1850" s="144">
        <v>3000</v>
      </c>
      <c r="J1850" s="144"/>
      <c r="K1850" s="144">
        <v>3000</v>
      </c>
      <c r="L1850" s="144">
        <v>3000</v>
      </c>
      <c r="M1850" s="144"/>
      <c r="N1850" s="144">
        <f t="shared" si="110"/>
        <v>0</v>
      </c>
      <c r="O1850" s="190" t="s">
        <v>231</v>
      </c>
      <c r="P1850" s="190" t="s">
        <v>1574</v>
      </c>
    </row>
    <row r="1851" s="94" customFormat="1" spans="1:16">
      <c r="A1851" s="200">
        <v>46082</v>
      </c>
      <c r="B1851" s="190" t="s">
        <v>491</v>
      </c>
      <c r="C1851" s="147" t="s">
        <v>615</v>
      </c>
      <c r="D1851" s="146" t="s">
        <v>616</v>
      </c>
      <c r="E1851" s="146" t="s">
        <v>617</v>
      </c>
      <c r="F1851" s="117">
        <v>45741</v>
      </c>
      <c r="G1851" s="146" t="s">
        <v>1575</v>
      </c>
      <c r="H1851" s="146" t="s">
        <v>23</v>
      </c>
      <c r="I1851" s="156">
        <v>9690</v>
      </c>
      <c r="J1851" s="156">
        <v>0</v>
      </c>
      <c r="K1851" s="156">
        <f t="shared" si="111"/>
        <v>9690</v>
      </c>
      <c r="L1851" s="144">
        <v>9690</v>
      </c>
      <c r="M1851" s="144"/>
      <c r="N1851" s="144">
        <f t="shared" si="110"/>
        <v>0</v>
      </c>
      <c r="O1851" s="190" t="s">
        <v>1576</v>
      </c>
      <c r="P1851" s="190" t="s">
        <v>1577</v>
      </c>
    </row>
    <row r="1852" s="94" customFormat="1" spans="1:16">
      <c r="A1852" s="200">
        <v>46082</v>
      </c>
      <c r="B1852" s="190" t="s">
        <v>491</v>
      </c>
      <c r="C1852" s="147" t="s">
        <v>615</v>
      </c>
      <c r="D1852" s="146" t="s">
        <v>616</v>
      </c>
      <c r="E1852" s="146" t="s">
        <v>617</v>
      </c>
      <c r="F1852" s="117">
        <v>45741</v>
      </c>
      <c r="G1852" s="146" t="s">
        <v>1575</v>
      </c>
      <c r="H1852" s="199" t="s">
        <v>21</v>
      </c>
      <c r="I1852" s="156">
        <v>9690</v>
      </c>
      <c r="J1852" s="156">
        <v>0</v>
      </c>
      <c r="K1852" s="156">
        <f t="shared" si="111"/>
        <v>9690</v>
      </c>
      <c r="L1852" s="144">
        <v>9690</v>
      </c>
      <c r="M1852" s="144"/>
      <c r="N1852" s="144">
        <f t="shared" si="110"/>
        <v>0</v>
      </c>
      <c r="O1852" s="190" t="s">
        <v>1576</v>
      </c>
      <c r="P1852" s="190" t="s">
        <v>1577</v>
      </c>
    </row>
    <row r="1853" s="94" customFormat="1" spans="1:16">
      <c r="A1853" s="200">
        <v>46082</v>
      </c>
      <c r="B1853" s="190" t="s">
        <v>491</v>
      </c>
      <c r="C1853" s="147" t="s">
        <v>615</v>
      </c>
      <c r="D1853" s="146" t="s">
        <v>616</v>
      </c>
      <c r="E1853" s="146" t="s">
        <v>617</v>
      </c>
      <c r="F1853" s="117">
        <v>45741</v>
      </c>
      <c r="G1853" s="146" t="s">
        <v>1578</v>
      </c>
      <c r="H1853" s="190" t="s">
        <v>30</v>
      </c>
      <c r="I1853" s="144">
        <v>3000</v>
      </c>
      <c r="J1853" s="144"/>
      <c r="K1853" s="144">
        <v>3000</v>
      </c>
      <c r="L1853" s="144">
        <f>2800+200</f>
        <v>3000</v>
      </c>
      <c r="M1853" s="144"/>
      <c r="N1853" s="144">
        <f t="shared" si="110"/>
        <v>0</v>
      </c>
      <c r="O1853" s="190" t="s">
        <v>1579</v>
      </c>
      <c r="P1853" s="190" t="s">
        <v>1577</v>
      </c>
    </row>
    <row r="1854" s="94" customFormat="1" spans="1:16">
      <c r="A1854" s="200">
        <v>46082</v>
      </c>
      <c r="B1854" s="199" t="s">
        <v>854</v>
      </c>
      <c r="C1854" s="201" t="s">
        <v>943</v>
      </c>
      <c r="D1854" s="199" t="s">
        <v>944</v>
      </c>
      <c r="E1854" s="199" t="s">
        <v>945</v>
      </c>
      <c r="F1854" s="117">
        <v>45742</v>
      </c>
      <c r="G1854" s="199" t="s">
        <v>1580</v>
      </c>
      <c r="H1854" s="146" t="s">
        <v>833</v>
      </c>
      <c r="I1854" s="179">
        <v>17487</v>
      </c>
      <c r="J1854" s="144"/>
      <c r="K1854" s="179">
        <v>17487</v>
      </c>
      <c r="L1854" s="179">
        <v>17487</v>
      </c>
      <c r="M1854" s="144"/>
      <c r="N1854" s="144">
        <f t="shared" si="110"/>
        <v>0</v>
      </c>
      <c r="O1854" s="190" t="s">
        <v>1359</v>
      </c>
      <c r="P1854" s="190"/>
    </row>
    <row r="1855" s="84" customFormat="1" spans="1:16383">
      <c r="A1855" s="302">
        <v>46113</v>
      </c>
      <c r="B1855" s="114" t="s">
        <v>1419</v>
      </c>
      <c r="C1855" s="114" t="s">
        <v>1581</v>
      </c>
      <c r="D1855" s="114" t="s">
        <v>1421</v>
      </c>
      <c r="E1855" s="114" t="s">
        <v>1422</v>
      </c>
      <c r="F1855" s="117">
        <v>46127</v>
      </c>
      <c r="G1855" s="114" t="s">
        <v>1582</v>
      </c>
      <c r="H1855" s="114" t="s">
        <v>833</v>
      </c>
      <c r="I1855" s="136">
        <v>4200</v>
      </c>
      <c r="J1855" s="136">
        <v>0</v>
      </c>
      <c r="K1855" s="130">
        <f t="shared" ref="K1855:K1896" si="112">I1855-J1855</f>
        <v>4200</v>
      </c>
      <c r="L1855" s="136">
        <v>4200</v>
      </c>
      <c r="M1855" s="136"/>
      <c r="N1855" s="131">
        <f t="shared" si="110"/>
        <v>0</v>
      </c>
      <c r="O1855" s="114" t="s">
        <v>889</v>
      </c>
      <c r="P1855" s="269"/>
      <c r="XFC1855"/>
    </row>
    <row r="1856" s="84" customFormat="1" spans="1:16383">
      <c r="A1856" s="302">
        <v>46113</v>
      </c>
      <c r="B1856" s="114" t="s">
        <v>1419</v>
      </c>
      <c r="C1856" s="114" t="s">
        <v>1581</v>
      </c>
      <c r="D1856" s="114" t="s">
        <v>1421</v>
      </c>
      <c r="E1856" s="114" t="s">
        <v>1422</v>
      </c>
      <c r="F1856" s="117">
        <v>46127</v>
      </c>
      <c r="G1856" s="114" t="s">
        <v>1448</v>
      </c>
      <c r="H1856" s="114" t="s">
        <v>833</v>
      </c>
      <c r="I1856" s="136">
        <v>4200</v>
      </c>
      <c r="J1856" s="136">
        <v>0</v>
      </c>
      <c r="K1856" s="130">
        <f t="shared" si="112"/>
        <v>4200</v>
      </c>
      <c r="L1856" s="136">
        <v>4200</v>
      </c>
      <c r="M1856" s="136"/>
      <c r="N1856" s="131">
        <f t="shared" si="110"/>
        <v>0</v>
      </c>
      <c r="O1856" s="114" t="s">
        <v>889</v>
      </c>
      <c r="P1856" s="269"/>
      <c r="XFC1856"/>
    </row>
    <row r="1857" s="84" customFormat="1" spans="1:16383">
      <c r="A1857" s="302">
        <v>46113</v>
      </c>
      <c r="B1857" s="114" t="s">
        <v>1419</v>
      </c>
      <c r="C1857" s="114" t="s">
        <v>1581</v>
      </c>
      <c r="D1857" s="114" t="s">
        <v>1421</v>
      </c>
      <c r="E1857" s="114" t="s">
        <v>1422</v>
      </c>
      <c r="F1857" s="117">
        <v>46127</v>
      </c>
      <c r="G1857" s="114" t="s">
        <v>1338</v>
      </c>
      <c r="H1857" s="114" t="s">
        <v>833</v>
      </c>
      <c r="I1857" s="136">
        <v>4200</v>
      </c>
      <c r="J1857" s="136">
        <v>0</v>
      </c>
      <c r="K1857" s="130">
        <f t="shared" si="112"/>
        <v>4200</v>
      </c>
      <c r="L1857" s="136">
        <v>4200</v>
      </c>
      <c r="M1857" s="136"/>
      <c r="N1857" s="131">
        <f t="shared" si="110"/>
        <v>0</v>
      </c>
      <c r="O1857" s="114" t="s">
        <v>889</v>
      </c>
      <c r="P1857" s="269"/>
      <c r="XFC1857"/>
    </row>
    <row r="1858" s="84" customFormat="1" spans="1:16383">
      <c r="A1858" s="302">
        <v>46113</v>
      </c>
      <c r="B1858" s="114" t="s">
        <v>630</v>
      </c>
      <c r="C1858" s="114" t="s">
        <v>642</v>
      </c>
      <c r="D1858" s="114" t="s">
        <v>643</v>
      </c>
      <c r="E1858" s="114" t="s">
        <v>647</v>
      </c>
      <c r="F1858" s="117">
        <v>46127</v>
      </c>
      <c r="G1858" s="114" t="s">
        <v>1582</v>
      </c>
      <c r="H1858" s="114" t="s">
        <v>23</v>
      </c>
      <c r="I1858" s="136">
        <v>1310</v>
      </c>
      <c r="J1858" s="136">
        <v>0</v>
      </c>
      <c r="K1858" s="130">
        <f t="shared" si="112"/>
        <v>1310</v>
      </c>
      <c r="L1858" s="136">
        <v>1310</v>
      </c>
      <c r="M1858" s="136"/>
      <c r="N1858" s="131">
        <f t="shared" si="110"/>
        <v>0</v>
      </c>
      <c r="O1858" s="114" t="s">
        <v>1583</v>
      </c>
      <c r="P1858" s="269"/>
      <c r="XFC1858"/>
    </row>
    <row r="1859" s="84" customFormat="1" spans="1:16383">
      <c r="A1859" s="302">
        <v>46113</v>
      </c>
      <c r="B1859" s="121" t="s">
        <v>630</v>
      </c>
      <c r="C1859" s="114" t="s">
        <v>642</v>
      </c>
      <c r="D1859" s="114" t="s">
        <v>643</v>
      </c>
      <c r="E1859" s="114" t="s">
        <v>647</v>
      </c>
      <c r="F1859" s="117">
        <v>46127</v>
      </c>
      <c r="G1859" s="114" t="s">
        <v>1448</v>
      </c>
      <c r="H1859" s="114" t="s">
        <v>23</v>
      </c>
      <c r="I1859" s="136">
        <v>1310</v>
      </c>
      <c r="J1859" s="136">
        <v>0</v>
      </c>
      <c r="K1859" s="130">
        <f t="shared" si="112"/>
        <v>1310</v>
      </c>
      <c r="L1859" s="136">
        <v>1310</v>
      </c>
      <c r="M1859" s="136"/>
      <c r="N1859" s="131">
        <f t="shared" si="110"/>
        <v>0</v>
      </c>
      <c r="O1859" s="114" t="s">
        <v>1583</v>
      </c>
      <c r="P1859" s="269"/>
      <c r="XFC1859"/>
    </row>
    <row r="1860" s="84" customFormat="1" spans="1:16383">
      <c r="A1860" s="302">
        <v>46113</v>
      </c>
      <c r="B1860" s="121" t="s">
        <v>630</v>
      </c>
      <c r="C1860" s="114" t="s">
        <v>642</v>
      </c>
      <c r="D1860" s="114" t="s">
        <v>643</v>
      </c>
      <c r="E1860" s="114" t="s">
        <v>647</v>
      </c>
      <c r="F1860" s="117">
        <v>46127</v>
      </c>
      <c r="G1860" s="114" t="s">
        <v>1338</v>
      </c>
      <c r="H1860" s="114" t="s">
        <v>23</v>
      </c>
      <c r="I1860" s="136">
        <v>1310</v>
      </c>
      <c r="J1860" s="136">
        <v>0</v>
      </c>
      <c r="K1860" s="130">
        <f t="shared" si="112"/>
        <v>1310</v>
      </c>
      <c r="L1860" s="136">
        <v>1310</v>
      </c>
      <c r="M1860" s="136"/>
      <c r="N1860" s="131">
        <f t="shared" si="110"/>
        <v>0</v>
      </c>
      <c r="O1860" s="114" t="s">
        <v>1583</v>
      </c>
      <c r="P1860" s="269"/>
      <c r="XFC1860"/>
    </row>
    <row r="1861" s="84" customFormat="1" spans="1:16383">
      <c r="A1861" s="302">
        <v>46113</v>
      </c>
      <c r="B1861" s="121" t="s">
        <v>630</v>
      </c>
      <c r="C1861" s="114" t="s">
        <v>642</v>
      </c>
      <c r="D1861" s="114" t="s">
        <v>643</v>
      </c>
      <c r="E1861" s="114" t="s">
        <v>647</v>
      </c>
      <c r="F1861" s="117">
        <v>46127</v>
      </c>
      <c r="G1861" s="114" t="s">
        <v>1582</v>
      </c>
      <c r="H1861" s="114" t="s">
        <v>21</v>
      </c>
      <c r="I1861" s="136">
        <v>1965</v>
      </c>
      <c r="J1861" s="136">
        <v>0</v>
      </c>
      <c r="K1861" s="130">
        <f t="shared" si="112"/>
        <v>1965</v>
      </c>
      <c r="L1861" s="136">
        <v>1965</v>
      </c>
      <c r="M1861" s="136"/>
      <c r="N1861" s="131">
        <f t="shared" si="110"/>
        <v>0</v>
      </c>
      <c r="O1861" s="114" t="s">
        <v>1583</v>
      </c>
      <c r="P1861" s="269"/>
      <c r="XFC1861"/>
    </row>
    <row r="1862" s="84" customFormat="1" spans="1:16383">
      <c r="A1862" s="302">
        <v>46113</v>
      </c>
      <c r="B1862" s="121" t="s">
        <v>630</v>
      </c>
      <c r="C1862" s="114" t="s">
        <v>642</v>
      </c>
      <c r="D1862" s="114" t="s">
        <v>643</v>
      </c>
      <c r="E1862" s="114" t="s">
        <v>647</v>
      </c>
      <c r="F1862" s="117">
        <v>46127</v>
      </c>
      <c r="G1862" s="114" t="s">
        <v>1448</v>
      </c>
      <c r="H1862" s="114" t="s">
        <v>21</v>
      </c>
      <c r="I1862" s="136">
        <v>1965</v>
      </c>
      <c r="J1862" s="136">
        <v>0</v>
      </c>
      <c r="K1862" s="130">
        <f t="shared" si="112"/>
        <v>1965</v>
      </c>
      <c r="L1862" s="136">
        <v>1965</v>
      </c>
      <c r="M1862" s="136"/>
      <c r="N1862" s="131">
        <f t="shared" si="110"/>
        <v>0</v>
      </c>
      <c r="O1862" s="114" t="s">
        <v>1583</v>
      </c>
      <c r="P1862" s="269"/>
      <c r="XFC1862"/>
    </row>
    <row r="1863" s="84" customFormat="1" spans="1:16383">
      <c r="A1863" s="302">
        <v>46113</v>
      </c>
      <c r="B1863" s="121" t="s">
        <v>630</v>
      </c>
      <c r="C1863" s="114" t="s">
        <v>642</v>
      </c>
      <c r="D1863" s="114" t="s">
        <v>643</v>
      </c>
      <c r="E1863" s="114" t="s">
        <v>647</v>
      </c>
      <c r="F1863" s="117">
        <v>46127</v>
      </c>
      <c r="G1863" s="114" t="s">
        <v>1338</v>
      </c>
      <c r="H1863" s="114" t="s">
        <v>21</v>
      </c>
      <c r="I1863" s="136">
        <v>1965</v>
      </c>
      <c r="J1863" s="136">
        <v>0</v>
      </c>
      <c r="K1863" s="130">
        <f t="shared" si="112"/>
        <v>1965</v>
      </c>
      <c r="L1863" s="136">
        <v>1965</v>
      </c>
      <c r="M1863" s="136"/>
      <c r="N1863" s="131">
        <f t="shared" si="110"/>
        <v>0</v>
      </c>
      <c r="O1863" s="114" t="s">
        <v>1583</v>
      </c>
      <c r="P1863" s="269"/>
      <c r="XFC1863"/>
    </row>
    <row r="1864" s="84" customFormat="1" spans="1:16383">
      <c r="A1864" s="302">
        <v>46113</v>
      </c>
      <c r="B1864" s="121" t="s">
        <v>16</v>
      </c>
      <c r="C1864" s="114" t="s">
        <v>268</v>
      </c>
      <c r="D1864" s="114" t="s">
        <v>1333</v>
      </c>
      <c r="E1864" s="114" t="s">
        <v>270</v>
      </c>
      <c r="F1864" s="117">
        <v>46124</v>
      </c>
      <c r="G1864" s="114" t="s">
        <v>69</v>
      </c>
      <c r="H1864" s="114" t="s">
        <v>23</v>
      </c>
      <c r="I1864" s="136">
        <v>3850</v>
      </c>
      <c r="J1864" s="136">
        <v>0</v>
      </c>
      <c r="K1864" s="130">
        <f t="shared" si="112"/>
        <v>3850</v>
      </c>
      <c r="L1864" s="136">
        <v>3850</v>
      </c>
      <c r="M1864" s="136"/>
      <c r="N1864" s="131">
        <f t="shared" si="110"/>
        <v>0</v>
      </c>
      <c r="O1864" s="114" t="s">
        <v>1584</v>
      </c>
      <c r="P1864" s="269"/>
      <c r="XFC1864"/>
    </row>
    <row r="1865" s="84" customFormat="1" spans="1:16383">
      <c r="A1865" s="302">
        <v>46113</v>
      </c>
      <c r="B1865" s="121" t="s">
        <v>16</v>
      </c>
      <c r="C1865" s="114" t="s">
        <v>268</v>
      </c>
      <c r="D1865" s="114" t="s">
        <v>1333</v>
      </c>
      <c r="E1865" s="114" t="s">
        <v>270</v>
      </c>
      <c r="F1865" s="117">
        <v>46124</v>
      </c>
      <c r="G1865" s="114" t="s">
        <v>70</v>
      </c>
      <c r="H1865" s="114" t="s">
        <v>23</v>
      </c>
      <c r="I1865" s="136">
        <v>3850</v>
      </c>
      <c r="J1865" s="136">
        <v>0</v>
      </c>
      <c r="K1865" s="130">
        <f t="shared" si="112"/>
        <v>3850</v>
      </c>
      <c r="L1865" s="136">
        <v>3850</v>
      </c>
      <c r="M1865" s="136"/>
      <c r="N1865" s="131">
        <f t="shared" si="110"/>
        <v>0</v>
      </c>
      <c r="O1865" s="114" t="s">
        <v>1585</v>
      </c>
      <c r="P1865" s="269"/>
      <c r="XFC1865"/>
    </row>
    <row r="1866" s="84" customFormat="1" spans="1:16383">
      <c r="A1866" s="302">
        <v>46113</v>
      </c>
      <c r="B1866" s="121" t="s">
        <v>16</v>
      </c>
      <c r="C1866" s="114" t="s">
        <v>268</v>
      </c>
      <c r="D1866" s="114" t="s">
        <v>1333</v>
      </c>
      <c r="E1866" s="114" t="s">
        <v>270</v>
      </c>
      <c r="F1866" s="117">
        <v>46124</v>
      </c>
      <c r="G1866" s="114" t="s">
        <v>71</v>
      </c>
      <c r="H1866" s="114" t="s">
        <v>23</v>
      </c>
      <c r="I1866" s="136">
        <v>3850</v>
      </c>
      <c r="J1866" s="136">
        <v>0</v>
      </c>
      <c r="K1866" s="130">
        <f t="shared" si="112"/>
        <v>3850</v>
      </c>
      <c r="L1866" s="136">
        <v>3850</v>
      </c>
      <c r="M1866" s="136"/>
      <c r="N1866" s="131">
        <f t="shared" si="110"/>
        <v>0</v>
      </c>
      <c r="O1866" s="114" t="s">
        <v>1586</v>
      </c>
      <c r="P1866" s="269"/>
      <c r="XFC1866"/>
    </row>
    <row r="1867" s="84" customFormat="1" spans="1:16383">
      <c r="A1867" s="302">
        <v>46113</v>
      </c>
      <c r="B1867" s="121" t="s">
        <v>16</v>
      </c>
      <c r="C1867" s="114" t="s">
        <v>268</v>
      </c>
      <c r="D1867" s="114" t="s">
        <v>1333</v>
      </c>
      <c r="E1867" s="114" t="s">
        <v>270</v>
      </c>
      <c r="F1867" s="117">
        <v>46124</v>
      </c>
      <c r="G1867" s="114" t="s">
        <v>69</v>
      </c>
      <c r="H1867" s="114" t="s">
        <v>21</v>
      </c>
      <c r="I1867" s="136">
        <v>3465</v>
      </c>
      <c r="J1867" s="136">
        <v>0</v>
      </c>
      <c r="K1867" s="130">
        <f t="shared" si="112"/>
        <v>3465</v>
      </c>
      <c r="L1867" s="136">
        <f>2685+780</f>
        <v>3465</v>
      </c>
      <c r="M1867" s="136"/>
      <c r="N1867" s="131">
        <f t="shared" si="110"/>
        <v>0</v>
      </c>
      <c r="O1867" s="114" t="s">
        <v>1587</v>
      </c>
      <c r="P1867" s="269"/>
      <c r="XFC1867"/>
    </row>
    <row r="1868" s="84" customFormat="1" spans="1:16383">
      <c r="A1868" s="302">
        <v>46113</v>
      </c>
      <c r="B1868" s="121" t="s">
        <v>16</v>
      </c>
      <c r="C1868" s="114" t="s">
        <v>268</v>
      </c>
      <c r="D1868" s="114" t="s">
        <v>1333</v>
      </c>
      <c r="E1868" s="114" t="s">
        <v>270</v>
      </c>
      <c r="F1868" s="117">
        <v>46124</v>
      </c>
      <c r="G1868" s="114" t="s">
        <v>70</v>
      </c>
      <c r="H1868" s="114" t="s">
        <v>21</v>
      </c>
      <c r="I1868" s="136">
        <v>3465</v>
      </c>
      <c r="J1868" s="136">
        <v>0</v>
      </c>
      <c r="K1868" s="130">
        <f t="shared" si="112"/>
        <v>3465</v>
      </c>
      <c r="L1868" s="136">
        <v>3465</v>
      </c>
      <c r="M1868" s="136"/>
      <c r="N1868" s="131">
        <f t="shared" si="110"/>
        <v>0</v>
      </c>
      <c r="O1868" s="114" t="s">
        <v>1585</v>
      </c>
      <c r="P1868" s="269"/>
      <c r="XFC1868"/>
    </row>
    <row r="1869" s="84" customFormat="1" spans="1:16383">
      <c r="A1869" s="302">
        <v>46113</v>
      </c>
      <c r="B1869" s="121" t="s">
        <v>16</v>
      </c>
      <c r="C1869" s="114" t="s">
        <v>268</v>
      </c>
      <c r="D1869" s="114" t="s">
        <v>1333</v>
      </c>
      <c r="E1869" s="114" t="s">
        <v>270</v>
      </c>
      <c r="F1869" s="117">
        <v>46124</v>
      </c>
      <c r="G1869" s="114" t="s">
        <v>71</v>
      </c>
      <c r="H1869" s="114" t="s">
        <v>21</v>
      </c>
      <c r="I1869" s="136">
        <v>3465</v>
      </c>
      <c r="J1869" s="136">
        <v>0</v>
      </c>
      <c r="K1869" s="130">
        <f t="shared" si="112"/>
        <v>3465</v>
      </c>
      <c r="L1869" s="136">
        <v>3465</v>
      </c>
      <c r="M1869" s="136"/>
      <c r="N1869" s="131">
        <f t="shared" si="110"/>
        <v>0</v>
      </c>
      <c r="O1869" s="114" t="s">
        <v>1586</v>
      </c>
      <c r="P1869" s="269"/>
      <c r="XFC1869"/>
    </row>
    <row r="1870" s="84" customFormat="1" spans="1:16383">
      <c r="A1870" s="302">
        <v>46113</v>
      </c>
      <c r="B1870" s="135" t="s">
        <v>1276</v>
      </c>
      <c r="C1870" s="114" t="s">
        <v>1588</v>
      </c>
      <c r="D1870" s="114" t="s">
        <v>1278</v>
      </c>
      <c r="E1870" s="114" t="s">
        <v>1279</v>
      </c>
      <c r="F1870" s="117">
        <v>46127</v>
      </c>
      <c r="G1870" s="114" t="s">
        <v>1582</v>
      </c>
      <c r="H1870" s="114" t="s">
        <v>833</v>
      </c>
      <c r="I1870" s="136">
        <v>1000</v>
      </c>
      <c r="J1870" s="136">
        <v>0</v>
      </c>
      <c r="K1870" s="130">
        <f t="shared" si="112"/>
        <v>1000</v>
      </c>
      <c r="L1870" s="136">
        <v>1000</v>
      </c>
      <c r="M1870" s="136"/>
      <c r="N1870" s="131">
        <f t="shared" si="110"/>
        <v>0</v>
      </c>
      <c r="O1870" s="114" t="s">
        <v>1589</v>
      </c>
      <c r="P1870" s="269"/>
      <c r="XFC1870"/>
    </row>
    <row r="1871" s="84" customFormat="1" spans="1:16383">
      <c r="A1871" s="302">
        <v>46113</v>
      </c>
      <c r="B1871" s="135" t="s">
        <v>1276</v>
      </c>
      <c r="C1871" s="114" t="s">
        <v>1588</v>
      </c>
      <c r="D1871" s="114" t="s">
        <v>1278</v>
      </c>
      <c r="E1871" s="114" t="s">
        <v>1279</v>
      </c>
      <c r="F1871" s="117">
        <v>46127</v>
      </c>
      <c r="G1871" s="114" t="s">
        <v>1448</v>
      </c>
      <c r="H1871" s="114" t="s">
        <v>833</v>
      </c>
      <c r="I1871" s="136">
        <v>1000</v>
      </c>
      <c r="J1871" s="136">
        <v>0</v>
      </c>
      <c r="K1871" s="130">
        <f t="shared" si="112"/>
        <v>1000</v>
      </c>
      <c r="L1871" s="136">
        <v>1000</v>
      </c>
      <c r="M1871" s="136"/>
      <c r="N1871" s="131">
        <f t="shared" si="110"/>
        <v>0</v>
      </c>
      <c r="O1871" s="114" t="s">
        <v>1589</v>
      </c>
      <c r="P1871" s="269"/>
      <c r="XFC1871"/>
    </row>
    <row r="1872" s="84" customFormat="1" spans="1:16383">
      <c r="A1872" s="302">
        <v>46113</v>
      </c>
      <c r="B1872" s="135" t="s">
        <v>1276</v>
      </c>
      <c r="C1872" s="114" t="s">
        <v>1588</v>
      </c>
      <c r="D1872" s="114" t="s">
        <v>1278</v>
      </c>
      <c r="E1872" s="114" t="s">
        <v>1279</v>
      </c>
      <c r="F1872" s="117">
        <v>46127</v>
      </c>
      <c r="G1872" s="114" t="s">
        <v>1338</v>
      </c>
      <c r="H1872" s="114" t="s">
        <v>833</v>
      </c>
      <c r="I1872" s="136">
        <v>1000</v>
      </c>
      <c r="J1872" s="136">
        <v>0</v>
      </c>
      <c r="K1872" s="130">
        <f t="shared" si="112"/>
        <v>1000</v>
      </c>
      <c r="L1872" s="136">
        <v>1000</v>
      </c>
      <c r="M1872" s="136"/>
      <c r="N1872" s="131">
        <f t="shared" si="110"/>
        <v>0</v>
      </c>
      <c r="O1872" s="114" t="s">
        <v>1589</v>
      </c>
      <c r="P1872" s="269"/>
      <c r="XFC1872"/>
    </row>
    <row r="1873" s="84" customFormat="1" spans="1:16383">
      <c r="A1873" s="302">
        <v>46113</v>
      </c>
      <c r="B1873" s="121" t="s">
        <v>16</v>
      </c>
      <c r="C1873" s="114" t="s">
        <v>1287</v>
      </c>
      <c r="D1873" s="114" t="s">
        <v>1278</v>
      </c>
      <c r="E1873" s="114" t="s">
        <v>1288</v>
      </c>
      <c r="F1873" s="117">
        <v>46127</v>
      </c>
      <c r="G1873" s="114" t="s">
        <v>1590</v>
      </c>
      <c r="H1873" s="114" t="s">
        <v>833</v>
      </c>
      <c r="I1873" s="136">
        <v>387.1</v>
      </c>
      <c r="J1873" s="136">
        <v>0</v>
      </c>
      <c r="K1873" s="130">
        <f t="shared" si="112"/>
        <v>387.1</v>
      </c>
      <c r="L1873" s="136">
        <v>387.1</v>
      </c>
      <c r="M1873" s="136"/>
      <c r="N1873" s="131">
        <f t="shared" si="110"/>
        <v>0</v>
      </c>
      <c r="O1873" s="114" t="s">
        <v>1589</v>
      </c>
      <c r="P1873" s="269"/>
      <c r="XFC1873"/>
    </row>
    <row r="1874" s="84" customFormat="1" spans="1:16383">
      <c r="A1874" s="302">
        <v>46113</v>
      </c>
      <c r="B1874" s="121" t="s">
        <v>16</v>
      </c>
      <c r="C1874" s="114" t="s">
        <v>1287</v>
      </c>
      <c r="D1874" s="114" t="s">
        <v>1278</v>
      </c>
      <c r="E1874" s="114" t="s">
        <v>1288</v>
      </c>
      <c r="F1874" s="117">
        <v>46127</v>
      </c>
      <c r="G1874" s="114" t="s">
        <v>1448</v>
      </c>
      <c r="H1874" s="114" t="s">
        <v>833</v>
      </c>
      <c r="I1874" s="136">
        <v>3000</v>
      </c>
      <c r="J1874" s="136">
        <v>0</v>
      </c>
      <c r="K1874" s="130">
        <f t="shared" si="112"/>
        <v>3000</v>
      </c>
      <c r="L1874" s="136">
        <v>3000</v>
      </c>
      <c r="M1874" s="136"/>
      <c r="N1874" s="131">
        <f t="shared" si="110"/>
        <v>0</v>
      </c>
      <c r="O1874" s="114" t="s">
        <v>1589</v>
      </c>
      <c r="P1874" s="269"/>
      <c r="XFC1874"/>
    </row>
    <row r="1875" s="84" customFormat="1" spans="1:16383">
      <c r="A1875" s="302">
        <v>46113</v>
      </c>
      <c r="B1875" s="121" t="s">
        <v>16</v>
      </c>
      <c r="C1875" s="114" t="s">
        <v>1287</v>
      </c>
      <c r="D1875" s="114" t="s">
        <v>1278</v>
      </c>
      <c r="E1875" s="114" t="s">
        <v>1288</v>
      </c>
      <c r="F1875" s="117">
        <v>46127</v>
      </c>
      <c r="G1875" s="114" t="s">
        <v>1338</v>
      </c>
      <c r="H1875" s="114" t="s">
        <v>833</v>
      </c>
      <c r="I1875" s="136">
        <v>3000</v>
      </c>
      <c r="J1875" s="136">
        <v>0</v>
      </c>
      <c r="K1875" s="130">
        <f t="shared" si="112"/>
        <v>3000</v>
      </c>
      <c r="L1875" s="136">
        <v>3000</v>
      </c>
      <c r="M1875" s="136"/>
      <c r="N1875" s="131">
        <f t="shared" si="110"/>
        <v>0</v>
      </c>
      <c r="O1875" s="114" t="s">
        <v>1589</v>
      </c>
      <c r="P1875" s="269"/>
      <c r="XFC1875"/>
    </row>
    <row r="1876" s="84" customFormat="1" spans="1:16383">
      <c r="A1876" s="302">
        <v>46113</v>
      </c>
      <c r="B1876" s="121" t="s">
        <v>16</v>
      </c>
      <c r="C1876" s="114" t="s">
        <v>1591</v>
      </c>
      <c r="D1876" s="114" t="s">
        <v>1592</v>
      </c>
      <c r="E1876" s="114" t="s">
        <v>1593</v>
      </c>
      <c r="F1876" s="117">
        <v>46127</v>
      </c>
      <c r="G1876" s="114" t="s">
        <v>1582</v>
      </c>
      <c r="H1876" s="114" t="s">
        <v>23</v>
      </c>
      <c r="I1876" s="136">
        <v>3500</v>
      </c>
      <c r="J1876" s="136">
        <v>0</v>
      </c>
      <c r="K1876" s="130">
        <f t="shared" si="112"/>
        <v>3500</v>
      </c>
      <c r="L1876" s="136">
        <v>500</v>
      </c>
      <c r="M1876" s="136"/>
      <c r="N1876" s="131">
        <f t="shared" si="110"/>
        <v>3000</v>
      </c>
      <c r="O1876" s="114" t="s">
        <v>1594</v>
      </c>
      <c r="P1876" s="269"/>
      <c r="XFC1876"/>
    </row>
    <row r="1877" s="84" customFormat="1" spans="1:16383">
      <c r="A1877" s="302">
        <v>46113</v>
      </c>
      <c r="B1877" s="121" t="s">
        <v>16</v>
      </c>
      <c r="C1877" s="114" t="s">
        <v>1591</v>
      </c>
      <c r="D1877" s="114" t="s">
        <v>1592</v>
      </c>
      <c r="E1877" s="114" t="s">
        <v>1593</v>
      </c>
      <c r="F1877" s="117">
        <v>46127</v>
      </c>
      <c r="G1877" s="114" t="s">
        <v>1448</v>
      </c>
      <c r="H1877" s="114" t="s">
        <v>23</v>
      </c>
      <c r="I1877" s="136">
        <v>3500</v>
      </c>
      <c r="J1877" s="136">
        <v>0</v>
      </c>
      <c r="K1877" s="130">
        <f t="shared" si="112"/>
        <v>3500</v>
      </c>
      <c r="L1877" s="136">
        <v>3500</v>
      </c>
      <c r="M1877" s="136"/>
      <c r="N1877" s="131">
        <f t="shared" si="110"/>
        <v>0</v>
      </c>
      <c r="O1877" s="309" t="s">
        <v>1595</v>
      </c>
      <c r="P1877" s="269"/>
      <c r="XFC1877"/>
    </row>
    <row r="1878" s="84" customFormat="1" spans="1:16383">
      <c r="A1878" s="302">
        <v>46113</v>
      </c>
      <c r="B1878" s="121" t="s">
        <v>16</v>
      </c>
      <c r="C1878" s="114" t="s">
        <v>1591</v>
      </c>
      <c r="D1878" s="114" t="s">
        <v>1592</v>
      </c>
      <c r="E1878" s="114" t="s">
        <v>1593</v>
      </c>
      <c r="F1878" s="117">
        <v>46127</v>
      </c>
      <c r="G1878" s="114" t="s">
        <v>1338</v>
      </c>
      <c r="H1878" s="114" t="s">
        <v>23</v>
      </c>
      <c r="I1878" s="136">
        <v>3500</v>
      </c>
      <c r="J1878" s="136">
        <v>0</v>
      </c>
      <c r="K1878" s="130">
        <f t="shared" si="112"/>
        <v>3500</v>
      </c>
      <c r="L1878" s="136">
        <v>3500</v>
      </c>
      <c r="M1878" s="136"/>
      <c r="N1878" s="131">
        <f t="shared" si="110"/>
        <v>0</v>
      </c>
      <c r="O1878" s="309" t="s">
        <v>1595</v>
      </c>
      <c r="P1878" s="269"/>
      <c r="XFC1878"/>
    </row>
    <row r="1879" s="84" customFormat="1" spans="1:16383">
      <c r="A1879" s="302">
        <v>46113</v>
      </c>
      <c r="B1879" s="121" t="s">
        <v>16</v>
      </c>
      <c r="C1879" s="114" t="s">
        <v>1591</v>
      </c>
      <c r="D1879" s="114" t="s">
        <v>1592</v>
      </c>
      <c r="E1879" s="114" t="s">
        <v>1593</v>
      </c>
      <c r="F1879" s="117">
        <v>46127</v>
      </c>
      <c r="G1879" s="114" t="s">
        <v>1582</v>
      </c>
      <c r="H1879" s="114" t="s">
        <v>21</v>
      </c>
      <c r="I1879" s="136">
        <v>7000</v>
      </c>
      <c r="J1879" s="136">
        <v>0</v>
      </c>
      <c r="K1879" s="130">
        <f t="shared" si="112"/>
        <v>7000</v>
      </c>
      <c r="L1879" s="136">
        <v>0</v>
      </c>
      <c r="M1879" s="136"/>
      <c r="N1879" s="131">
        <f t="shared" si="110"/>
        <v>7000</v>
      </c>
      <c r="O1879" s="309"/>
      <c r="P1879" s="269"/>
      <c r="XFC1879"/>
    </row>
    <row r="1880" s="84" customFormat="1" spans="1:16383">
      <c r="A1880" s="302">
        <v>46113</v>
      </c>
      <c r="B1880" s="121" t="s">
        <v>16</v>
      </c>
      <c r="C1880" s="114" t="s">
        <v>1591</v>
      </c>
      <c r="D1880" s="114" t="s">
        <v>1592</v>
      </c>
      <c r="E1880" s="114" t="s">
        <v>1593</v>
      </c>
      <c r="F1880" s="117">
        <v>46127</v>
      </c>
      <c r="G1880" s="114" t="s">
        <v>1448</v>
      </c>
      <c r="H1880" s="114" t="s">
        <v>21</v>
      </c>
      <c r="I1880" s="136">
        <v>7000</v>
      </c>
      <c r="J1880" s="136">
        <v>0</v>
      </c>
      <c r="K1880" s="130">
        <f t="shared" si="112"/>
        <v>7000</v>
      </c>
      <c r="L1880" s="136">
        <f>6000+1000</f>
        <v>7000</v>
      </c>
      <c r="M1880" s="136"/>
      <c r="N1880" s="131">
        <f t="shared" si="110"/>
        <v>0</v>
      </c>
      <c r="O1880" s="309" t="s">
        <v>1596</v>
      </c>
      <c r="P1880" s="269"/>
      <c r="XFC1880"/>
    </row>
    <row r="1881" s="84" customFormat="1" spans="1:16383">
      <c r="A1881" s="302">
        <v>46113</v>
      </c>
      <c r="B1881" s="121" t="s">
        <v>16</v>
      </c>
      <c r="C1881" s="114" t="s">
        <v>1591</v>
      </c>
      <c r="D1881" s="114" t="s">
        <v>1592</v>
      </c>
      <c r="E1881" s="114" t="s">
        <v>1593</v>
      </c>
      <c r="F1881" s="117">
        <v>46127</v>
      </c>
      <c r="G1881" s="114" t="s">
        <v>1338</v>
      </c>
      <c r="H1881" s="114" t="s">
        <v>21</v>
      </c>
      <c r="I1881" s="136">
        <v>7000</v>
      </c>
      <c r="J1881" s="136">
        <v>0</v>
      </c>
      <c r="K1881" s="130">
        <f t="shared" si="112"/>
        <v>7000</v>
      </c>
      <c r="L1881" s="136">
        <v>7000</v>
      </c>
      <c r="M1881" s="136"/>
      <c r="N1881" s="131">
        <f t="shared" si="110"/>
        <v>0</v>
      </c>
      <c r="O1881" s="309" t="s">
        <v>1595</v>
      </c>
      <c r="P1881" s="269"/>
      <c r="XFC1881"/>
    </row>
    <row r="1882" s="94" customFormat="1" spans="1:16">
      <c r="A1882" s="308">
        <v>46113</v>
      </c>
      <c r="B1882" s="149" t="s">
        <v>679</v>
      </c>
      <c r="C1882" s="198" t="s">
        <v>1197</v>
      </c>
      <c r="D1882" s="198" t="s">
        <v>685</v>
      </c>
      <c r="E1882" s="198" t="s">
        <v>1198</v>
      </c>
      <c r="F1882" s="148">
        <v>46127</v>
      </c>
      <c r="G1882" s="198" t="s">
        <v>1448</v>
      </c>
      <c r="H1882" s="198" t="s">
        <v>23</v>
      </c>
      <c r="I1882" s="211">
        <v>8580</v>
      </c>
      <c r="J1882" s="211">
        <v>0</v>
      </c>
      <c r="K1882" s="179">
        <f t="shared" si="112"/>
        <v>8580</v>
      </c>
      <c r="L1882" s="211">
        <v>8580</v>
      </c>
      <c r="M1882" s="211"/>
      <c r="N1882" s="144">
        <f t="shared" si="110"/>
        <v>0</v>
      </c>
      <c r="O1882" s="158" t="s">
        <v>1597</v>
      </c>
      <c r="P1882" s="190"/>
    </row>
    <row r="1883" s="94" customFormat="1" spans="1:16">
      <c r="A1883" s="308">
        <v>46113</v>
      </c>
      <c r="B1883" s="149" t="s">
        <v>679</v>
      </c>
      <c r="C1883" s="198" t="s">
        <v>1197</v>
      </c>
      <c r="D1883" s="198" t="s">
        <v>685</v>
      </c>
      <c r="E1883" s="198" t="s">
        <v>1198</v>
      </c>
      <c r="F1883" s="148">
        <v>46127</v>
      </c>
      <c r="G1883" s="198" t="s">
        <v>1338</v>
      </c>
      <c r="H1883" s="198" t="s">
        <v>23</v>
      </c>
      <c r="I1883" s="211">
        <v>8580</v>
      </c>
      <c r="J1883" s="211">
        <v>0</v>
      </c>
      <c r="K1883" s="179">
        <f t="shared" si="112"/>
        <v>8580</v>
      </c>
      <c r="L1883" s="211">
        <v>8580</v>
      </c>
      <c r="M1883" s="211"/>
      <c r="N1883" s="144">
        <f t="shared" si="110"/>
        <v>0</v>
      </c>
      <c r="O1883" s="158" t="s">
        <v>1597</v>
      </c>
      <c r="P1883" s="190"/>
    </row>
    <row r="1884" s="94" customFormat="1" spans="1:16">
      <c r="A1884" s="308">
        <v>46113</v>
      </c>
      <c r="B1884" s="149" t="s">
        <v>679</v>
      </c>
      <c r="C1884" s="198" t="s">
        <v>1197</v>
      </c>
      <c r="D1884" s="198" t="s">
        <v>685</v>
      </c>
      <c r="E1884" s="198" t="s">
        <v>1198</v>
      </c>
      <c r="F1884" s="148">
        <v>46127</v>
      </c>
      <c r="G1884" s="198" t="s">
        <v>1448</v>
      </c>
      <c r="H1884" s="198" t="s">
        <v>21</v>
      </c>
      <c r="I1884" s="211">
        <v>5444.4</v>
      </c>
      <c r="J1884" s="211">
        <v>0</v>
      </c>
      <c r="K1884" s="179">
        <f t="shared" si="112"/>
        <v>5444.4</v>
      </c>
      <c r="L1884" s="211">
        <v>5444.4</v>
      </c>
      <c r="M1884" s="211"/>
      <c r="N1884" s="144">
        <f t="shared" si="110"/>
        <v>0</v>
      </c>
      <c r="O1884" s="158" t="s">
        <v>1597</v>
      </c>
      <c r="P1884" s="190"/>
    </row>
    <row r="1885" s="94" customFormat="1" spans="1:16">
      <c r="A1885" s="308">
        <v>46113</v>
      </c>
      <c r="B1885" s="149" t="s">
        <v>679</v>
      </c>
      <c r="C1885" s="198" t="s">
        <v>1197</v>
      </c>
      <c r="D1885" s="198" t="s">
        <v>685</v>
      </c>
      <c r="E1885" s="198" t="s">
        <v>1198</v>
      </c>
      <c r="F1885" s="148">
        <v>46127</v>
      </c>
      <c r="G1885" s="198" t="s">
        <v>1338</v>
      </c>
      <c r="H1885" s="198" t="s">
        <v>21</v>
      </c>
      <c r="I1885" s="211">
        <v>5444.4</v>
      </c>
      <c r="J1885" s="211">
        <v>0</v>
      </c>
      <c r="K1885" s="179">
        <f t="shared" si="112"/>
        <v>5444.4</v>
      </c>
      <c r="L1885" s="211">
        <v>5444.4</v>
      </c>
      <c r="M1885" s="211"/>
      <c r="N1885" s="144">
        <f t="shared" si="110"/>
        <v>0</v>
      </c>
      <c r="O1885" s="158" t="s">
        <v>1597</v>
      </c>
      <c r="P1885" s="190"/>
    </row>
    <row r="1886" s="84" customFormat="1" spans="1:16383">
      <c r="A1886" s="302">
        <v>46113</v>
      </c>
      <c r="B1886" s="121" t="s">
        <v>16</v>
      </c>
      <c r="C1886" s="114" t="s">
        <v>141</v>
      </c>
      <c r="D1886" s="114" t="s">
        <v>142</v>
      </c>
      <c r="E1886" s="114" t="s">
        <v>143</v>
      </c>
      <c r="F1886" s="117">
        <v>46127</v>
      </c>
      <c r="G1886" s="114" t="s">
        <v>1582</v>
      </c>
      <c r="H1886" s="114" t="s">
        <v>23</v>
      </c>
      <c r="I1886" s="136">
        <v>4785</v>
      </c>
      <c r="J1886" s="136">
        <v>0</v>
      </c>
      <c r="K1886" s="130">
        <f t="shared" si="112"/>
        <v>4785</v>
      </c>
      <c r="L1886" s="136">
        <v>4785</v>
      </c>
      <c r="M1886" s="136"/>
      <c r="N1886" s="131">
        <f t="shared" si="110"/>
        <v>0</v>
      </c>
      <c r="O1886" s="114" t="s">
        <v>1598</v>
      </c>
      <c r="P1886" s="269"/>
      <c r="XFC1886"/>
    </row>
    <row r="1887" s="84" customFormat="1" spans="1:16383">
      <c r="A1887" s="302">
        <v>46113</v>
      </c>
      <c r="B1887" s="121" t="s">
        <v>16</v>
      </c>
      <c r="C1887" s="114" t="s">
        <v>141</v>
      </c>
      <c r="D1887" s="114" t="s">
        <v>142</v>
      </c>
      <c r="E1887" s="114" t="s">
        <v>143</v>
      </c>
      <c r="F1887" s="117">
        <v>46127</v>
      </c>
      <c r="G1887" s="114" t="s">
        <v>1448</v>
      </c>
      <c r="H1887" s="114" t="s">
        <v>23</v>
      </c>
      <c r="I1887" s="136">
        <v>4785</v>
      </c>
      <c r="J1887" s="136">
        <v>0</v>
      </c>
      <c r="K1887" s="130">
        <f t="shared" si="112"/>
        <v>4785</v>
      </c>
      <c r="L1887" s="136">
        <v>4785</v>
      </c>
      <c r="M1887" s="136"/>
      <c r="N1887" s="131">
        <f t="shared" si="110"/>
        <v>0</v>
      </c>
      <c r="O1887" s="114" t="s">
        <v>1598</v>
      </c>
      <c r="P1887" s="269"/>
      <c r="XFC1887"/>
    </row>
    <row r="1888" s="84" customFormat="1" spans="1:16383">
      <c r="A1888" s="302">
        <v>46113</v>
      </c>
      <c r="B1888" s="121" t="s">
        <v>16</v>
      </c>
      <c r="C1888" s="114" t="s">
        <v>141</v>
      </c>
      <c r="D1888" s="114" t="s">
        <v>142</v>
      </c>
      <c r="E1888" s="114" t="s">
        <v>143</v>
      </c>
      <c r="F1888" s="117">
        <v>46127</v>
      </c>
      <c r="G1888" s="114" t="s">
        <v>1338</v>
      </c>
      <c r="H1888" s="114" t="s">
        <v>23</v>
      </c>
      <c r="I1888" s="136">
        <v>4785</v>
      </c>
      <c r="J1888" s="136">
        <v>0</v>
      </c>
      <c r="K1888" s="130">
        <f t="shared" si="112"/>
        <v>4785</v>
      </c>
      <c r="L1888" s="136">
        <v>4785</v>
      </c>
      <c r="M1888" s="136"/>
      <c r="N1888" s="131">
        <f t="shared" si="110"/>
        <v>0</v>
      </c>
      <c r="O1888" s="114" t="s">
        <v>1598</v>
      </c>
      <c r="P1888" s="269"/>
      <c r="XFC1888"/>
    </row>
    <row r="1889" s="84" customFormat="1" spans="1:16383">
      <c r="A1889" s="302">
        <v>46113</v>
      </c>
      <c r="B1889" s="121" t="s">
        <v>16</v>
      </c>
      <c r="C1889" s="114" t="s">
        <v>141</v>
      </c>
      <c r="D1889" s="114" t="s">
        <v>142</v>
      </c>
      <c r="E1889" s="114" t="s">
        <v>143</v>
      </c>
      <c r="F1889" s="117">
        <v>46127</v>
      </c>
      <c r="G1889" s="114" t="s">
        <v>1582</v>
      </c>
      <c r="H1889" s="114" t="s">
        <v>21</v>
      </c>
      <c r="I1889" s="136">
        <v>18705</v>
      </c>
      <c r="J1889" s="136">
        <v>0</v>
      </c>
      <c r="K1889" s="130">
        <f t="shared" si="112"/>
        <v>18705</v>
      </c>
      <c r="L1889" s="136">
        <v>18705</v>
      </c>
      <c r="M1889" s="136"/>
      <c r="N1889" s="131">
        <f t="shared" si="110"/>
        <v>0</v>
      </c>
      <c r="O1889" s="114" t="s">
        <v>1598</v>
      </c>
      <c r="P1889" s="269"/>
      <c r="XFC1889"/>
    </row>
    <row r="1890" s="84" customFormat="1" spans="1:16383">
      <c r="A1890" s="302">
        <v>46113</v>
      </c>
      <c r="B1890" s="121" t="s">
        <v>16</v>
      </c>
      <c r="C1890" s="114" t="s">
        <v>141</v>
      </c>
      <c r="D1890" s="114" t="s">
        <v>142</v>
      </c>
      <c r="E1890" s="114" t="s">
        <v>143</v>
      </c>
      <c r="F1890" s="117">
        <v>46127</v>
      </c>
      <c r="G1890" s="114" t="s">
        <v>1448</v>
      </c>
      <c r="H1890" s="114" t="s">
        <v>21</v>
      </c>
      <c r="I1890" s="136">
        <v>18705</v>
      </c>
      <c r="J1890" s="136">
        <v>0</v>
      </c>
      <c r="K1890" s="130">
        <f t="shared" si="112"/>
        <v>18705</v>
      </c>
      <c r="L1890" s="136">
        <v>18705</v>
      </c>
      <c r="M1890" s="136"/>
      <c r="N1890" s="131">
        <f t="shared" si="110"/>
        <v>0</v>
      </c>
      <c r="O1890" s="114" t="s">
        <v>1598</v>
      </c>
      <c r="P1890" s="269"/>
      <c r="XFC1890"/>
    </row>
    <row r="1891" s="84" customFormat="1" spans="1:16383">
      <c r="A1891" s="302">
        <v>46113</v>
      </c>
      <c r="B1891" s="121" t="s">
        <v>16</v>
      </c>
      <c r="C1891" s="114" t="s">
        <v>141</v>
      </c>
      <c r="D1891" s="114" t="s">
        <v>142</v>
      </c>
      <c r="E1891" s="114" t="s">
        <v>143</v>
      </c>
      <c r="F1891" s="117">
        <v>46127</v>
      </c>
      <c r="G1891" s="114" t="s">
        <v>1338</v>
      </c>
      <c r="H1891" s="114" t="s">
        <v>21</v>
      </c>
      <c r="I1891" s="136">
        <v>18705</v>
      </c>
      <c r="J1891" s="136">
        <v>0</v>
      </c>
      <c r="K1891" s="130">
        <f t="shared" si="112"/>
        <v>18705</v>
      </c>
      <c r="L1891" s="136">
        <v>18705</v>
      </c>
      <c r="M1891" s="136"/>
      <c r="N1891" s="131">
        <f t="shared" si="110"/>
        <v>0</v>
      </c>
      <c r="O1891" s="114" t="s">
        <v>1598</v>
      </c>
      <c r="P1891" s="269"/>
      <c r="XFC1891"/>
    </row>
    <row r="1892" s="84" customFormat="1" spans="1:16383">
      <c r="A1892" s="302">
        <v>46113</v>
      </c>
      <c r="B1892" s="112" t="s">
        <v>16</v>
      </c>
      <c r="C1892" s="114" t="s">
        <v>876</v>
      </c>
      <c r="D1892" s="114" t="s">
        <v>877</v>
      </c>
      <c r="E1892" s="114" t="s">
        <v>878</v>
      </c>
      <c r="F1892" s="117">
        <v>46127</v>
      </c>
      <c r="G1892" s="114" t="s">
        <v>1582</v>
      </c>
      <c r="H1892" s="114" t="s">
        <v>833</v>
      </c>
      <c r="I1892" s="136">
        <v>5000</v>
      </c>
      <c r="J1892" s="136">
        <v>0</v>
      </c>
      <c r="K1892" s="130">
        <f t="shared" si="112"/>
        <v>5000</v>
      </c>
      <c r="L1892" s="136">
        <f>716+4284</f>
        <v>5000</v>
      </c>
      <c r="M1892" s="136"/>
      <c r="N1892" s="131">
        <f t="shared" si="110"/>
        <v>0</v>
      </c>
      <c r="O1892" s="114" t="s">
        <v>1599</v>
      </c>
      <c r="P1892" s="269"/>
      <c r="XFC1892"/>
    </row>
    <row r="1893" s="84" customFormat="1" spans="1:16383">
      <c r="A1893" s="302">
        <v>46113</v>
      </c>
      <c r="B1893" s="112" t="s">
        <v>16</v>
      </c>
      <c r="C1893" s="114" t="s">
        <v>876</v>
      </c>
      <c r="D1893" s="114" t="s">
        <v>877</v>
      </c>
      <c r="E1893" s="114" t="s">
        <v>878</v>
      </c>
      <c r="F1893" s="117">
        <v>46127</v>
      </c>
      <c r="G1893" s="114" t="s">
        <v>1448</v>
      </c>
      <c r="H1893" s="114" t="s">
        <v>833</v>
      </c>
      <c r="I1893" s="136">
        <v>5000</v>
      </c>
      <c r="J1893" s="136">
        <v>0</v>
      </c>
      <c r="K1893" s="130">
        <f t="shared" si="112"/>
        <v>5000</v>
      </c>
      <c r="L1893" s="136">
        <v>5000</v>
      </c>
      <c r="M1893" s="136"/>
      <c r="N1893" s="131">
        <f t="shared" si="110"/>
        <v>0</v>
      </c>
      <c r="O1893" s="114" t="s">
        <v>1600</v>
      </c>
      <c r="P1893" s="269"/>
      <c r="XFC1893"/>
    </row>
    <row r="1894" s="84" customFormat="1" spans="1:16383">
      <c r="A1894" s="302">
        <v>46113</v>
      </c>
      <c r="B1894" s="112" t="s">
        <v>16</v>
      </c>
      <c r="C1894" s="114" t="s">
        <v>876</v>
      </c>
      <c r="D1894" s="114" t="s">
        <v>877</v>
      </c>
      <c r="E1894" s="114" t="s">
        <v>878</v>
      </c>
      <c r="F1894" s="117">
        <v>46127</v>
      </c>
      <c r="G1894" s="114" t="s">
        <v>1338</v>
      </c>
      <c r="H1894" s="114" t="s">
        <v>833</v>
      </c>
      <c r="I1894" s="136">
        <v>5000</v>
      </c>
      <c r="J1894" s="136">
        <v>0</v>
      </c>
      <c r="K1894" s="130">
        <f t="shared" si="112"/>
        <v>5000</v>
      </c>
      <c r="L1894" s="136">
        <v>5000</v>
      </c>
      <c r="M1894" s="136"/>
      <c r="N1894" s="131">
        <f t="shared" si="110"/>
        <v>0</v>
      </c>
      <c r="O1894" s="114" t="s">
        <v>1600</v>
      </c>
      <c r="P1894" s="269"/>
      <c r="XFC1894"/>
    </row>
    <row r="1895" s="84" customFormat="1" spans="1:16383">
      <c r="A1895" s="302">
        <v>46113</v>
      </c>
      <c r="B1895" s="121" t="s">
        <v>16</v>
      </c>
      <c r="C1895" s="114" t="s">
        <v>858</v>
      </c>
      <c r="D1895" s="114" t="s">
        <v>859</v>
      </c>
      <c r="E1895" s="114" t="s">
        <v>860</v>
      </c>
      <c r="F1895" s="117">
        <v>46136</v>
      </c>
      <c r="G1895" s="114" t="s">
        <v>1601</v>
      </c>
      <c r="H1895" s="114" t="s">
        <v>833</v>
      </c>
      <c r="I1895" s="136">
        <v>15671.1</v>
      </c>
      <c r="J1895" s="136">
        <v>0</v>
      </c>
      <c r="K1895" s="130">
        <v>5700</v>
      </c>
      <c r="L1895" s="136">
        <v>5700</v>
      </c>
      <c r="M1895" s="136"/>
      <c r="N1895" s="131">
        <f t="shared" si="110"/>
        <v>0</v>
      </c>
      <c r="O1895" s="114" t="s">
        <v>1602</v>
      </c>
      <c r="P1895" s="269"/>
      <c r="XFC1895"/>
    </row>
    <row r="1896" s="84" customFormat="1" spans="1:16383">
      <c r="A1896" s="302">
        <v>46113</v>
      </c>
      <c r="B1896" s="121" t="s">
        <v>16</v>
      </c>
      <c r="C1896" s="114" t="s">
        <v>858</v>
      </c>
      <c r="D1896" s="114" t="s">
        <v>859</v>
      </c>
      <c r="E1896" s="114" t="s">
        <v>860</v>
      </c>
      <c r="F1896" s="117">
        <v>46136</v>
      </c>
      <c r="G1896" s="114" t="s">
        <v>1505</v>
      </c>
      <c r="H1896" s="114" t="s">
        <v>833</v>
      </c>
      <c r="I1896" s="136">
        <v>702.74</v>
      </c>
      <c r="J1896" s="136">
        <v>0</v>
      </c>
      <c r="K1896" s="130">
        <v>5700</v>
      </c>
      <c r="L1896" s="136">
        <v>5700</v>
      </c>
      <c r="M1896" s="136"/>
      <c r="N1896" s="131">
        <f t="shared" si="110"/>
        <v>0</v>
      </c>
      <c r="O1896" s="114" t="s">
        <v>1602</v>
      </c>
      <c r="P1896" s="269"/>
      <c r="XFC1896"/>
    </row>
    <row r="1897" s="84" customFormat="1" spans="1:16383">
      <c r="A1897" s="302">
        <v>46113</v>
      </c>
      <c r="B1897" s="121" t="s">
        <v>16</v>
      </c>
      <c r="C1897" s="114" t="s">
        <v>858</v>
      </c>
      <c r="D1897" s="114" t="s">
        <v>859</v>
      </c>
      <c r="E1897" s="114" t="s">
        <v>860</v>
      </c>
      <c r="F1897" s="117">
        <v>46136</v>
      </c>
      <c r="G1897" s="114" t="s">
        <v>1506</v>
      </c>
      <c r="H1897" s="114" t="s">
        <v>833</v>
      </c>
      <c r="I1897" s="136">
        <v>726.16</v>
      </c>
      <c r="J1897" s="136">
        <v>0</v>
      </c>
      <c r="K1897" s="130">
        <v>5700</v>
      </c>
      <c r="L1897" s="136">
        <v>5700</v>
      </c>
      <c r="M1897" s="136"/>
      <c r="N1897" s="131">
        <f t="shared" ref="N1897:N1960" si="113">K1897-L1897</f>
        <v>0</v>
      </c>
      <c r="O1897" s="114" t="s">
        <v>1602</v>
      </c>
      <c r="P1897" s="269"/>
      <c r="XFC1897"/>
    </row>
    <row r="1898" s="84" customFormat="1" spans="1:16383">
      <c r="A1898" s="302">
        <v>46113</v>
      </c>
      <c r="B1898" s="121" t="s">
        <v>491</v>
      </c>
      <c r="C1898" s="114" t="s">
        <v>579</v>
      </c>
      <c r="D1898" s="114" t="s">
        <v>277</v>
      </c>
      <c r="E1898" s="114" t="s">
        <v>580</v>
      </c>
      <c r="F1898" s="117">
        <v>46127</v>
      </c>
      <c r="G1898" s="114" t="s">
        <v>1582</v>
      </c>
      <c r="H1898" s="114" t="s">
        <v>23</v>
      </c>
      <c r="I1898" s="136">
        <v>3000</v>
      </c>
      <c r="J1898" s="136">
        <v>0</v>
      </c>
      <c r="K1898" s="130">
        <f t="shared" ref="K1898:K1961" si="114">I1898-J1898</f>
        <v>3000</v>
      </c>
      <c r="L1898" s="136">
        <v>3000</v>
      </c>
      <c r="M1898" s="136"/>
      <c r="N1898" s="131">
        <f t="shared" si="113"/>
        <v>0</v>
      </c>
      <c r="O1898" s="137" t="s">
        <v>582</v>
      </c>
      <c r="P1898" s="269"/>
      <c r="XFC1898"/>
    </row>
    <row r="1899" s="84" customFormat="1" spans="1:16383">
      <c r="A1899" s="302">
        <v>46113</v>
      </c>
      <c r="B1899" s="121" t="s">
        <v>491</v>
      </c>
      <c r="C1899" s="114" t="s">
        <v>579</v>
      </c>
      <c r="D1899" s="114" t="s">
        <v>277</v>
      </c>
      <c r="E1899" s="114" t="s">
        <v>580</v>
      </c>
      <c r="F1899" s="117">
        <v>46127</v>
      </c>
      <c r="G1899" s="114" t="s">
        <v>1448</v>
      </c>
      <c r="H1899" s="114" t="s">
        <v>23</v>
      </c>
      <c r="I1899" s="136">
        <v>3000</v>
      </c>
      <c r="J1899" s="136">
        <v>0</v>
      </c>
      <c r="K1899" s="130">
        <f t="shared" si="114"/>
        <v>3000</v>
      </c>
      <c r="L1899" s="136">
        <v>3000</v>
      </c>
      <c r="M1899" s="136"/>
      <c r="N1899" s="131">
        <f t="shared" si="113"/>
        <v>0</v>
      </c>
      <c r="O1899" s="137" t="s">
        <v>582</v>
      </c>
      <c r="P1899" s="269"/>
      <c r="XFC1899"/>
    </row>
    <row r="1900" s="84" customFormat="1" spans="1:16383">
      <c r="A1900" s="302">
        <v>46113</v>
      </c>
      <c r="B1900" s="121" t="s">
        <v>491</v>
      </c>
      <c r="C1900" s="114" t="s">
        <v>579</v>
      </c>
      <c r="D1900" s="114" t="s">
        <v>277</v>
      </c>
      <c r="E1900" s="114" t="s">
        <v>580</v>
      </c>
      <c r="F1900" s="117">
        <v>46127</v>
      </c>
      <c r="G1900" s="114" t="s">
        <v>1338</v>
      </c>
      <c r="H1900" s="114" t="s">
        <v>23</v>
      </c>
      <c r="I1900" s="136">
        <v>0</v>
      </c>
      <c r="J1900" s="136">
        <v>0</v>
      </c>
      <c r="K1900" s="130">
        <f t="shared" si="114"/>
        <v>0</v>
      </c>
      <c r="L1900" s="136">
        <v>0</v>
      </c>
      <c r="M1900" s="136"/>
      <c r="N1900" s="131">
        <f t="shared" si="113"/>
        <v>0</v>
      </c>
      <c r="O1900" s="114"/>
      <c r="P1900" s="269"/>
      <c r="XFC1900"/>
    </row>
    <row r="1901" s="84" customFormat="1" spans="1:16383">
      <c r="A1901" s="302">
        <v>46113</v>
      </c>
      <c r="B1901" s="121" t="s">
        <v>491</v>
      </c>
      <c r="C1901" s="114" t="s">
        <v>579</v>
      </c>
      <c r="D1901" s="114" t="s">
        <v>277</v>
      </c>
      <c r="E1901" s="114" t="s">
        <v>580</v>
      </c>
      <c r="F1901" s="117">
        <v>46127</v>
      </c>
      <c r="G1901" s="114" t="s">
        <v>1582</v>
      </c>
      <c r="H1901" s="114" t="s">
        <v>21</v>
      </c>
      <c r="I1901" s="136">
        <v>7000</v>
      </c>
      <c r="J1901" s="136">
        <v>0</v>
      </c>
      <c r="K1901" s="130">
        <f t="shared" si="114"/>
        <v>7000</v>
      </c>
      <c r="L1901" s="136">
        <v>7000</v>
      </c>
      <c r="M1901" s="136"/>
      <c r="N1901" s="131">
        <f t="shared" si="113"/>
        <v>0</v>
      </c>
      <c r="O1901" s="137" t="s">
        <v>582</v>
      </c>
      <c r="P1901" s="269"/>
      <c r="XFC1901"/>
    </row>
    <row r="1902" s="84" customFormat="1" spans="1:16383">
      <c r="A1902" s="302">
        <v>46113</v>
      </c>
      <c r="B1902" s="121" t="s">
        <v>491</v>
      </c>
      <c r="C1902" s="114" t="s">
        <v>579</v>
      </c>
      <c r="D1902" s="114" t="s">
        <v>277</v>
      </c>
      <c r="E1902" s="114" t="s">
        <v>580</v>
      </c>
      <c r="F1902" s="117">
        <v>46127</v>
      </c>
      <c r="G1902" s="114" t="s">
        <v>1448</v>
      </c>
      <c r="H1902" s="114" t="s">
        <v>21</v>
      </c>
      <c r="I1902" s="136">
        <v>7000</v>
      </c>
      <c r="J1902" s="136">
        <v>0</v>
      </c>
      <c r="K1902" s="130">
        <f t="shared" si="114"/>
        <v>7000</v>
      </c>
      <c r="L1902" s="136">
        <v>7000</v>
      </c>
      <c r="M1902" s="136"/>
      <c r="N1902" s="131">
        <f t="shared" si="113"/>
        <v>0</v>
      </c>
      <c r="O1902" s="137" t="s">
        <v>582</v>
      </c>
      <c r="P1902" s="269"/>
      <c r="XFC1902"/>
    </row>
    <row r="1903" s="84" customFormat="1" spans="1:16383">
      <c r="A1903" s="302">
        <v>46113</v>
      </c>
      <c r="B1903" s="121" t="s">
        <v>491</v>
      </c>
      <c r="C1903" s="114" t="s">
        <v>579</v>
      </c>
      <c r="D1903" s="114" t="s">
        <v>277</v>
      </c>
      <c r="E1903" s="114" t="s">
        <v>580</v>
      </c>
      <c r="F1903" s="117">
        <v>46127</v>
      </c>
      <c r="G1903" s="114" t="s">
        <v>1338</v>
      </c>
      <c r="H1903" s="114" t="s">
        <v>21</v>
      </c>
      <c r="I1903" s="136">
        <v>0</v>
      </c>
      <c r="J1903" s="136">
        <v>0</v>
      </c>
      <c r="K1903" s="130">
        <f t="shared" si="114"/>
        <v>0</v>
      </c>
      <c r="L1903" s="136">
        <v>0</v>
      </c>
      <c r="M1903" s="136"/>
      <c r="N1903" s="131">
        <f t="shared" si="113"/>
        <v>0</v>
      </c>
      <c r="O1903" s="114"/>
      <c r="P1903" s="269"/>
      <c r="XFC1903"/>
    </row>
    <row r="1904" s="84" customFormat="1" spans="1:16383">
      <c r="A1904" s="302">
        <v>46113</v>
      </c>
      <c r="B1904" s="112" t="s">
        <v>953</v>
      </c>
      <c r="C1904" s="114" t="s">
        <v>954</v>
      </c>
      <c r="D1904" s="114" t="s">
        <v>955</v>
      </c>
      <c r="E1904" s="114" t="s">
        <v>956</v>
      </c>
      <c r="F1904" s="117">
        <v>46127</v>
      </c>
      <c r="G1904" s="114" t="s">
        <v>1603</v>
      </c>
      <c r="H1904" s="114" t="s">
        <v>833</v>
      </c>
      <c r="I1904" s="136">
        <v>4500</v>
      </c>
      <c r="J1904" s="136">
        <v>0</v>
      </c>
      <c r="K1904" s="130">
        <f t="shared" si="114"/>
        <v>4500</v>
      </c>
      <c r="L1904" s="136">
        <v>4500</v>
      </c>
      <c r="M1904" s="136"/>
      <c r="N1904" s="131">
        <f t="shared" si="113"/>
        <v>0</v>
      </c>
      <c r="O1904" s="114" t="s">
        <v>1604</v>
      </c>
      <c r="P1904" s="269"/>
      <c r="XFC1904"/>
    </row>
    <row r="1905" s="84" customFormat="1" spans="1:16383">
      <c r="A1905" s="302">
        <v>46113</v>
      </c>
      <c r="B1905" s="112" t="s">
        <v>953</v>
      </c>
      <c r="C1905" s="114" t="s">
        <v>954</v>
      </c>
      <c r="D1905" s="114" t="s">
        <v>955</v>
      </c>
      <c r="E1905" s="114" t="s">
        <v>956</v>
      </c>
      <c r="F1905" s="117">
        <v>46127</v>
      </c>
      <c r="G1905" s="114" t="s">
        <v>1605</v>
      </c>
      <c r="H1905" s="114" t="s">
        <v>833</v>
      </c>
      <c r="I1905" s="136">
        <v>4500</v>
      </c>
      <c r="J1905" s="136">
        <v>0</v>
      </c>
      <c r="K1905" s="130">
        <f t="shared" si="114"/>
        <v>4500</v>
      </c>
      <c r="L1905" s="136">
        <v>4500</v>
      </c>
      <c r="M1905" s="136"/>
      <c r="N1905" s="131">
        <f t="shared" si="113"/>
        <v>0</v>
      </c>
      <c r="O1905" s="114" t="s">
        <v>1604</v>
      </c>
      <c r="P1905" s="269"/>
      <c r="XFC1905"/>
    </row>
    <row r="1906" s="84" customFormat="1" spans="1:16383">
      <c r="A1906" s="302">
        <v>46113</v>
      </c>
      <c r="B1906" s="112" t="s">
        <v>953</v>
      </c>
      <c r="C1906" s="114" t="s">
        <v>954</v>
      </c>
      <c r="D1906" s="114" t="s">
        <v>955</v>
      </c>
      <c r="E1906" s="114" t="s">
        <v>956</v>
      </c>
      <c r="F1906" s="117">
        <v>46127</v>
      </c>
      <c r="G1906" s="114" t="s">
        <v>1606</v>
      </c>
      <c r="H1906" s="114" t="s">
        <v>833</v>
      </c>
      <c r="I1906" s="136">
        <v>4500</v>
      </c>
      <c r="J1906" s="136">
        <v>0</v>
      </c>
      <c r="K1906" s="130">
        <f t="shared" si="114"/>
        <v>4500</v>
      </c>
      <c r="L1906" s="136">
        <v>4500</v>
      </c>
      <c r="M1906" s="136"/>
      <c r="N1906" s="131">
        <f t="shared" si="113"/>
        <v>0</v>
      </c>
      <c r="O1906" s="114" t="s">
        <v>1604</v>
      </c>
      <c r="P1906" s="269"/>
      <c r="XFC1906"/>
    </row>
    <row r="1907" s="84" customFormat="1" spans="1:16383">
      <c r="A1907" s="302">
        <v>46113</v>
      </c>
      <c r="B1907" s="121" t="s">
        <v>679</v>
      </c>
      <c r="C1907" s="114" t="s">
        <v>680</v>
      </c>
      <c r="D1907" s="114" t="s">
        <v>681</v>
      </c>
      <c r="E1907" s="114" t="s">
        <v>682</v>
      </c>
      <c r="F1907" s="117">
        <v>46127</v>
      </c>
      <c r="G1907" s="114" t="s">
        <v>1338</v>
      </c>
      <c r="H1907" s="114" t="s">
        <v>23</v>
      </c>
      <c r="I1907" s="136">
        <v>6500</v>
      </c>
      <c r="J1907" s="136">
        <v>500</v>
      </c>
      <c r="K1907" s="130">
        <f t="shared" si="114"/>
        <v>6000</v>
      </c>
      <c r="L1907" s="136">
        <v>4339</v>
      </c>
      <c r="M1907" s="136"/>
      <c r="N1907" s="131">
        <f t="shared" si="113"/>
        <v>1661</v>
      </c>
      <c r="O1907" s="114" t="s">
        <v>1607</v>
      </c>
      <c r="P1907" s="269"/>
      <c r="XFC1907"/>
    </row>
    <row r="1908" s="84" customFormat="1" spans="1:16383">
      <c r="A1908" s="302">
        <v>46113</v>
      </c>
      <c r="B1908" s="121" t="s">
        <v>679</v>
      </c>
      <c r="C1908" s="114" t="s">
        <v>680</v>
      </c>
      <c r="D1908" s="114" t="s">
        <v>681</v>
      </c>
      <c r="E1908" s="114" t="s">
        <v>682</v>
      </c>
      <c r="F1908" s="117">
        <v>46127</v>
      </c>
      <c r="G1908" s="114" t="s">
        <v>1338</v>
      </c>
      <c r="H1908" s="114" t="s">
        <v>21</v>
      </c>
      <c r="I1908" s="136">
        <v>25278.5</v>
      </c>
      <c r="J1908" s="136">
        <v>15278.5</v>
      </c>
      <c r="K1908" s="130">
        <f t="shared" si="114"/>
        <v>10000</v>
      </c>
      <c r="L1908" s="136">
        <v>10000</v>
      </c>
      <c r="M1908" s="136"/>
      <c r="N1908" s="131">
        <f t="shared" si="113"/>
        <v>0</v>
      </c>
      <c r="O1908" s="114" t="s">
        <v>1607</v>
      </c>
      <c r="P1908" s="269"/>
      <c r="XFC1908"/>
    </row>
    <row r="1909" s="84" customFormat="1" spans="1:16383">
      <c r="A1909" s="302">
        <v>46113</v>
      </c>
      <c r="B1909" s="121" t="s">
        <v>930</v>
      </c>
      <c r="C1909" s="114" t="s">
        <v>931</v>
      </c>
      <c r="D1909" s="114" t="s">
        <v>1224</v>
      </c>
      <c r="E1909" s="114" t="s">
        <v>933</v>
      </c>
      <c r="F1909" s="117">
        <v>46127</v>
      </c>
      <c r="G1909" s="114" t="s">
        <v>1608</v>
      </c>
      <c r="H1909" s="114" t="s">
        <v>833</v>
      </c>
      <c r="I1909" s="136">
        <v>838.71</v>
      </c>
      <c r="J1909" s="136">
        <v>0</v>
      </c>
      <c r="K1909" s="130">
        <f t="shared" si="114"/>
        <v>838.71</v>
      </c>
      <c r="L1909" s="136">
        <v>838.71</v>
      </c>
      <c r="M1909" s="136"/>
      <c r="N1909" s="131">
        <f t="shared" si="113"/>
        <v>0</v>
      </c>
      <c r="O1909" s="114" t="s">
        <v>572</v>
      </c>
      <c r="P1909" s="269"/>
      <c r="XFC1909"/>
    </row>
    <row r="1910" s="84" customFormat="1" spans="1:16383">
      <c r="A1910" s="302">
        <v>46113</v>
      </c>
      <c r="B1910" s="121" t="s">
        <v>930</v>
      </c>
      <c r="C1910" s="114" t="s">
        <v>931</v>
      </c>
      <c r="D1910" s="114" t="s">
        <v>1224</v>
      </c>
      <c r="E1910" s="114" t="s">
        <v>933</v>
      </c>
      <c r="F1910" s="117">
        <v>46127</v>
      </c>
      <c r="G1910" s="114" t="s">
        <v>1448</v>
      </c>
      <c r="H1910" s="114" t="s">
        <v>833</v>
      </c>
      <c r="I1910" s="136">
        <v>1300</v>
      </c>
      <c r="J1910" s="136">
        <v>0</v>
      </c>
      <c r="K1910" s="130">
        <f t="shared" si="114"/>
        <v>1300</v>
      </c>
      <c r="L1910" s="136">
        <v>1300</v>
      </c>
      <c r="M1910" s="136"/>
      <c r="N1910" s="131">
        <f t="shared" si="113"/>
        <v>0</v>
      </c>
      <c r="O1910" s="114" t="s">
        <v>572</v>
      </c>
      <c r="P1910" s="269"/>
      <c r="XFC1910"/>
    </row>
    <row r="1911" s="84" customFormat="1" spans="1:16383">
      <c r="A1911" s="302">
        <v>46113</v>
      </c>
      <c r="B1911" s="121" t="s">
        <v>930</v>
      </c>
      <c r="C1911" s="114" t="s">
        <v>931</v>
      </c>
      <c r="D1911" s="114" t="s">
        <v>1224</v>
      </c>
      <c r="E1911" s="114" t="s">
        <v>933</v>
      </c>
      <c r="F1911" s="117">
        <v>46127</v>
      </c>
      <c r="G1911" s="114" t="s">
        <v>1338</v>
      </c>
      <c r="H1911" s="114" t="s">
        <v>833</v>
      </c>
      <c r="I1911" s="136">
        <v>1300</v>
      </c>
      <c r="J1911" s="136">
        <v>0</v>
      </c>
      <c r="K1911" s="130">
        <f t="shared" si="114"/>
        <v>1300</v>
      </c>
      <c r="L1911" s="136">
        <v>1300</v>
      </c>
      <c r="M1911" s="136"/>
      <c r="N1911" s="131">
        <f t="shared" si="113"/>
        <v>0</v>
      </c>
      <c r="O1911" s="114" t="s">
        <v>572</v>
      </c>
      <c r="P1911" s="269"/>
      <c r="XFC1911"/>
    </row>
    <row r="1912" s="84" customFormat="1" spans="1:16383">
      <c r="A1912" s="302">
        <v>46113</v>
      </c>
      <c r="B1912" s="121" t="s">
        <v>16</v>
      </c>
      <c r="C1912" s="114" t="s">
        <v>52</v>
      </c>
      <c r="D1912" s="114" t="s">
        <v>53</v>
      </c>
      <c r="E1912" s="114" t="s">
        <v>54</v>
      </c>
      <c r="F1912" s="117">
        <v>46127</v>
      </c>
      <c r="G1912" s="114" t="s">
        <v>1338</v>
      </c>
      <c r="H1912" s="114" t="s">
        <v>23</v>
      </c>
      <c r="I1912" s="136">
        <v>7315</v>
      </c>
      <c r="J1912" s="136">
        <v>0</v>
      </c>
      <c r="K1912" s="130">
        <f t="shared" si="114"/>
        <v>7315</v>
      </c>
      <c r="L1912" s="136">
        <v>7315</v>
      </c>
      <c r="M1912" s="136"/>
      <c r="N1912" s="131">
        <f t="shared" si="113"/>
        <v>0</v>
      </c>
      <c r="O1912" s="114" t="s">
        <v>1609</v>
      </c>
      <c r="P1912" s="269"/>
      <c r="XFC1912"/>
    </row>
    <row r="1913" s="84" customFormat="1" spans="1:16383">
      <c r="A1913" s="302">
        <v>46113</v>
      </c>
      <c r="B1913" s="121" t="s">
        <v>16</v>
      </c>
      <c r="C1913" s="114" t="s">
        <v>52</v>
      </c>
      <c r="D1913" s="114" t="s">
        <v>53</v>
      </c>
      <c r="E1913" s="114" t="s">
        <v>54</v>
      </c>
      <c r="F1913" s="117">
        <v>46127</v>
      </c>
      <c r="G1913" s="114" t="s">
        <v>1338</v>
      </c>
      <c r="H1913" s="114" t="s">
        <v>21</v>
      </c>
      <c r="I1913" s="136">
        <v>8360</v>
      </c>
      <c r="J1913" s="136">
        <v>0</v>
      </c>
      <c r="K1913" s="130">
        <f t="shared" si="114"/>
        <v>8360</v>
      </c>
      <c r="L1913" s="136">
        <f>8085+275</f>
        <v>8360</v>
      </c>
      <c r="M1913" s="136"/>
      <c r="N1913" s="131">
        <f t="shared" si="113"/>
        <v>0</v>
      </c>
      <c r="O1913" s="114" t="s">
        <v>1610</v>
      </c>
      <c r="P1913" s="269"/>
      <c r="XFC1913"/>
    </row>
    <row r="1914" s="84" customFormat="1" spans="1:16383">
      <c r="A1914" s="302">
        <v>46113</v>
      </c>
      <c r="B1914" s="121" t="s">
        <v>16</v>
      </c>
      <c r="C1914" s="114" t="s">
        <v>17</v>
      </c>
      <c r="D1914" s="114" t="s">
        <v>18</v>
      </c>
      <c r="E1914" s="114" t="s">
        <v>19</v>
      </c>
      <c r="F1914" s="117">
        <v>46127</v>
      </c>
      <c r="G1914" s="114" t="s">
        <v>1448</v>
      </c>
      <c r="H1914" s="114" t="s">
        <v>23</v>
      </c>
      <c r="I1914" s="136">
        <v>4890</v>
      </c>
      <c r="J1914" s="136">
        <v>0</v>
      </c>
      <c r="K1914" s="130">
        <f t="shared" si="114"/>
        <v>4890</v>
      </c>
      <c r="L1914" s="136">
        <v>4890</v>
      </c>
      <c r="M1914" s="136"/>
      <c r="N1914" s="131">
        <f t="shared" si="113"/>
        <v>0</v>
      </c>
      <c r="O1914" s="114" t="s">
        <v>572</v>
      </c>
      <c r="P1914" s="269"/>
      <c r="XFC1914"/>
    </row>
    <row r="1915" s="84" customFormat="1" spans="1:16383">
      <c r="A1915" s="302">
        <v>46113</v>
      </c>
      <c r="B1915" s="121" t="s">
        <v>16</v>
      </c>
      <c r="C1915" s="114" t="s">
        <v>17</v>
      </c>
      <c r="D1915" s="114" t="s">
        <v>18</v>
      </c>
      <c r="E1915" s="114" t="s">
        <v>19</v>
      </c>
      <c r="F1915" s="117">
        <v>46127</v>
      </c>
      <c r="G1915" s="114" t="s">
        <v>1338</v>
      </c>
      <c r="H1915" s="114" t="s">
        <v>23</v>
      </c>
      <c r="I1915" s="136">
        <v>4890</v>
      </c>
      <c r="J1915" s="136">
        <v>0</v>
      </c>
      <c r="K1915" s="130">
        <f t="shared" si="114"/>
        <v>4890</v>
      </c>
      <c r="L1915" s="136">
        <v>4890</v>
      </c>
      <c r="M1915" s="136"/>
      <c r="N1915" s="131">
        <f t="shared" si="113"/>
        <v>0</v>
      </c>
      <c r="O1915" s="114" t="s">
        <v>572</v>
      </c>
      <c r="P1915" s="269"/>
      <c r="XFC1915"/>
    </row>
    <row r="1916" s="84" customFormat="1" spans="1:16383">
      <c r="A1916" s="302">
        <v>46113</v>
      </c>
      <c r="B1916" s="121" t="s">
        <v>16</v>
      </c>
      <c r="C1916" s="114" t="s">
        <v>17</v>
      </c>
      <c r="D1916" s="114" t="s">
        <v>18</v>
      </c>
      <c r="E1916" s="114" t="s">
        <v>19</v>
      </c>
      <c r="F1916" s="117">
        <v>46127</v>
      </c>
      <c r="G1916" s="114" t="s">
        <v>1448</v>
      </c>
      <c r="H1916" s="114" t="s">
        <v>21</v>
      </c>
      <c r="I1916" s="136">
        <v>5379</v>
      </c>
      <c r="J1916" s="136">
        <v>0</v>
      </c>
      <c r="K1916" s="130">
        <f t="shared" si="114"/>
        <v>5379</v>
      </c>
      <c r="L1916" s="136">
        <v>5379</v>
      </c>
      <c r="M1916" s="136"/>
      <c r="N1916" s="131">
        <f t="shared" si="113"/>
        <v>0</v>
      </c>
      <c r="O1916" s="114" t="s">
        <v>572</v>
      </c>
      <c r="P1916" s="269"/>
      <c r="XFC1916"/>
    </row>
    <row r="1917" s="84" customFormat="1" spans="1:16383">
      <c r="A1917" s="302">
        <v>46113</v>
      </c>
      <c r="B1917" s="121" t="s">
        <v>16</v>
      </c>
      <c r="C1917" s="114" t="s">
        <v>17</v>
      </c>
      <c r="D1917" s="114" t="s">
        <v>18</v>
      </c>
      <c r="E1917" s="114" t="s">
        <v>19</v>
      </c>
      <c r="F1917" s="117">
        <v>46127</v>
      </c>
      <c r="G1917" s="114" t="s">
        <v>1338</v>
      </c>
      <c r="H1917" s="114" t="s">
        <v>21</v>
      </c>
      <c r="I1917" s="136">
        <v>5379</v>
      </c>
      <c r="J1917" s="136">
        <v>0</v>
      </c>
      <c r="K1917" s="130">
        <f t="shared" si="114"/>
        <v>5379</v>
      </c>
      <c r="L1917" s="136">
        <v>5379</v>
      </c>
      <c r="M1917" s="136"/>
      <c r="N1917" s="131">
        <f t="shared" si="113"/>
        <v>0</v>
      </c>
      <c r="O1917" s="114" t="s">
        <v>572</v>
      </c>
      <c r="P1917" s="269"/>
      <c r="XFC1917"/>
    </row>
    <row r="1918" s="84" customFormat="1" spans="1:16383">
      <c r="A1918" s="302">
        <v>46113</v>
      </c>
      <c r="B1918" s="121" t="s">
        <v>630</v>
      </c>
      <c r="C1918" s="114" t="s">
        <v>920</v>
      </c>
      <c r="D1918" s="114" t="s">
        <v>921</v>
      </c>
      <c r="E1918" s="114" t="s">
        <v>922</v>
      </c>
      <c r="F1918" s="117">
        <v>46127</v>
      </c>
      <c r="G1918" s="114" t="s">
        <v>1582</v>
      </c>
      <c r="H1918" s="114" t="s">
        <v>833</v>
      </c>
      <c r="I1918" s="136">
        <v>6273</v>
      </c>
      <c r="J1918" s="136">
        <v>0</v>
      </c>
      <c r="K1918" s="130">
        <f t="shared" si="114"/>
        <v>6273</v>
      </c>
      <c r="L1918" s="136">
        <v>5997</v>
      </c>
      <c r="M1918" s="136"/>
      <c r="N1918" s="131">
        <f t="shared" si="113"/>
        <v>276</v>
      </c>
      <c r="O1918" s="114" t="s">
        <v>1611</v>
      </c>
      <c r="P1918" s="269"/>
      <c r="XFC1918"/>
    </row>
    <row r="1919" s="84" customFormat="1" spans="1:16383">
      <c r="A1919" s="302">
        <v>46113</v>
      </c>
      <c r="B1919" s="121" t="s">
        <v>630</v>
      </c>
      <c r="C1919" s="114" t="s">
        <v>920</v>
      </c>
      <c r="D1919" s="114" t="s">
        <v>921</v>
      </c>
      <c r="E1919" s="114" t="s">
        <v>922</v>
      </c>
      <c r="F1919" s="117">
        <v>46127</v>
      </c>
      <c r="G1919" s="114" t="s">
        <v>1448</v>
      </c>
      <c r="H1919" s="114" t="s">
        <v>833</v>
      </c>
      <c r="I1919" s="136">
        <v>6273</v>
      </c>
      <c r="J1919" s="136">
        <v>0</v>
      </c>
      <c r="K1919" s="130">
        <f t="shared" si="114"/>
        <v>6273</v>
      </c>
      <c r="L1919" s="136">
        <v>6273</v>
      </c>
      <c r="M1919" s="136"/>
      <c r="N1919" s="131">
        <f t="shared" si="113"/>
        <v>0</v>
      </c>
      <c r="O1919" s="114" t="s">
        <v>1611</v>
      </c>
      <c r="P1919" s="269"/>
      <c r="XFC1919"/>
    </row>
    <row r="1920" s="84" customFormat="1" spans="1:16383">
      <c r="A1920" s="302">
        <v>46113</v>
      </c>
      <c r="B1920" s="121" t="s">
        <v>630</v>
      </c>
      <c r="C1920" s="114" t="s">
        <v>920</v>
      </c>
      <c r="D1920" s="114" t="s">
        <v>921</v>
      </c>
      <c r="E1920" s="114" t="s">
        <v>922</v>
      </c>
      <c r="F1920" s="117">
        <v>46127</v>
      </c>
      <c r="G1920" s="114" t="s">
        <v>1338</v>
      </c>
      <c r="H1920" s="114" t="s">
        <v>833</v>
      </c>
      <c r="I1920" s="136">
        <v>6273</v>
      </c>
      <c r="J1920" s="136">
        <v>0</v>
      </c>
      <c r="K1920" s="130">
        <f t="shared" si="114"/>
        <v>6273</v>
      </c>
      <c r="L1920" s="136">
        <f>543+5730</f>
        <v>6273</v>
      </c>
      <c r="M1920" s="136"/>
      <c r="N1920" s="131">
        <f t="shared" si="113"/>
        <v>0</v>
      </c>
      <c r="O1920" s="114" t="s">
        <v>1612</v>
      </c>
      <c r="P1920" s="269"/>
      <c r="XFC1920"/>
    </row>
    <row r="1921" s="84" customFormat="1" spans="1:16383">
      <c r="A1921" s="302">
        <v>46113</v>
      </c>
      <c r="B1921" s="121" t="s">
        <v>630</v>
      </c>
      <c r="C1921" s="114" t="s">
        <v>675</v>
      </c>
      <c r="D1921" s="114" t="s">
        <v>676</v>
      </c>
      <c r="E1921" s="114" t="s">
        <v>677</v>
      </c>
      <c r="F1921" s="117">
        <v>46127</v>
      </c>
      <c r="G1921" s="114" t="s">
        <v>1582</v>
      </c>
      <c r="H1921" s="114" t="s">
        <v>23</v>
      </c>
      <c r="I1921" s="136">
        <v>990</v>
      </c>
      <c r="J1921" s="136">
        <v>0</v>
      </c>
      <c r="K1921" s="130">
        <f t="shared" si="114"/>
        <v>990</v>
      </c>
      <c r="L1921" s="136">
        <v>990</v>
      </c>
      <c r="M1921" s="136"/>
      <c r="N1921" s="131">
        <f t="shared" si="113"/>
        <v>0</v>
      </c>
      <c r="O1921" s="114" t="s">
        <v>1613</v>
      </c>
      <c r="P1921" s="269"/>
      <c r="XFC1921"/>
    </row>
    <row r="1922" s="84" customFormat="1" spans="1:16383">
      <c r="A1922" s="302">
        <v>46113</v>
      </c>
      <c r="B1922" s="121" t="s">
        <v>630</v>
      </c>
      <c r="C1922" s="114" t="s">
        <v>675</v>
      </c>
      <c r="D1922" s="114" t="s">
        <v>676</v>
      </c>
      <c r="E1922" s="114" t="s">
        <v>677</v>
      </c>
      <c r="F1922" s="117">
        <v>46127</v>
      </c>
      <c r="G1922" s="114" t="s">
        <v>1448</v>
      </c>
      <c r="H1922" s="114" t="s">
        <v>23</v>
      </c>
      <c r="I1922" s="136">
        <v>990</v>
      </c>
      <c r="J1922" s="136">
        <v>0</v>
      </c>
      <c r="K1922" s="130">
        <f t="shared" si="114"/>
        <v>990</v>
      </c>
      <c r="L1922" s="136">
        <v>990</v>
      </c>
      <c r="M1922" s="136"/>
      <c r="N1922" s="131">
        <f t="shared" si="113"/>
        <v>0</v>
      </c>
      <c r="O1922" s="114" t="s">
        <v>1613</v>
      </c>
      <c r="P1922" s="269"/>
      <c r="XFC1922"/>
    </row>
    <row r="1923" s="84" customFormat="1" spans="1:16383">
      <c r="A1923" s="302">
        <v>46113</v>
      </c>
      <c r="B1923" s="121" t="s">
        <v>630</v>
      </c>
      <c r="C1923" s="114" t="s">
        <v>675</v>
      </c>
      <c r="D1923" s="114" t="s">
        <v>676</v>
      </c>
      <c r="E1923" s="114" t="s">
        <v>677</v>
      </c>
      <c r="F1923" s="117">
        <v>46127</v>
      </c>
      <c r="G1923" s="114" t="s">
        <v>1338</v>
      </c>
      <c r="H1923" s="114" t="s">
        <v>23</v>
      </c>
      <c r="I1923" s="136">
        <v>990</v>
      </c>
      <c r="J1923" s="136">
        <v>0</v>
      </c>
      <c r="K1923" s="130">
        <f t="shared" si="114"/>
        <v>990</v>
      </c>
      <c r="L1923" s="136">
        <v>990</v>
      </c>
      <c r="M1923" s="136"/>
      <c r="N1923" s="131">
        <f t="shared" si="113"/>
        <v>0</v>
      </c>
      <c r="O1923" s="114" t="s">
        <v>1613</v>
      </c>
      <c r="P1923" s="269"/>
      <c r="XFC1923"/>
    </row>
    <row r="1924" s="84" customFormat="1" spans="1:16383">
      <c r="A1924" s="302">
        <v>46113</v>
      </c>
      <c r="B1924" s="121" t="s">
        <v>630</v>
      </c>
      <c r="C1924" s="114" t="s">
        <v>675</v>
      </c>
      <c r="D1924" s="114" t="s">
        <v>676</v>
      </c>
      <c r="E1924" s="114" t="s">
        <v>677</v>
      </c>
      <c r="F1924" s="117">
        <v>46127</v>
      </c>
      <c r="G1924" s="114" t="s">
        <v>1582</v>
      </c>
      <c r="H1924" s="114" t="s">
        <v>21</v>
      </c>
      <c r="I1924" s="136">
        <v>1360</v>
      </c>
      <c r="J1924" s="136">
        <v>0</v>
      </c>
      <c r="K1924" s="130">
        <f t="shared" si="114"/>
        <v>1360</v>
      </c>
      <c r="L1924" s="136">
        <v>1360</v>
      </c>
      <c r="M1924" s="136"/>
      <c r="N1924" s="131">
        <f t="shared" si="113"/>
        <v>0</v>
      </c>
      <c r="O1924" s="114" t="s">
        <v>1613</v>
      </c>
      <c r="P1924" s="269"/>
      <c r="XFC1924"/>
    </row>
    <row r="1925" s="84" customFormat="1" spans="1:16383">
      <c r="A1925" s="302">
        <v>46113</v>
      </c>
      <c r="B1925" s="121" t="s">
        <v>630</v>
      </c>
      <c r="C1925" s="114" t="s">
        <v>675</v>
      </c>
      <c r="D1925" s="114" t="s">
        <v>676</v>
      </c>
      <c r="E1925" s="114" t="s">
        <v>677</v>
      </c>
      <c r="F1925" s="117">
        <v>46127</v>
      </c>
      <c r="G1925" s="114" t="s">
        <v>1448</v>
      </c>
      <c r="H1925" s="114" t="s">
        <v>21</v>
      </c>
      <c r="I1925" s="136">
        <v>1360</v>
      </c>
      <c r="J1925" s="136">
        <v>0</v>
      </c>
      <c r="K1925" s="130">
        <f t="shared" si="114"/>
        <v>1360</v>
      </c>
      <c r="L1925" s="136">
        <v>1360</v>
      </c>
      <c r="M1925" s="136"/>
      <c r="N1925" s="131">
        <f t="shared" si="113"/>
        <v>0</v>
      </c>
      <c r="O1925" s="114" t="s">
        <v>1613</v>
      </c>
      <c r="P1925" s="269"/>
      <c r="XFC1925"/>
    </row>
    <row r="1926" s="84" customFormat="1" spans="1:16383">
      <c r="A1926" s="302">
        <v>46113</v>
      </c>
      <c r="B1926" s="121" t="s">
        <v>630</v>
      </c>
      <c r="C1926" s="114" t="s">
        <v>675</v>
      </c>
      <c r="D1926" s="114" t="s">
        <v>676</v>
      </c>
      <c r="E1926" s="114" t="s">
        <v>677</v>
      </c>
      <c r="F1926" s="117">
        <v>46127</v>
      </c>
      <c r="G1926" s="114" t="s">
        <v>1338</v>
      </c>
      <c r="H1926" s="114" t="s">
        <v>21</v>
      </c>
      <c r="I1926" s="136">
        <v>1360</v>
      </c>
      <c r="J1926" s="136">
        <v>0</v>
      </c>
      <c r="K1926" s="130">
        <f t="shared" si="114"/>
        <v>1360</v>
      </c>
      <c r="L1926" s="136">
        <v>1360</v>
      </c>
      <c r="M1926" s="136"/>
      <c r="N1926" s="131">
        <f t="shared" si="113"/>
        <v>0</v>
      </c>
      <c r="O1926" s="114" t="s">
        <v>1613</v>
      </c>
      <c r="P1926" s="269"/>
      <c r="XFC1926"/>
    </row>
    <row r="1927" s="84" customFormat="1" spans="1:16383">
      <c r="A1927" s="302">
        <v>46113</v>
      </c>
      <c r="B1927" s="121" t="s">
        <v>679</v>
      </c>
      <c r="C1927" s="114" t="s">
        <v>1122</v>
      </c>
      <c r="D1927" s="114" t="s">
        <v>1123</v>
      </c>
      <c r="E1927" s="114" t="s">
        <v>1124</v>
      </c>
      <c r="F1927" s="117">
        <v>46127</v>
      </c>
      <c r="G1927" s="114" t="s">
        <v>1448</v>
      </c>
      <c r="H1927" s="114" t="s">
        <v>23</v>
      </c>
      <c r="I1927" s="136">
        <v>2800</v>
      </c>
      <c r="J1927" s="136">
        <v>0</v>
      </c>
      <c r="K1927" s="130">
        <f t="shared" si="114"/>
        <v>2800</v>
      </c>
      <c r="L1927" s="136">
        <v>2800</v>
      </c>
      <c r="M1927" s="136"/>
      <c r="N1927" s="131">
        <f t="shared" si="113"/>
        <v>0</v>
      </c>
      <c r="O1927" s="114" t="s">
        <v>1614</v>
      </c>
      <c r="P1927" s="269"/>
      <c r="XFC1927"/>
    </row>
    <row r="1928" s="84" customFormat="1" spans="1:16383">
      <c r="A1928" s="302">
        <v>46113</v>
      </c>
      <c r="B1928" s="121" t="s">
        <v>679</v>
      </c>
      <c r="C1928" s="114" t="s">
        <v>1122</v>
      </c>
      <c r="D1928" s="114" t="s">
        <v>1123</v>
      </c>
      <c r="E1928" s="114" t="s">
        <v>1124</v>
      </c>
      <c r="F1928" s="117">
        <v>46127</v>
      </c>
      <c r="G1928" s="114" t="s">
        <v>1338</v>
      </c>
      <c r="H1928" s="114" t="s">
        <v>23</v>
      </c>
      <c r="I1928" s="136">
        <v>2800</v>
      </c>
      <c r="J1928" s="136">
        <v>0</v>
      </c>
      <c r="K1928" s="130">
        <f t="shared" si="114"/>
        <v>2800</v>
      </c>
      <c r="L1928" s="136">
        <v>2800</v>
      </c>
      <c r="M1928" s="136"/>
      <c r="N1928" s="131">
        <f t="shared" si="113"/>
        <v>0</v>
      </c>
      <c r="O1928" s="114" t="s">
        <v>1614</v>
      </c>
      <c r="P1928" s="269"/>
      <c r="XFC1928"/>
    </row>
    <row r="1929" s="84" customFormat="1" spans="1:16383">
      <c r="A1929" s="302">
        <v>46113</v>
      </c>
      <c r="B1929" s="121" t="s">
        <v>679</v>
      </c>
      <c r="C1929" s="114" t="s">
        <v>1122</v>
      </c>
      <c r="D1929" s="114" t="s">
        <v>1123</v>
      </c>
      <c r="E1929" s="114" t="s">
        <v>1124</v>
      </c>
      <c r="F1929" s="117">
        <v>46127</v>
      </c>
      <c r="G1929" s="114" t="s">
        <v>1448</v>
      </c>
      <c r="H1929" s="114" t="s">
        <v>21</v>
      </c>
      <c r="I1929" s="136">
        <v>5320</v>
      </c>
      <c r="J1929" s="136">
        <v>0</v>
      </c>
      <c r="K1929" s="130">
        <f t="shared" si="114"/>
        <v>5320</v>
      </c>
      <c r="L1929" s="136">
        <v>5320</v>
      </c>
      <c r="M1929" s="136"/>
      <c r="N1929" s="131">
        <f t="shared" si="113"/>
        <v>0</v>
      </c>
      <c r="O1929" s="114" t="s">
        <v>1614</v>
      </c>
      <c r="P1929" s="269"/>
      <c r="XFC1929"/>
    </row>
    <row r="1930" s="84" customFormat="1" spans="1:16383">
      <c r="A1930" s="302">
        <v>46113</v>
      </c>
      <c r="B1930" s="121" t="s">
        <v>679</v>
      </c>
      <c r="C1930" s="114" t="s">
        <v>1122</v>
      </c>
      <c r="D1930" s="114" t="s">
        <v>1123</v>
      </c>
      <c r="E1930" s="114" t="s">
        <v>1124</v>
      </c>
      <c r="F1930" s="117">
        <v>46127</v>
      </c>
      <c r="G1930" s="114" t="s">
        <v>1338</v>
      </c>
      <c r="H1930" s="114" t="s">
        <v>21</v>
      </c>
      <c r="I1930" s="136">
        <v>5320</v>
      </c>
      <c r="J1930" s="136">
        <v>0</v>
      </c>
      <c r="K1930" s="130">
        <f t="shared" si="114"/>
        <v>5320</v>
      </c>
      <c r="L1930" s="136">
        <v>5320</v>
      </c>
      <c r="M1930" s="136"/>
      <c r="N1930" s="131">
        <f t="shared" si="113"/>
        <v>0</v>
      </c>
      <c r="O1930" s="114" t="s">
        <v>1614</v>
      </c>
      <c r="P1930" s="269"/>
      <c r="XFC1930"/>
    </row>
    <row r="1931" s="84" customFormat="1" spans="1:16383">
      <c r="A1931" s="302">
        <v>46113</v>
      </c>
      <c r="B1931" s="121" t="s">
        <v>285</v>
      </c>
      <c r="C1931" s="114" t="s">
        <v>383</v>
      </c>
      <c r="D1931" s="114" t="s">
        <v>384</v>
      </c>
      <c r="E1931" s="114" t="s">
        <v>391</v>
      </c>
      <c r="F1931" s="117">
        <v>46127</v>
      </c>
      <c r="G1931" s="114" t="s">
        <v>1338</v>
      </c>
      <c r="H1931" s="114" t="s">
        <v>23</v>
      </c>
      <c r="I1931" s="136">
        <v>9170</v>
      </c>
      <c r="J1931" s="136">
        <v>0</v>
      </c>
      <c r="K1931" s="130">
        <f t="shared" si="114"/>
        <v>9170</v>
      </c>
      <c r="L1931" s="136">
        <v>9170</v>
      </c>
      <c r="M1931" s="136"/>
      <c r="N1931" s="131">
        <f t="shared" si="113"/>
        <v>0</v>
      </c>
      <c r="O1931" s="114" t="s">
        <v>1615</v>
      </c>
      <c r="P1931" s="269"/>
      <c r="XFC1931"/>
    </row>
    <row r="1932" s="84" customFormat="1" spans="1:16383">
      <c r="A1932" s="302">
        <v>46113</v>
      </c>
      <c r="B1932" s="121" t="s">
        <v>285</v>
      </c>
      <c r="C1932" s="114" t="s">
        <v>383</v>
      </c>
      <c r="D1932" s="114" t="s">
        <v>384</v>
      </c>
      <c r="E1932" s="114" t="s">
        <v>391</v>
      </c>
      <c r="F1932" s="117">
        <v>46127</v>
      </c>
      <c r="G1932" s="114" t="s">
        <v>1338</v>
      </c>
      <c r="H1932" s="114" t="s">
        <v>21</v>
      </c>
      <c r="I1932" s="136">
        <v>9170</v>
      </c>
      <c r="J1932" s="136">
        <v>0</v>
      </c>
      <c r="K1932" s="130">
        <f t="shared" si="114"/>
        <v>9170</v>
      </c>
      <c r="L1932" s="136">
        <v>9170</v>
      </c>
      <c r="M1932" s="136"/>
      <c r="N1932" s="131">
        <f t="shared" si="113"/>
        <v>0</v>
      </c>
      <c r="O1932" s="114" t="s">
        <v>1615</v>
      </c>
      <c r="P1932" s="269"/>
      <c r="XFC1932"/>
    </row>
    <row r="1933" s="84" customFormat="1" spans="1:16383">
      <c r="A1933" s="302">
        <v>46113</v>
      </c>
      <c r="B1933" s="121" t="s">
        <v>16</v>
      </c>
      <c r="C1933" s="114" t="s">
        <v>245</v>
      </c>
      <c r="D1933" s="114" t="s">
        <v>246</v>
      </c>
      <c r="E1933" s="114" t="s">
        <v>247</v>
      </c>
      <c r="F1933" s="117">
        <v>46127</v>
      </c>
      <c r="G1933" s="114" t="s">
        <v>1582</v>
      </c>
      <c r="H1933" s="114" t="s">
        <v>23</v>
      </c>
      <c r="I1933" s="136">
        <v>3520</v>
      </c>
      <c r="J1933" s="136">
        <v>0</v>
      </c>
      <c r="K1933" s="130">
        <f t="shared" si="114"/>
        <v>3520</v>
      </c>
      <c r="L1933" s="136">
        <v>3520</v>
      </c>
      <c r="M1933" s="136"/>
      <c r="N1933" s="131">
        <f t="shared" si="113"/>
        <v>0</v>
      </c>
      <c r="O1933" s="114" t="s">
        <v>1616</v>
      </c>
      <c r="P1933" s="269"/>
      <c r="XFC1933"/>
    </row>
    <row r="1934" s="84" customFormat="1" spans="1:16383">
      <c r="A1934" s="302">
        <v>46113</v>
      </c>
      <c r="B1934" s="121" t="s">
        <v>16</v>
      </c>
      <c r="C1934" s="114" t="s">
        <v>245</v>
      </c>
      <c r="D1934" s="114" t="s">
        <v>246</v>
      </c>
      <c r="E1934" s="114" t="s">
        <v>247</v>
      </c>
      <c r="F1934" s="117">
        <v>46127</v>
      </c>
      <c r="G1934" s="114" t="s">
        <v>1448</v>
      </c>
      <c r="H1934" s="114" t="s">
        <v>23</v>
      </c>
      <c r="I1934" s="136">
        <v>3520</v>
      </c>
      <c r="J1934" s="136">
        <v>0</v>
      </c>
      <c r="K1934" s="130">
        <f t="shared" si="114"/>
        <v>3520</v>
      </c>
      <c r="L1934" s="136">
        <v>3520</v>
      </c>
      <c r="M1934" s="136"/>
      <c r="N1934" s="131">
        <f t="shared" si="113"/>
        <v>0</v>
      </c>
      <c r="O1934" s="114" t="s">
        <v>1616</v>
      </c>
      <c r="P1934" s="269"/>
      <c r="XFC1934"/>
    </row>
    <row r="1935" s="84" customFormat="1" spans="1:16383">
      <c r="A1935" s="302">
        <v>46113</v>
      </c>
      <c r="B1935" s="121" t="s">
        <v>16</v>
      </c>
      <c r="C1935" s="114" t="s">
        <v>245</v>
      </c>
      <c r="D1935" s="114" t="s">
        <v>246</v>
      </c>
      <c r="E1935" s="114" t="s">
        <v>247</v>
      </c>
      <c r="F1935" s="117">
        <v>46127</v>
      </c>
      <c r="G1935" s="114" t="s">
        <v>1338</v>
      </c>
      <c r="H1935" s="114" t="s">
        <v>23</v>
      </c>
      <c r="I1935" s="136">
        <v>3520</v>
      </c>
      <c r="J1935" s="136">
        <v>0</v>
      </c>
      <c r="K1935" s="130">
        <f t="shared" si="114"/>
        <v>3520</v>
      </c>
      <c r="L1935" s="136">
        <v>3520</v>
      </c>
      <c r="M1935" s="136"/>
      <c r="N1935" s="131">
        <f t="shared" si="113"/>
        <v>0</v>
      </c>
      <c r="O1935" s="114" t="s">
        <v>1616</v>
      </c>
      <c r="P1935" s="269"/>
      <c r="XFC1935"/>
    </row>
    <row r="1936" s="84" customFormat="1" spans="1:16383">
      <c r="A1936" s="302">
        <v>46113</v>
      </c>
      <c r="B1936" s="121" t="s">
        <v>16</v>
      </c>
      <c r="C1936" s="114" t="s">
        <v>245</v>
      </c>
      <c r="D1936" s="114" t="s">
        <v>246</v>
      </c>
      <c r="E1936" s="114" t="s">
        <v>247</v>
      </c>
      <c r="F1936" s="117">
        <v>46127</v>
      </c>
      <c r="G1936" s="114" t="s">
        <v>1582</v>
      </c>
      <c r="H1936" s="114" t="s">
        <v>21</v>
      </c>
      <c r="I1936" s="136">
        <v>7969.28</v>
      </c>
      <c r="J1936" s="136">
        <v>0</v>
      </c>
      <c r="K1936" s="130">
        <f t="shared" si="114"/>
        <v>7969.28</v>
      </c>
      <c r="L1936" s="136">
        <v>7969.28</v>
      </c>
      <c r="M1936" s="136"/>
      <c r="N1936" s="131">
        <f t="shared" si="113"/>
        <v>0</v>
      </c>
      <c r="O1936" s="114" t="s">
        <v>1616</v>
      </c>
      <c r="P1936" s="269"/>
      <c r="XFC1936"/>
    </row>
    <row r="1937" s="84" customFormat="1" spans="1:16383">
      <c r="A1937" s="302">
        <v>46113</v>
      </c>
      <c r="B1937" s="121" t="s">
        <v>16</v>
      </c>
      <c r="C1937" s="114" t="s">
        <v>245</v>
      </c>
      <c r="D1937" s="114" t="s">
        <v>246</v>
      </c>
      <c r="E1937" s="114" t="s">
        <v>247</v>
      </c>
      <c r="F1937" s="117">
        <v>46127</v>
      </c>
      <c r="G1937" s="114" t="s">
        <v>1448</v>
      </c>
      <c r="H1937" s="114" t="s">
        <v>21</v>
      </c>
      <c r="I1937" s="136">
        <v>7969.28</v>
      </c>
      <c r="J1937" s="136">
        <v>0</v>
      </c>
      <c r="K1937" s="130">
        <f t="shared" si="114"/>
        <v>7969.28</v>
      </c>
      <c r="L1937" s="136">
        <v>7969.28</v>
      </c>
      <c r="M1937" s="136"/>
      <c r="N1937" s="131">
        <f t="shared" si="113"/>
        <v>0</v>
      </c>
      <c r="O1937" s="114" t="s">
        <v>1616</v>
      </c>
      <c r="P1937" s="269"/>
      <c r="XFC1937"/>
    </row>
    <row r="1938" s="84" customFormat="1" spans="1:16383">
      <c r="A1938" s="302">
        <v>46113</v>
      </c>
      <c r="B1938" s="121" t="s">
        <v>16</v>
      </c>
      <c r="C1938" s="114" t="s">
        <v>245</v>
      </c>
      <c r="D1938" s="114" t="s">
        <v>246</v>
      </c>
      <c r="E1938" s="114" t="s">
        <v>247</v>
      </c>
      <c r="F1938" s="117">
        <v>46127</v>
      </c>
      <c r="G1938" s="114" t="s">
        <v>1338</v>
      </c>
      <c r="H1938" s="114" t="s">
        <v>21</v>
      </c>
      <c r="I1938" s="136">
        <v>7969.28</v>
      </c>
      <c r="J1938" s="136">
        <v>0</v>
      </c>
      <c r="K1938" s="130">
        <f t="shared" si="114"/>
        <v>7969.28</v>
      </c>
      <c r="L1938" s="136">
        <v>7969.28</v>
      </c>
      <c r="M1938" s="136"/>
      <c r="N1938" s="131">
        <f t="shared" si="113"/>
        <v>0</v>
      </c>
      <c r="O1938" s="114" t="s">
        <v>1616</v>
      </c>
      <c r="P1938" s="269"/>
      <c r="XFC1938"/>
    </row>
    <row r="1939" s="84" customFormat="1" spans="1:16383">
      <c r="A1939" s="302">
        <v>46113</v>
      </c>
      <c r="B1939" s="121" t="s">
        <v>491</v>
      </c>
      <c r="C1939" s="114" t="s">
        <v>552</v>
      </c>
      <c r="D1939" s="114" t="s">
        <v>553</v>
      </c>
      <c r="E1939" s="114" t="s">
        <v>554</v>
      </c>
      <c r="F1939" s="117">
        <v>46127</v>
      </c>
      <c r="G1939" s="114" t="s">
        <v>1338</v>
      </c>
      <c r="H1939" s="114" t="s">
        <v>23</v>
      </c>
      <c r="I1939" s="136">
        <v>11030</v>
      </c>
      <c r="J1939" s="136">
        <v>0</v>
      </c>
      <c r="K1939" s="130">
        <f t="shared" si="114"/>
        <v>11030</v>
      </c>
      <c r="L1939" s="136">
        <v>11030</v>
      </c>
      <c r="M1939" s="136"/>
      <c r="N1939" s="131">
        <f t="shared" si="113"/>
        <v>0</v>
      </c>
      <c r="O1939" s="114" t="s">
        <v>1617</v>
      </c>
      <c r="P1939" s="269"/>
      <c r="XFC1939"/>
    </row>
    <row r="1940" s="84" customFormat="1" spans="1:16383">
      <c r="A1940" s="302">
        <v>46113</v>
      </c>
      <c r="B1940" s="121" t="s">
        <v>491</v>
      </c>
      <c r="C1940" s="114" t="s">
        <v>552</v>
      </c>
      <c r="D1940" s="114" t="s">
        <v>553</v>
      </c>
      <c r="E1940" s="114" t="s">
        <v>554</v>
      </c>
      <c r="F1940" s="117">
        <v>46127</v>
      </c>
      <c r="G1940" s="114" t="s">
        <v>1338</v>
      </c>
      <c r="H1940" s="114" t="s">
        <v>21</v>
      </c>
      <c r="I1940" s="136">
        <v>35296</v>
      </c>
      <c r="J1940" s="136">
        <v>0</v>
      </c>
      <c r="K1940" s="130">
        <f t="shared" si="114"/>
        <v>35296</v>
      </c>
      <c r="L1940" s="136">
        <v>35296</v>
      </c>
      <c r="M1940" s="136"/>
      <c r="N1940" s="131">
        <f t="shared" si="113"/>
        <v>0</v>
      </c>
      <c r="O1940" s="114" t="s">
        <v>1617</v>
      </c>
      <c r="P1940" s="269"/>
      <c r="XFC1940"/>
    </row>
    <row r="1941" s="84" customFormat="1" spans="1:16383">
      <c r="A1941" s="302">
        <v>46113</v>
      </c>
      <c r="B1941" s="121" t="s">
        <v>16</v>
      </c>
      <c r="C1941" s="114" t="s">
        <v>99</v>
      </c>
      <c r="D1941" s="114" t="s">
        <v>100</v>
      </c>
      <c r="E1941" s="114" t="s">
        <v>101</v>
      </c>
      <c r="F1941" s="117">
        <v>46127</v>
      </c>
      <c r="G1941" s="114" t="s">
        <v>1176</v>
      </c>
      <c r="H1941" s="114" t="s">
        <v>23</v>
      </c>
      <c r="I1941" s="136">
        <v>2860</v>
      </c>
      <c r="J1941" s="136">
        <v>0</v>
      </c>
      <c r="K1941" s="130">
        <f t="shared" si="114"/>
        <v>2860</v>
      </c>
      <c r="L1941" s="136">
        <v>2860</v>
      </c>
      <c r="M1941" s="136"/>
      <c r="N1941" s="131">
        <f t="shared" si="113"/>
        <v>0</v>
      </c>
      <c r="O1941" s="114" t="s">
        <v>1583</v>
      </c>
      <c r="P1941" s="269"/>
      <c r="XFC1941"/>
    </row>
    <row r="1942" s="84" customFormat="1" spans="1:16383">
      <c r="A1942" s="302">
        <v>46113</v>
      </c>
      <c r="B1942" s="121" t="s">
        <v>16</v>
      </c>
      <c r="C1942" s="114" t="s">
        <v>112</v>
      </c>
      <c r="D1942" s="114" t="s">
        <v>113</v>
      </c>
      <c r="E1942" s="114" t="s">
        <v>114</v>
      </c>
      <c r="F1942" s="117">
        <v>46127</v>
      </c>
      <c r="G1942" s="114" t="s">
        <v>1174</v>
      </c>
      <c r="H1942" s="114" t="s">
        <v>23</v>
      </c>
      <c r="I1942" s="136">
        <v>2760</v>
      </c>
      <c r="J1942" s="136">
        <v>0</v>
      </c>
      <c r="K1942" s="130">
        <f t="shared" si="114"/>
        <v>2760</v>
      </c>
      <c r="L1942" s="136">
        <v>2760</v>
      </c>
      <c r="M1942" s="136"/>
      <c r="N1942" s="131">
        <f t="shared" si="113"/>
        <v>0</v>
      </c>
      <c r="O1942" s="114" t="s">
        <v>1583</v>
      </c>
      <c r="P1942" s="269"/>
      <c r="XFC1942"/>
    </row>
    <row r="1943" s="84" customFormat="1" spans="1:16383">
      <c r="A1943" s="302">
        <v>46113</v>
      </c>
      <c r="B1943" s="121" t="s">
        <v>16</v>
      </c>
      <c r="C1943" s="114" t="s">
        <v>148</v>
      </c>
      <c r="D1943" s="114" t="s">
        <v>149</v>
      </c>
      <c r="E1943" s="114" t="s">
        <v>150</v>
      </c>
      <c r="F1943" s="117">
        <v>46127</v>
      </c>
      <c r="G1943" s="114" t="s">
        <v>1174</v>
      </c>
      <c r="H1943" s="114" t="s">
        <v>23</v>
      </c>
      <c r="I1943" s="136">
        <v>4155</v>
      </c>
      <c r="J1943" s="136">
        <v>0</v>
      </c>
      <c r="K1943" s="130">
        <f t="shared" si="114"/>
        <v>4155</v>
      </c>
      <c r="L1943" s="136">
        <v>4155</v>
      </c>
      <c r="M1943" s="136"/>
      <c r="N1943" s="131">
        <f t="shared" si="113"/>
        <v>0</v>
      </c>
      <c r="O1943" s="114" t="s">
        <v>1589</v>
      </c>
      <c r="P1943" s="269"/>
      <c r="XFC1943"/>
    </row>
    <row r="1944" s="84" customFormat="1" spans="1:16383">
      <c r="A1944" s="302">
        <v>46113</v>
      </c>
      <c r="B1944" s="121" t="s">
        <v>16</v>
      </c>
      <c r="C1944" s="114" t="s">
        <v>226</v>
      </c>
      <c r="D1944" s="114" t="s">
        <v>227</v>
      </c>
      <c r="E1944" s="114" t="s">
        <v>228</v>
      </c>
      <c r="F1944" s="117">
        <v>46127</v>
      </c>
      <c r="G1944" s="114" t="s">
        <v>1338</v>
      </c>
      <c r="H1944" s="114" t="s">
        <v>23</v>
      </c>
      <c r="I1944" s="136">
        <v>3905</v>
      </c>
      <c r="J1944" s="136">
        <v>0</v>
      </c>
      <c r="K1944" s="136">
        <f t="shared" si="114"/>
        <v>3905</v>
      </c>
      <c r="L1944" s="136">
        <v>3905</v>
      </c>
      <c r="M1944" s="136"/>
      <c r="N1944" s="131">
        <f t="shared" si="113"/>
        <v>0</v>
      </c>
      <c r="O1944" s="269" t="s">
        <v>1464</v>
      </c>
      <c r="P1944" s="269"/>
      <c r="XFC1944"/>
    </row>
    <row r="1945" s="84" customFormat="1" spans="1:16383">
      <c r="A1945" s="302">
        <v>46113</v>
      </c>
      <c r="B1945" s="121" t="s">
        <v>16</v>
      </c>
      <c r="C1945" s="114" t="s">
        <v>226</v>
      </c>
      <c r="D1945" s="114" t="s">
        <v>227</v>
      </c>
      <c r="E1945" s="114" t="s">
        <v>228</v>
      </c>
      <c r="F1945" s="117">
        <v>46127</v>
      </c>
      <c r="G1945" s="114" t="s">
        <v>1338</v>
      </c>
      <c r="H1945" s="114" t="s">
        <v>21</v>
      </c>
      <c r="I1945" s="136">
        <v>18264.75</v>
      </c>
      <c r="J1945" s="136">
        <v>4169.75</v>
      </c>
      <c r="K1945" s="136">
        <f t="shared" si="114"/>
        <v>14095</v>
      </c>
      <c r="L1945" s="136">
        <v>14095</v>
      </c>
      <c r="M1945" s="136"/>
      <c r="N1945" s="131">
        <f t="shared" si="113"/>
        <v>0</v>
      </c>
      <c r="O1945" s="269" t="s">
        <v>1464</v>
      </c>
      <c r="P1945" s="269"/>
      <c r="XFC1945"/>
    </row>
    <row r="1946" s="84" customFormat="1" spans="1:16383">
      <c r="A1946" s="302">
        <v>46113</v>
      </c>
      <c r="B1946" s="121" t="s">
        <v>16</v>
      </c>
      <c r="C1946" s="114" t="s">
        <v>179</v>
      </c>
      <c r="D1946" s="114" t="s">
        <v>180</v>
      </c>
      <c r="E1946" s="114" t="s">
        <v>181</v>
      </c>
      <c r="F1946" s="117">
        <v>46127</v>
      </c>
      <c r="G1946" s="114" t="s">
        <v>1338</v>
      </c>
      <c r="H1946" s="114" t="s">
        <v>23</v>
      </c>
      <c r="I1946" s="136">
        <v>2600</v>
      </c>
      <c r="J1946" s="136">
        <v>0</v>
      </c>
      <c r="K1946" s="130">
        <f t="shared" si="114"/>
        <v>2600</v>
      </c>
      <c r="L1946" s="136">
        <v>2600</v>
      </c>
      <c r="M1946" s="136"/>
      <c r="N1946" s="131">
        <f t="shared" si="113"/>
        <v>0</v>
      </c>
      <c r="O1946" s="114" t="s">
        <v>1184</v>
      </c>
      <c r="P1946" s="269"/>
      <c r="XFC1946"/>
    </row>
    <row r="1947" s="84" customFormat="1" spans="1:16383">
      <c r="A1947" s="302">
        <v>46113</v>
      </c>
      <c r="B1947" s="121" t="s">
        <v>16</v>
      </c>
      <c r="C1947" s="114" t="s">
        <v>179</v>
      </c>
      <c r="D1947" s="114" t="s">
        <v>180</v>
      </c>
      <c r="E1947" s="114" t="s">
        <v>181</v>
      </c>
      <c r="F1947" s="117">
        <v>46127</v>
      </c>
      <c r="G1947" s="114" t="s">
        <v>1338</v>
      </c>
      <c r="H1947" s="114" t="s">
        <v>21</v>
      </c>
      <c r="I1947" s="136">
        <v>2600</v>
      </c>
      <c r="J1947" s="136">
        <v>0</v>
      </c>
      <c r="K1947" s="130">
        <f t="shared" si="114"/>
        <v>2600</v>
      </c>
      <c r="L1947" s="136">
        <v>2600</v>
      </c>
      <c r="M1947" s="136"/>
      <c r="N1947" s="131">
        <f t="shared" si="113"/>
        <v>0</v>
      </c>
      <c r="O1947" s="114" t="s">
        <v>1184</v>
      </c>
      <c r="P1947" s="269"/>
      <c r="XFC1947"/>
    </row>
    <row r="1948" s="84" customFormat="1" spans="1:16383">
      <c r="A1948" s="302">
        <v>46113</v>
      </c>
      <c r="B1948" s="121" t="s">
        <v>491</v>
      </c>
      <c r="C1948" s="114" t="s">
        <v>502</v>
      </c>
      <c r="D1948" s="114" t="s">
        <v>503</v>
      </c>
      <c r="E1948" s="114" t="s">
        <v>504</v>
      </c>
      <c r="F1948" s="117">
        <v>46127</v>
      </c>
      <c r="G1948" s="114" t="s">
        <v>1582</v>
      </c>
      <c r="H1948" s="114" t="s">
        <v>23</v>
      </c>
      <c r="I1948" s="136">
        <v>1045</v>
      </c>
      <c r="J1948" s="136">
        <v>0</v>
      </c>
      <c r="K1948" s="130">
        <f t="shared" si="114"/>
        <v>1045</v>
      </c>
      <c r="L1948" s="136">
        <v>1045</v>
      </c>
      <c r="M1948" s="136"/>
      <c r="N1948" s="131">
        <f t="shared" si="113"/>
        <v>0</v>
      </c>
      <c r="O1948" s="114" t="s">
        <v>1618</v>
      </c>
      <c r="P1948" s="269"/>
      <c r="XFC1948"/>
    </row>
    <row r="1949" s="84" customFormat="1" spans="1:16383">
      <c r="A1949" s="302">
        <v>46113</v>
      </c>
      <c r="B1949" s="121" t="s">
        <v>491</v>
      </c>
      <c r="C1949" s="114" t="s">
        <v>502</v>
      </c>
      <c r="D1949" s="114" t="s">
        <v>503</v>
      </c>
      <c r="E1949" s="114" t="s">
        <v>504</v>
      </c>
      <c r="F1949" s="117">
        <v>46127</v>
      </c>
      <c r="G1949" s="114" t="s">
        <v>1448</v>
      </c>
      <c r="H1949" s="114" t="s">
        <v>23</v>
      </c>
      <c r="I1949" s="136">
        <v>1045</v>
      </c>
      <c r="J1949" s="136">
        <v>0</v>
      </c>
      <c r="K1949" s="130">
        <f t="shared" si="114"/>
        <v>1045</v>
      </c>
      <c r="L1949" s="136">
        <v>1045</v>
      </c>
      <c r="M1949" s="136"/>
      <c r="N1949" s="131">
        <f t="shared" si="113"/>
        <v>0</v>
      </c>
      <c r="O1949" s="114" t="s">
        <v>1618</v>
      </c>
      <c r="P1949" s="269"/>
      <c r="XFC1949"/>
    </row>
    <row r="1950" s="84" customFormat="1" spans="1:16383">
      <c r="A1950" s="302">
        <v>46113</v>
      </c>
      <c r="B1950" s="121" t="s">
        <v>491</v>
      </c>
      <c r="C1950" s="114" t="s">
        <v>502</v>
      </c>
      <c r="D1950" s="114" t="s">
        <v>503</v>
      </c>
      <c r="E1950" s="114" t="s">
        <v>504</v>
      </c>
      <c r="F1950" s="117">
        <v>46127</v>
      </c>
      <c r="G1950" s="114" t="s">
        <v>1338</v>
      </c>
      <c r="H1950" s="114" t="s">
        <v>23</v>
      </c>
      <c r="I1950" s="136">
        <v>1045</v>
      </c>
      <c r="J1950" s="136">
        <v>0</v>
      </c>
      <c r="K1950" s="130">
        <f t="shared" si="114"/>
        <v>1045</v>
      </c>
      <c r="L1950" s="136">
        <v>1045</v>
      </c>
      <c r="M1950" s="136"/>
      <c r="N1950" s="131">
        <f t="shared" si="113"/>
        <v>0</v>
      </c>
      <c r="O1950" s="114" t="s">
        <v>1618</v>
      </c>
      <c r="P1950" s="269"/>
      <c r="XFC1950"/>
    </row>
    <row r="1951" s="84" customFormat="1" spans="1:16383">
      <c r="A1951" s="302">
        <v>46113</v>
      </c>
      <c r="B1951" s="121" t="s">
        <v>491</v>
      </c>
      <c r="C1951" s="114" t="s">
        <v>502</v>
      </c>
      <c r="D1951" s="114" t="s">
        <v>503</v>
      </c>
      <c r="E1951" s="114" t="s">
        <v>504</v>
      </c>
      <c r="F1951" s="117">
        <v>46127</v>
      </c>
      <c r="G1951" s="114" t="s">
        <v>1582</v>
      </c>
      <c r="H1951" s="114" t="s">
        <v>21</v>
      </c>
      <c r="I1951" s="136">
        <v>1520</v>
      </c>
      <c r="J1951" s="136">
        <v>0</v>
      </c>
      <c r="K1951" s="130">
        <f t="shared" si="114"/>
        <v>1520</v>
      </c>
      <c r="L1951" s="136">
        <v>1520</v>
      </c>
      <c r="M1951" s="136"/>
      <c r="N1951" s="131">
        <f t="shared" si="113"/>
        <v>0</v>
      </c>
      <c r="O1951" s="114" t="s">
        <v>1618</v>
      </c>
      <c r="P1951" s="269"/>
      <c r="XFC1951"/>
    </row>
    <row r="1952" s="84" customFormat="1" spans="1:16383">
      <c r="A1952" s="302">
        <v>46113</v>
      </c>
      <c r="B1952" s="121" t="s">
        <v>491</v>
      </c>
      <c r="C1952" s="114" t="s">
        <v>502</v>
      </c>
      <c r="D1952" s="114" t="s">
        <v>503</v>
      </c>
      <c r="E1952" s="114" t="s">
        <v>504</v>
      </c>
      <c r="F1952" s="117">
        <v>46127</v>
      </c>
      <c r="G1952" s="114" t="s">
        <v>1448</v>
      </c>
      <c r="H1952" s="114" t="s">
        <v>21</v>
      </c>
      <c r="I1952" s="136">
        <v>1520</v>
      </c>
      <c r="J1952" s="136">
        <v>0</v>
      </c>
      <c r="K1952" s="130">
        <f t="shared" si="114"/>
        <v>1520</v>
      </c>
      <c r="L1952" s="136">
        <v>1520</v>
      </c>
      <c r="M1952" s="136"/>
      <c r="N1952" s="131">
        <f t="shared" si="113"/>
        <v>0</v>
      </c>
      <c r="O1952" s="114" t="s">
        <v>1618</v>
      </c>
      <c r="P1952" s="269"/>
      <c r="XFC1952"/>
    </row>
    <row r="1953" s="84" customFormat="1" spans="1:16383">
      <c r="A1953" s="302">
        <v>46113</v>
      </c>
      <c r="B1953" s="121" t="s">
        <v>491</v>
      </c>
      <c r="C1953" s="114" t="s">
        <v>502</v>
      </c>
      <c r="D1953" s="114" t="s">
        <v>503</v>
      </c>
      <c r="E1953" s="114" t="s">
        <v>504</v>
      </c>
      <c r="F1953" s="117">
        <v>46127</v>
      </c>
      <c r="G1953" s="114" t="s">
        <v>1338</v>
      </c>
      <c r="H1953" s="114" t="s">
        <v>21</v>
      </c>
      <c r="I1953" s="136">
        <v>1520</v>
      </c>
      <c r="J1953" s="136">
        <v>0</v>
      </c>
      <c r="K1953" s="130">
        <f t="shared" si="114"/>
        <v>1520</v>
      </c>
      <c r="L1953" s="136">
        <v>1520</v>
      </c>
      <c r="M1953" s="136"/>
      <c r="N1953" s="131">
        <f t="shared" si="113"/>
        <v>0</v>
      </c>
      <c r="O1953" s="114" t="s">
        <v>1618</v>
      </c>
      <c r="P1953" s="269"/>
      <c r="XFC1953"/>
    </row>
    <row r="1954" s="84" customFormat="1" spans="1:16383">
      <c r="A1954" s="302">
        <v>46113</v>
      </c>
      <c r="B1954" s="121" t="s">
        <v>16</v>
      </c>
      <c r="C1954" s="114" t="s">
        <v>253</v>
      </c>
      <c r="D1954" s="114" t="s">
        <v>258</v>
      </c>
      <c r="E1954" s="114" t="s">
        <v>259</v>
      </c>
      <c r="F1954" s="117">
        <v>46127</v>
      </c>
      <c r="G1954" s="114" t="s">
        <v>1338</v>
      </c>
      <c r="H1954" s="114" t="s">
        <v>23</v>
      </c>
      <c r="I1954" s="136">
        <v>8195</v>
      </c>
      <c r="J1954" s="136">
        <v>0</v>
      </c>
      <c r="K1954" s="130">
        <f t="shared" si="114"/>
        <v>8195</v>
      </c>
      <c r="L1954" s="136">
        <v>8195</v>
      </c>
      <c r="M1954" s="136"/>
      <c r="N1954" s="131">
        <f t="shared" si="113"/>
        <v>0</v>
      </c>
      <c r="O1954" s="114" t="s">
        <v>1619</v>
      </c>
      <c r="P1954" s="269"/>
      <c r="XFC1954"/>
    </row>
    <row r="1955" s="84" customFormat="1" spans="1:16383">
      <c r="A1955" s="302">
        <v>46113</v>
      </c>
      <c r="B1955" s="121" t="s">
        <v>16</v>
      </c>
      <c r="C1955" s="114" t="s">
        <v>253</v>
      </c>
      <c r="D1955" s="114" t="s">
        <v>258</v>
      </c>
      <c r="E1955" s="114" t="s">
        <v>259</v>
      </c>
      <c r="F1955" s="117">
        <v>46127</v>
      </c>
      <c r="G1955" s="114" t="s">
        <v>1338</v>
      </c>
      <c r="H1955" s="114" t="s">
        <v>21</v>
      </c>
      <c r="I1955" s="136">
        <v>5960</v>
      </c>
      <c r="J1955" s="136">
        <v>0</v>
      </c>
      <c r="K1955" s="130">
        <f t="shared" si="114"/>
        <v>5960</v>
      </c>
      <c r="L1955" s="136">
        <v>5960</v>
      </c>
      <c r="M1955" s="136"/>
      <c r="N1955" s="131">
        <f t="shared" si="113"/>
        <v>0</v>
      </c>
      <c r="O1955" s="114" t="s">
        <v>1619</v>
      </c>
      <c r="P1955" s="269"/>
      <c r="XFC1955"/>
    </row>
    <row r="1956" s="84" customFormat="1" spans="1:16383">
      <c r="A1956" s="302">
        <v>46113</v>
      </c>
      <c r="B1956" s="135" t="s">
        <v>285</v>
      </c>
      <c r="C1956" s="114" t="s">
        <v>444</v>
      </c>
      <c r="D1956" s="114" t="s">
        <v>445</v>
      </c>
      <c r="E1956" s="114" t="s">
        <v>446</v>
      </c>
      <c r="F1956" s="117">
        <v>46127</v>
      </c>
      <c r="G1956" s="114" t="s">
        <v>1582</v>
      </c>
      <c r="H1956" s="114" t="s">
        <v>23</v>
      </c>
      <c r="I1956" s="136">
        <v>8820</v>
      </c>
      <c r="J1956" s="136">
        <v>0</v>
      </c>
      <c r="K1956" s="130">
        <f t="shared" si="114"/>
        <v>8820</v>
      </c>
      <c r="L1956" s="136">
        <v>8820</v>
      </c>
      <c r="M1956" s="136"/>
      <c r="N1956" s="131">
        <f t="shared" si="113"/>
        <v>0</v>
      </c>
      <c r="O1956" s="114" t="s">
        <v>1620</v>
      </c>
      <c r="P1956" s="269"/>
      <c r="XFC1956"/>
    </row>
    <row r="1957" s="84" customFormat="1" spans="1:16383">
      <c r="A1957" s="302">
        <v>46113</v>
      </c>
      <c r="B1957" s="135" t="s">
        <v>285</v>
      </c>
      <c r="C1957" s="114" t="s">
        <v>444</v>
      </c>
      <c r="D1957" s="114" t="s">
        <v>445</v>
      </c>
      <c r="E1957" s="114" t="s">
        <v>446</v>
      </c>
      <c r="F1957" s="117">
        <v>46127</v>
      </c>
      <c r="G1957" s="114" t="s">
        <v>1448</v>
      </c>
      <c r="H1957" s="114" t="s">
        <v>23</v>
      </c>
      <c r="I1957" s="136">
        <v>8820</v>
      </c>
      <c r="J1957" s="136">
        <v>0</v>
      </c>
      <c r="K1957" s="130">
        <f t="shared" si="114"/>
        <v>8820</v>
      </c>
      <c r="L1957" s="136">
        <v>8820</v>
      </c>
      <c r="M1957" s="136"/>
      <c r="N1957" s="131">
        <f t="shared" si="113"/>
        <v>0</v>
      </c>
      <c r="O1957" s="114" t="s">
        <v>1620</v>
      </c>
      <c r="P1957" s="269"/>
      <c r="XFC1957"/>
    </row>
    <row r="1958" s="84" customFormat="1" spans="1:16383">
      <c r="A1958" s="302">
        <v>46113</v>
      </c>
      <c r="B1958" s="135" t="s">
        <v>285</v>
      </c>
      <c r="C1958" s="114" t="s">
        <v>444</v>
      </c>
      <c r="D1958" s="114" t="s">
        <v>445</v>
      </c>
      <c r="E1958" s="114" t="s">
        <v>446</v>
      </c>
      <c r="F1958" s="117">
        <v>46127</v>
      </c>
      <c r="G1958" s="114" t="s">
        <v>1338</v>
      </c>
      <c r="H1958" s="114" t="s">
        <v>23</v>
      </c>
      <c r="I1958" s="136">
        <v>8820</v>
      </c>
      <c r="J1958" s="136">
        <v>0</v>
      </c>
      <c r="K1958" s="130">
        <f t="shared" si="114"/>
        <v>8820</v>
      </c>
      <c r="L1958" s="136">
        <v>8820</v>
      </c>
      <c r="M1958" s="136"/>
      <c r="N1958" s="131">
        <f t="shared" si="113"/>
        <v>0</v>
      </c>
      <c r="O1958" s="114" t="s">
        <v>1620</v>
      </c>
      <c r="P1958" s="269"/>
      <c r="XFC1958"/>
    </row>
    <row r="1959" s="84" customFormat="1" spans="1:16383">
      <c r="A1959" s="302">
        <v>46113</v>
      </c>
      <c r="B1959" s="135" t="s">
        <v>285</v>
      </c>
      <c r="C1959" s="114" t="s">
        <v>444</v>
      </c>
      <c r="D1959" s="114" t="s">
        <v>445</v>
      </c>
      <c r="E1959" s="114" t="s">
        <v>446</v>
      </c>
      <c r="F1959" s="117">
        <v>46127</v>
      </c>
      <c r="G1959" s="114" t="s">
        <v>1582</v>
      </c>
      <c r="H1959" s="114" t="s">
        <v>21</v>
      </c>
      <c r="I1959" s="136">
        <v>3920</v>
      </c>
      <c r="J1959" s="136">
        <v>0</v>
      </c>
      <c r="K1959" s="130">
        <f t="shared" si="114"/>
        <v>3920</v>
      </c>
      <c r="L1959" s="136">
        <v>3920</v>
      </c>
      <c r="M1959" s="136"/>
      <c r="N1959" s="131">
        <f t="shared" si="113"/>
        <v>0</v>
      </c>
      <c r="O1959" s="114" t="s">
        <v>1620</v>
      </c>
      <c r="P1959" s="269"/>
      <c r="XFC1959"/>
    </row>
    <row r="1960" s="84" customFormat="1" spans="1:16383">
      <c r="A1960" s="302">
        <v>46113</v>
      </c>
      <c r="B1960" s="135" t="s">
        <v>285</v>
      </c>
      <c r="C1960" s="114" t="s">
        <v>444</v>
      </c>
      <c r="D1960" s="114" t="s">
        <v>445</v>
      </c>
      <c r="E1960" s="114" t="s">
        <v>446</v>
      </c>
      <c r="F1960" s="117">
        <v>46127</v>
      </c>
      <c r="G1960" s="114" t="s">
        <v>1448</v>
      </c>
      <c r="H1960" s="114" t="s">
        <v>21</v>
      </c>
      <c r="I1960" s="136">
        <v>3920</v>
      </c>
      <c r="J1960" s="136">
        <v>0</v>
      </c>
      <c r="K1960" s="130">
        <f t="shared" si="114"/>
        <v>3920</v>
      </c>
      <c r="L1960" s="136">
        <v>3920</v>
      </c>
      <c r="M1960" s="136"/>
      <c r="N1960" s="131">
        <f t="shared" si="113"/>
        <v>0</v>
      </c>
      <c r="O1960" s="114" t="s">
        <v>1620</v>
      </c>
      <c r="P1960" s="269"/>
      <c r="XFC1960"/>
    </row>
    <row r="1961" s="84" customFormat="1" spans="1:16383">
      <c r="A1961" s="302">
        <v>46113</v>
      </c>
      <c r="B1961" s="135" t="s">
        <v>285</v>
      </c>
      <c r="C1961" s="114" t="s">
        <v>444</v>
      </c>
      <c r="D1961" s="114" t="s">
        <v>445</v>
      </c>
      <c r="E1961" s="114" t="s">
        <v>446</v>
      </c>
      <c r="F1961" s="117">
        <v>46127</v>
      </c>
      <c r="G1961" s="114" t="s">
        <v>1338</v>
      </c>
      <c r="H1961" s="114" t="s">
        <v>21</v>
      </c>
      <c r="I1961" s="136">
        <v>3920</v>
      </c>
      <c r="J1961" s="136">
        <v>0</v>
      </c>
      <c r="K1961" s="130">
        <f t="shared" si="114"/>
        <v>3920</v>
      </c>
      <c r="L1961" s="136">
        <v>3920</v>
      </c>
      <c r="M1961" s="136"/>
      <c r="N1961" s="131">
        <f t="shared" ref="N1961:N2024" si="115">K1961-L1961</f>
        <v>0</v>
      </c>
      <c r="O1961" s="114" t="s">
        <v>1620</v>
      </c>
      <c r="P1961" s="269"/>
      <c r="XFC1961"/>
    </row>
    <row r="1962" s="84" customFormat="1" spans="1:16383">
      <c r="A1962" s="302">
        <v>46113</v>
      </c>
      <c r="B1962" s="121" t="s">
        <v>285</v>
      </c>
      <c r="C1962" s="114" t="s">
        <v>447</v>
      </c>
      <c r="D1962" s="114" t="s">
        <v>448</v>
      </c>
      <c r="E1962" s="114" t="s">
        <v>449</v>
      </c>
      <c r="F1962" s="117">
        <v>46127</v>
      </c>
      <c r="G1962" s="114" t="s">
        <v>1582</v>
      </c>
      <c r="H1962" s="114" t="s">
        <v>23</v>
      </c>
      <c r="I1962" s="136">
        <v>3030</v>
      </c>
      <c r="J1962" s="136">
        <v>0</v>
      </c>
      <c r="K1962" s="130">
        <f t="shared" ref="K1962:K1985" si="116">I1962-J1962</f>
        <v>3030</v>
      </c>
      <c r="L1962" s="136">
        <v>3030</v>
      </c>
      <c r="M1962" s="136"/>
      <c r="N1962" s="131">
        <f t="shared" si="115"/>
        <v>0</v>
      </c>
      <c r="O1962" s="114" t="s">
        <v>1621</v>
      </c>
      <c r="P1962" s="269"/>
      <c r="XFC1962"/>
    </row>
    <row r="1963" s="84" customFormat="1" spans="1:16383">
      <c r="A1963" s="302">
        <v>46113</v>
      </c>
      <c r="B1963" s="121" t="s">
        <v>285</v>
      </c>
      <c r="C1963" s="114" t="s">
        <v>447</v>
      </c>
      <c r="D1963" s="114" t="s">
        <v>448</v>
      </c>
      <c r="E1963" s="114" t="s">
        <v>449</v>
      </c>
      <c r="F1963" s="117">
        <v>46127</v>
      </c>
      <c r="G1963" s="114" t="s">
        <v>1448</v>
      </c>
      <c r="H1963" s="114" t="s">
        <v>23</v>
      </c>
      <c r="I1963" s="136">
        <v>3030</v>
      </c>
      <c r="J1963" s="136">
        <v>0</v>
      </c>
      <c r="K1963" s="130">
        <f t="shared" si="116"/>
        <v>3030</v>
      </c>
      <c r="L1963" s="136">
        <v>3030</v>
      </c>
      <c r="M1963" s="136"/>
      <c r="N1963" s="131">
        <f t="shared" si="115"/>
        <v>0</v>
      </c>
      <c r="O1963" s="114" t="s">
        <v>1622</v>
      </c>
      <c r="P1963" s="269"/>
      <c r="XFC1963"/>
    </row>
    <row r="1964" s="84" customFormat="1" spans="1:16383">
      <c r="A1964" s="302">
        <v>46113</v>
      </c>
      <c r="B1964" s="121" t="s">
        <v>285</v>
      </c>
      <c r="C1964" s="114" t="s">
        <v>447</v>
      </c>
      <c r="D1964" s="114" t="s">
        <v>448</v>
      </c>
      <c r="E1964" s="114" t="s">
        <v>449</v>
      </c>
      <c r="F1964" s="117">
        <v>46127</v>
      </c>
      <c r="G1964" s="114" t="s">
        <v>1338</v>
      </c>
      <c r="H1964" s="114" t="s">
        <v>23</v>
      </c>
      <c r="I1964" s="136">
        <v>3030</v>
      </c>
      <c r="J1964" s="136">
        <v>0</v>
      </c>
      <c r="K1964" s="130">
        <f t="shared" si="116"/>
        <v>3030</v>
      </c>
      <c r="L1964" s="136">
        <v>3030</v>
      </c>
      <c r="M1964" s="136"/>
      <c r="N1964" s="131">
        <f t="shared" si="115"/>
        <v>0</v>
      </c>
      <c r="O1964" s="114" t="s">
        <v>1602</v>
      </c>
      <c r="P1964" s="269"/>
      <c r="XFC1964"/>
    </row>
    <row r="1965" s="84" customFormat="1" spans="1:16383">
      <c r="A1965" s="302">
        <v>46113</v>
      </c>
      <c r="B1965" s="121" t="s">
        <v>285</v>
      </c>
      <c r="C1965" s="114" t="s">
        <v>447</v>
      </c>
      <c r="D1965" s="114" t="s">
        <v>448</v>
      </c>
      <c r="E1965" s="114" t="s">
        <v>449</v>
      </c>
      <c r="F1965" s="117">
        <v>46127</v>
      </c>
      <c r="G1965" s="114" t="s">
        <v>1582</v>
      </c>
      <c r="H1965" s="114" t="s">
        <v>21</v>
      </c>
      <c r="I1965" s="136">
        <v>5555</v>
      </c>
      <c r="J1965" s="136">
        <v>0</v>
      </c>
      <c r="K1965" s="130">
        <f t="shared" si="116"/>
        <v>5555</v>
      </c>
      <c r="L1965" s="136">
        <v>5555</v>
      </c>
      <c r="M1965" s="136"/>
      <c r="N1965" s="131">
        <f t="shared" si="115"/>
        <v>0</v>
      </c>
      <c r="O1965" s="114" t="s">
        <v>1621</v>
      </c>
      <c r="P1965" s="269"/>
      <c r="XFC1965"/>
    </row>
    <row r="1966" s="84" customFormat="1" spans="1:16383">
      <c r="A1966" s="302">
        <v>46113</v>
      </c>
      <c r="B1966" s="121" t="s">
        <v>285</v>
      </c>
      <c r="C1966" s="114" t="s">
        <v>447</v>
      </c>
      <c r="D1966" s="114" t="s">
        <v>448</v>
      </c>
      <c r="E1966" s="114" t="s">
        <v>449</v>
      </c>
      <c r="F1966" s="117">
        <v>46127</v>
      </c>
      <c r="G1966" s="114" t="s">
        <v>1448</v>
      </c>
      <c r="H1966" s="114" t="s">
        <v>21</v>
      </c>
      <c r="I1966" s="136">
        <v>5555</v>
      </c>
      <c r="J1966" s="136">
        <v>0</v>
      </c>
      <c r="K1966" s="130">
        <f t="shared" si="116"/>
        <v>5555</v>
      </c>
      <c r="L1966" s="136">
        <v>5555</v>
      </c>
      <c r="M1966" s="136">
        <v>1</v>
      </c>
      <c r="N1966" s="131">
        <f t="shared" si="115"/>
        <v>0</v>
      </c>
      <c r="O1966" s="114" t="s">
        <v>1622</v>
      </c>
      <c r="P1966" s="269"/>
      <c r="XFC1966"/>
    </row>
    <row r="1967" s="84" customFormat="1" spans="1:16383">
      <c r="A1967" s="302">
        <v>46113</v>
      </c>
      <c r="B1967" s="121" t="s">
        <v>285</v>
      </c>
      <c r="C1967" s="114" t="s">
        <v>447</v>
      </c>
      <c r="D1967" s="114" t="s">
        <v>448</v>
      </c>
      <c r="E1967" s="114" t="s">
        <v>449</v>
      </c>
      <c r="F1967" s="117">
        <v>46127</v>
      </c>
      <c r="G1967" s="114" t="s">
        <v>1338</v>
      </c>
      <c r="H1967" s="114" t="s">
        <v>21</v>
      </c>
      <c r="I1967" s="136">
        <v>5555</v>
      </c>
      <c r="J1967" s="136">
        <v>0</v>
      </c>
      <c r="K1967" s="130">
        <f t="shared" si="116"/>
        <v>5555</v>
      </c>
      <c r="L1967" s="136">
        <v>5555</v>
      </c>
      <c r="M1967" s="136"/>
      <c r="N1967" s="131">
        <f t="shared" si="115"/>
        <v>0</v>
      </c>
      <c r="O1967" s="114" t="s">
        <v>1602</v>
      </c>
      <c r="P1967" s="269"/>
      <c r="XFC1967"/>
    </row>
    <row r="1968" s="84" customFormat="1" spans="1:16383">
      <c r="A1968" s="302">
        <v>46113</v>
      </c>
      <c r="B1968" s="121" t="s">
        <v>679</v>
      </c>
      <c r="C1968" s="114" t="s">
        <v>763</v>
      </c>
      <c r="D1968" s="114" t="s">
        <v>764</v>
      </c>
      <c r="E1968" s="114" t="s">
        <v>765</v>
      </c>
      <c r="F1968" s="117">
        <v>46123</v>
      </c>
      <c r="G1968" s="114" t="s">
        <v>1174</v>
      </c>
      <c r="H1968" s="114" t="s">
        <v>23</v>
      </c>
      <c r="I1968" s="136">
        <v>47910</v>
      </c>
      <c r="J1968" s="136">
        <v>0</v>
      </c>
      <c r="K1968" s="130">
        <f t="shared" si="116"/>
        <v>47910</v>
      </c>
      <c r="L1968" s="136">
        <v>47910</v>
      </c>
      <c r="M1968" s="136"/>
      <c r="N1968" s="131">
        <f t="shared" si="115"/>
        <v>0</v>
      </c>
      <c r="O1968" s="114" t="s">
        <v>1623</v>
      </c>
      <c r="P1968" s="269"/>
      <c r="XFC1968"/>
    </row>
    <row r="1969" s="84" customFormat="1" spans="1:16383">
      <c r="A1969" s="302">
        <v>46113</v>
      </c>
      <c r="B1969" s="121" t="s">
        <v>679</v>
      </c>
      <c r="C1969" s="114" t="s">
        <v>763</v>
      </c>
      <c r="D1969" s="114" t="s">
        <v>764</v>
      </c>
      <c r="E1969" s="114" t="s">
        <v>765</v>
      </c>
      <c r="F1969" s="117">
        <v>46123</v>
      </c>
      <c r="G1969" s="114" t="s">
        <v>1174</v>
      </c>
      <c r="H1969" s="114" t="s">
        <v>21</v>
      </c>
      <c r="I1969" s="136">
        <v>85423</v>
      </c>
      <c r="J1969" s="136">
        <v>0</v>
      </c>
      <c r="K1969" s="130">
        <f t="shared" si="116"/>
        <v>85423</v>
      </c>
      <c r="L1969" s="136">
        <v>85423</v>
      </c>
      <c r="M1969" s="136"/>
      <c r="N1969" s="131">
        <f t="shared" si="115"/>
        <v>0</v>
      </c>
      <c r="O1969" s="114" t="s">
        <v>1623</v>
      </c>
      <c r="P1969" s="269"/>
      <c r="XFC1969"/>
    </row>
    <row r="1970" s="84" customFormat="1" spans="1:16383">
      <c r="A1970" s="302">
        <v>46113</v>
      </c>
      <c r="B1970" s="121" t="s">
        <v>16</v>
      </c>
      <c r="C1970" s="114" t="s">
        <v>846</v>
      </c>
      <c r="D1970" s="114" t="s">
        <v>847</v>
      </c>
      <c r="E1970" s="114" t="s">
        <v>848</v>
      </c>
      <c r="F1970" s="117">
        <v>46127</v>
      </c>
      <c r="G1970" s="114" t="s">
        <v>1582</v>
      </c>
      <c r="H1970" s="114" t="s">
        <v>833</v>
      </c>
      <c r="I1970" s="136">
        <v>6000</v>
      </c>
      <c r="J1970" s="136">
        <v>0</v>
      </c>
      <c r="K1970" s="130">
        <f t="shared" si="116"/>
        <v>6000</v>
      </c>
      <c r="L1970" s="136">
        <v>6000</v>
      </c>
      <c r="M1970" s="136"/>
      <c r="N1970" s="131">
        <f t="shared" si="115"/>
        <v>0</v>
      </c>
      <c r="O1970" s="114" t="s">
        <v>1598</v>
      </c>
      <c r="P1970" s="269"/>
      <c r="XFC1970"/>
    </row>
    <row r="1971" s="84" customFormat="1" spans="1:16383">
      <c r="A1971" s="302">
        <v>46113</v>
      </c>
      <c r="B1971" s="121" t="s">
        <v>16</v>
      </c>
      <c r="C1971" s="114" t="s">
        <v>846</v>
      </c>
      <c r="D1971" s="114" t="s">
        <v>847</v>
      </c>
      <c r="E1971" s="114" t="s">
        <v>848</v>
      </c>
      <c r="F1971" s="117">
        <v>46127</v>
      </c>
      <c r="G1971" s="114" t="s">
        <v>1448</v>
      </c>
      <c r="H1971" s="114" t="s">
        <v>833</v>
      </c>
      <c r="I1971" s="136">
        <v>6000</v>
      </c>
      <c r="J1971" s="136">
        <v>0</v>
      </c>
      <c r="K1971" s="130">
        <f t="shared" si="116"/>
        <v>6000</v>
      </c>
      <c r="L1971" s="136">
        <v>6000</v>
      </c>
      <c r="M1971" s="136"/>
      <c r="N1971" s="131">
        <f t="shared" si="115"/>
        <v>0</v>
      </c>
      <c r="O1971" s="114" t="s">
        <v>1598</v>
      </c>
      <c r="P1971" s="269"/>
      <c r="XFC1971"/>
    </row>
    <row r="1972" s="84" customFormat="1" spans="1:16383">
      <c r="A1972" s="302">
        <v>46113</v>
      </c>
      <c r="B1972" s="121" t="s">
        <v>16</v>
      </c>
      <c r="C1972" s="114" t="s">
        <v>846</v>
      </c>
      <c r="D1972" s="114" t="s">
        <v>847</v>
      </c>
      <c r="E1972" s="114" t="s">
        <v>848</v>
      </c>
      <c r="F1972" s="117">
        <v>46127</v>
      </c>
      <c r="G1972" s="114" t="s">
        <v>1338</v>
      </c>
      <c r="H1972" s="114" t="s">
        <v>833</v>
      </c>
      <c r="I1972" s="136">
        <v>6000</v>
      </c>
      <c r="J1972" s="136">
        <v>0</v>
      </c>
      <c r="K1972" s="130">
        <f t="shared" si="116"/>
        <v>6000</v>
      </c>
      <c r="L1972" s="136">
        <v>6000</v>
      </c>
      <c r="M1972" s="136"/>
      <c r="N1972" s="131">
        <f t="shared" si="115"/>
        <v>0</v>
      </c>
      <c r="O1972" s="114" t="s">
        <v>1598</v>
      </c>
      <c r="P1972" s="269"/>
      <c r="XFC1972"/>
    </row>
    <row r="1973" s="84" customFormat="1" spans="1:16383">
      <c r="A1973" s="302">
        <v>46113</v>
      </c>
      <c r="B1973" s="165" t="s">
        <v>285</v>
      </c>
      <c r="C1973" s="114" t="s">
        <v>897</v>
      </c>
      <c r="D1973" s="114" t="s">
        <v>898</v>
      </c>
      <c r="E1973" s="114" t="s">
        <v>899</v>
      </c>
      <c r="F1973" s="117">
        <v>46127</v>
      </c>
      <c r="G1973" s="114" t="s">
        <v>1448</v>
      </c>
      <c r="H1973" s="114" t="s">
        <v>833</v>
      </c>
      <c r="I1973" s="136">
        <v>4325</v>
      </c>
      <c r="J1973" s="136">
        <v>0</v>
      </c>
      <c r="K1973" s="130">
        <f t="shared" si="116"/>
        <v>4325</v>
      </c>
      <c r="L1973" s="136">
        <v>4325</v>
      </c>
      <c r="M1973" s="136"/>
      <c r="N1973" s="131">
        <f t="shared" si="115"/>
        <v>0</v>
      </c>
      <c r="O1973" s="114" t="s">
        <v>1618</v>
      </c>
      <c r="P1973" s="269"/>
      <c r="XFC1973"/>
    </row>
    <row r="1974" s="84" customFormat="1" spans="1:16383">
      <c r="A1974" s="302">
        <v>46113</v>
      </c>
      <c r="B1974" s="121" t="s">
        <v>285</v>
      </c>
      <c r="C1974" s="114" t="s">
        <v>897</v>
      </c>
      <c r="D1974" s="114" t="s">
        <v>898</v>
      </c>
      <c r="E1974" s="114" t="s">
        <v>899</v>
      </c>
      <c r="F1974" s="117">
        <v>46127</v>
      </c>
      <c r="G1974" s="114" t="s">
        <v>1338</v>
      </c>
      <c r="H1974" s="114" t="s">
        <v>833</v>
      </c>
      <c r="I1974" s="136">
        <v>4325</v>
      </c>
      <c r="J1974" s="136">
        <v>0</v>
      </c>
      <c r="K1974" s="130">
        <f t="shared" si="116"/>
        <v>4325</v>
      </c>
      <c r="L1974" s="136">
        <v>4325</v>
      </c>
      <c r="M1974" s="136"/>
      <c r="N1974" s="131">
        <f t="shared" si="115"/>
        <v>0</v>
      </c>
      <c r="O1974" s="114" t="s">
        <v>1618</v>
      </c>
      <c r="P1974" s="269"/>
      <c r="XFC1974"/>
    </row>
    <row r="1975" s="84" customFormat="1" spans="1:16383">
      <c r="A1975" s="302">
        <v>46113</v>
      </c>
      <c r="B1975" s="121"/>
      <c r="C1975" s="114" t="s">
        <v>963</v>
      </c>
      <c r="D1975" s="114" t="s">
        <v>964</v>
      </c>
      <c r="E1975" s="114" t="s">
        <v>965</v>
      </c>
      <c r="F1975" s="117">
        <v>46127</v>
      </c>
      <c r="G1975" s="114" t="s">
        <v>1582</v>
      </c>
      <c r="H1975" s="114" t="s">
        <v>21</v>
      </c>
      <c r="I1975" s="136">
        <v>6250</v>
      </c>
      <c r="J1975" s="136">
        <v>0</v>
      </c>
      <c r="K1975" s="130">
        <f t="shared" si="116"/>
        <v>6250</v>
      </c>
      <c r="L1975" s="136">
        <v>6250</v>
      </c>
      <c r="M1975" s="136"/>
      <c r="N1975" s="131">
        <f t="shared" si="115"/>
        <v>0</v>
      </c>
      <c r="O1975" s="114" t="s">
        <v>1624</v>
      </c>
      <c r="P1975" s="269"/>
      <c r="XFC1975"/>
    </row>
    <row r="1976" s="84" customFormat="1" spans="1:16383">
      <c r="A1976" s="302">
        <v>46113</v>
      </c>
      <c r="B1976" s="121"/>
      <c r="C1976" s="114" t="s">
        <v>963</v>
      </c>
      <c r="D1976" s="114" t="s">
        <v>964</v>
      </c>
      <c r="E1976" s="114" t="s">
        <v>965</v>
      </c>
      <c r="F1976" s="117">
        <v>46127</v>
      </c>
      <c r="G1976" s="114" t="s">
        <v>1448</v>
      </c>
      <c r="H1976" s="114" t="s">
        <v>21</v>
      </c>
      <c r="I1976" s="136">
        <v>6250</v>
      </c>
      <c r="J1976" s="136">
        <v>0</v>
      </c>
      <c r="K1976" s="130">
        <f t="shared" si="116"/>
        <v>6250</v>
      </c>
      <c r="L1976" s="136">
        <v>6250</v>
      </c>
      <c r="M1976" s="136"/>
      <c r="N1976" s="131">
        <f t="shared" si="115"/>
        <v>0</v>
      </c>
      <c r="O1976" s="114" t="s">
        <v>1624</v>
      </c>
      <c r="P1976" s="269"/>
      <c r="XFC1976"/>
    </row>
    <row r="1977" s="84" customFormat="1" spans="1:16383">
      <c r="A1977" s="302">
        <v>46113</v>
      </c>
      <c r="B1977" s="121"/>
      <c r="C1977" s="114" t="s">
        <v>963</v>
      </c>
      <c r="D1977" s="114" t="s">
        <v>964</v>
      </c>
      <c r="E1977" s="114" t="s">
        <v>965</v>
      </c>
      <c r="F1977" s="117">
        <v>46127</v>
      </c>
      <c r="G1977" s="114" t="s">
        <v>1338</v>
      </c>
      <c r="H1977" s="114" t="s">
        <v>21</v>
      </c>
      <c r="I1977" s="136">
        <v>6250</v>
      </c>
      <c r="J1977" s="136">
        <v>0</v>
      </c>
      <c r="K1977" s="130">
        <f t="shared" si="116"/>
        <v>6250</v>
      </c>
      <c r="L1977" s="136">
        <v>6250</v>
      </c>
      <c r="M1977" s="136"/>
      <c r="N1977" s="131">
        <f t="shared" si="115"/>
        <v>0</v>
      </c>
      <c r="O1977" s="114" t="s">
        <v>1624</v>
      </c>
      <c r="P1977" s="269"/>
      <c r="XFC1977"/>
    </row>
    <row r="1978" s="84" customFormat="1" spans="1:16383">
      <c r="A1978" s="302">
        <v>46113</v>
      </c>
      <c r="B1978" s="121" t="s">
        <v>491</v>
      </c>
      <c r="C1978" s="114" t="s">
        <v>915</v>
      </c>
      <c r="D1978" s="114" t="s">
        <v>916</v>
      </c>
      <c r="E1978" s="114" t="s">
        <v>917</v>
      </c>
      <c r="F1978" s="117">
        <v>46127</v>
      </c>
      <c r="G1978" s="114" t="s">
        <v>1582</v>
      </c>
      <c r="H1978" s="114" t="s">
        <v>833</v>
      </c>
      <c r="I1978" s="136">
        <v>5000</v>
      </c>
      <c r="J1978" s="136">
        <v>0</v>
      </c>
      <c r="K1978" s="130">
        <f t="shared" si="116"/>
        <v>5000</v>
      </c>
      <c r="L1978" s="136">
        <v>5000</v>
      </c>
      <c r="M1978" s="136"/>
      <c r="N1978" s="131">
        <f t="shared" si="115"/>
        <v>0</v>
      </c>
      <c r="O1978" s="114" t="s">
        <v>1625</v>
      </c>
      <c r="P1978" s="269"/>
      <c r="XFC1978"/>
    </row>
    <row r="1979" s="84" customFormat="1" spans="1:16383">
      <c r="A1979" s="302">
        <v>46113</v>
      </c>
      <c r="B1979" s="121" t="s">
        <v>491</v>
      </c>
      <c r="C1979" s="114" t="s">
        <v>915</v>
      </c>
      <c r="D1979" s="114" t="s">
        <v>916</v>
      </c>
      <c r="E1979" s="114" t="s">
        <v>917</v>
      </c>
      <c r="F1979" s="117">
        <v>46127</v>
      </c>
      <c r="G1979" s="114" t="s">
        <v>1448</v>
      </c>
      <c r="H1979" s="114" t="s">
        <v>833</v>
      </c>
      <c r="I1979" s="136">
        <v>5000</v>
      </c>
      <c r="J1979" s="136">
        <v>0</v>
      </c>
      <c r="K1979" s="130">
        <f t="shared" si="116"/>
        <v>5000</v>
      </c>
      <c r="L1979" s="136">
        <v>5000</v>
      </c>
      <c r="M1979" s="136"/>
      <c r="N1979" s="131">
        <f t="shared" si="115"/>
        <v>0</v>
      </c>
      <c r="O1979" s="114" t="s">
        <v>1625</v>
      </c>
      <c r="P1979" s="269"/>
      <c r="XFC1979"/>
    </row>
    <row r="1980" s="84" customFormat="1" spans="1:16383">
      <c r="A1980" s="302">
        <v>46113</v>
      </c>
      <c r="B1980" s="121" t="s">
        <v>491</v>
      </c>
      <c r="C1980" s="114" t="s">
        <v>915</v>
      </c>
      <c r="D1980" s="114" t="s">
        <v>916</v>
      </c>
      <c r="E1980" s="114" t="s">
        <v>917</v>
      </c>
      <c r="F1980" s="117">
        <v>46127</v>
      </c>
      <c r="G1980" s="114" t="s">
        <v>1338</v>
      </c>
      <c r="H1980" s="114" t="s">
        <v>833</v>
      </c>
      <c r="I1980" s="136">
        <v>5000</v>
      </c>
      <c r="J1980" s="136">
        <v>0</v>
      </c>
      <c r="K1980" s="130">
        <f t="shared" si="116"/>
        <v>5000</v>
      </c>
      <c r="L1980" s="136">
        <v>5000</v>
      </c>
      <c r="M1980" s="136"/>
      <c r="N1980" s="131">
        <f t="shared" si="115"/>
        <v>0</v>
      </c>
      <c r="O1980" s="114" t="s">
        <v>1619</v>
      </c>
      <c r="P1980" s="269"/>
      <c r="XFC1980"/>
    </row>
    <row r="1981" s="84" customFormat="1" spans="1:16383">
      <c r="A1981" s="302">
        <v>46113</v>
      </c>
      <c r="B1981" s="121" t="s">
        <v>16</v>
      </c>
      <c r="C1981" s="114" t="s">
        <v>972</v>
      </c>
      <c r="D1981" s="114" t="s">
        <v>973</v>
      </c>
      <c r="E1981" s="114" t="s">
        <v>974</v>
      </c>
      <c r="F1981" s="117">
        <v>46127</v>
      </c>
      <c r="G1981" s="114" t="s">
        <v>1582</v>
      </c>
      <c r="H1981" s="114" t="s">
        <v>833</v>
      </c>
      <c r="I1981" s="136">
        <v>1000</v>
      </c>
      <c r="J1981" s="136">
        <v>0</v>
      </c>
      <c r="K1981" s="130">
        <f t="shared" si="116"/>
        <v>1000</v>
      </c>
      <c r="L1981" s="136">
        <v>1000</v>
      </c>
      <c r="M1981" s="136"/>
      <c r="N1981" s="131">
        <f t="shared" si="115"/>
        <v>0</v>
      </c>
      <c r="O1981" s="114" t="s">
        <v>1343</v>
      </c>
      <c r="P1981" s="269"/>
      <c r="XFC1981"/>
    </row>
    <row r="1982" s="84" customFormat="1" spans="1:16383">
      <c r="A1982" s="302">
        <v>46113</v>
      </c>
      <c r="B1982" s="121" t="s">
        <v>16</v>
      </c>
      <c r="C1982" s="114" t="s">
        <v>972</v>
      </c>
      <c r="D1982" s="114" t="s">
        <v>973</v>
      </c>
      <c r="E1982" s="114" t="s">
        <v>974</v>
      </c>
      <c r="F1982" s="117">
        <v>46127</v>
      </c>
      <c r="G1982" s="114" t="s">
        <v>1448</v>
      </c>
      <c r="H1982" s="114" t="s">
        <v>833</v>
      </c>
      <c r="I1982" s="136">
        <v>1000</v>
      </c>
      <c r="J1982" s="136">
        <v>0</v>
      </c>
      <c r="K1982" s="130">
        <f t="shared" si="116"/>
        <v>1000</v>
      </c>
      <c r="L1982" s="136">
        <v>1000</v>
      </c>
      <c r="M1982" s="136"/>
      <c r="N1982" s="131">
        <f t="shared" si="115"/>
        <v>0</v>
      </c>
      <c r="O1982" s="114" t="s">
        <v>1343</v>
      </c>
      <c r="P1982" s="269"/>
      <c r="XFC1982"/>
    </row>
    <row r="1983" s="84" customFormat="1" spans="1:16383">
      <c r="A1983" s="302">
        <v>46113</v>
      </c>
      <c r="B1983" s="121" t="s">
        <v>16</v>
      </c>
      <c r="C1983" s="114" t="s">
        <v>972</v>
      </c>
      <c r="D1983" s="114" t="s">
        <v>973</v>
      </c>
      <c r="E1983" s="114" t="s">
        <v>974</v>
      </c>
      <c r="F1983" s="117">
        <v>46127</v>
      </c>
      <c r="G1983" s="114" t="s">
        <v>1338</v>
      </c>
      <c r="H1983" s="114" t="s">
        <v>833</v>
      </c>
      <c r="I1983" s="136">
        <v>1000</v>
      </c>
      <c r="J1983" s="136">
        <v>0</v>
      </c>
      <c r="K1983" s="130">
        <f t="shared" si="116"/>
        <v>1000</v>
      </c>
      <c r="L1983" s="136">
        <v>1000</v>
      </c>
      <c r="M1983" s="136"/>
      <c r="N1983" s="131">
        <f t="shared" si="115"/>
        <v>0</v>
      </c>
      <c r="O1983" s="114" t="s">
        <v>1343</v>
      </c>
      <c r="P1983" s="269"/>
      <c r="XFC1983"/>
    </row>
    <row r="1984" s="84" customFormat="1" spans="1:16383">
      <c r="A1984" s="302">
        <v>46113</v>
      </c>
      <c r="B1984" s="116" t="s">
        <v>854</v>
      </c>
      <c r="C1984" s="114" t="s">
        <v>851</v>
      </c>
      <c r="D1984" s="114" t="s">
        <v>287</v>
      </c>
      <c r="E1984" s="114" t="s">
        <v>852</v>
      </c>
      <c r="F1984" s="117">
        <v>46127</v>
      </c>
      <c r="G1984" s="114" t="s">
        <v>1338</v>
      </c>
      <c r="H1984" s="116" t="s">
        <v>833</v>
      </c>
      <c r="I1984" s="136">
        <v>800</v>
      </c>
      <c r="J1984" s="136">
        <v>0</v>
      </c>
      <c r="K1984" s="130">
        <f t="shared" si="116"/>
        <v>800</v>
      </c>
      <c r="L1984" s="136">
        <v>800</v>
      </c>
      <c r="M1984" s="136"/>
      <c r="N1984" s="131">
        <f t="shared" si="115"/>
        <v>0</v>
      </c>
      <c r="O1984" s="114" t="s">
        <v>1626</v>
      </c>
      <c r="P1984" s="269"/>
      <c r="XFC1984"/>
    </row>
    <row r="1985" s="84" customFormat="1" spans="1:16383">
      <c r="A1985" s="302">
        <v>46113</v>
      </c>
      <c r="B1985" s="114" t="s">
        <v>909</v>
      </c>
      <c r="C1985" s="114" t="s">
        <v>910</v>
      </c>
      <c r="D1985" s="114" t="s">
        <v>553</v>
      </c>
      <c r="E1985" s="114" t="s">
        <v>554</v>
      </c>
      <c r="F1985" s="117">
        <v>46127</v>
      </c>
      <c r="G1985" s="114" t="s">
        <v>1338</v>
      </c>
      <c r="H1985" s="114" t="s">
        <v>833</v>
      </c>
      <c r="I1985" s="136">
        <v>500</v>
      </c>
      <c r="J1985" s="136">
        <v>0</v>
      </c>
      <c r="K1985" s="130">
        <f t="shared" si="116"/>
        <v>500</v>
      </c>
      <c r="L1985" s="136">
        <v>500</v>
      </c>
      <c r="M1985" s="136"/>
      <c r="N1985" s="131">
        <f t="shared" si="115"/>
        <v>0</v>
      </c>
      <c r="O1985" s="114" t="s">
        <v>1617</v>
      </c>
      <c r="P1985" s="269"/>
      <c r="XFC1985"/>
    </row>
    <row r="1986" s="84" customFormat="1" spans="1:16383">
      <c r="A1986" s="302">
        <v>46113</v>
      </c>
      <c r="B1986" s="198" t="s">
        <v>16</v>
      </c>
      <c r="C1986" s="198" t="s">
        <v>157</v>
      </c>
      <c r="D1986" s="198" t="s">
        <v>158</v>
      </c>
      <c r="E1986" s="198" t="s">
        <v>159</v>
      </c>
      <c r="F1986" s="148">
        <v>46127</v>
      </c>
      <c r="G1986" s="198" t="s">
        <v>1176</v>
      </c>
      <c r="H1986" s="198" t="s">
        <v>21</v>
      </c>
      <c r="I1986" s="211">
        <v>7343.64</v>
      </c>
      <c r="J1986" s="211"/>
      <c r="K1986" s="211">
        <v>7343.64</v>
      </c>
      <c r="L1986" s="211">
        <v>783.16</v>
      </c>
      <c r="M1986" s="211"/>
      <c r="N1986" s="211">
        <f t="shared" si="115"/>
        <v>6560.48</v>
      </c>
      <c r="O1986" s="198" t="s">
        <v>1627</v>
      </c>
      <c r="P1986" s="269" t="s">
        <v>1628</v>
      </c>
      <c r="XFC1986"/>
    </row>
    <row r="1987" s="84" customFormat="1" spans="1:16383">
      <c r="A1987" s="302">
        <v>46113</v>
      </c>
      <c r="B1987" s="198" t="s">
        <v>16</v>
      </c>
      <c r="C1987" s="198" t="s">
        <v>846</v>
      </c>
      <c r="D1987" s="198" t="s">
        <v>847</v>
      </c>
      <c r="E1987" s="198" t="s">
        <v>848</v>
      </c>
      <c r="F1987" s="148">
        <v>46127</v>
      </c>
      <c r="G1987" s="198" t="s">
        <v>1176</v>
      </c>
      <c r="H1987" s="198" t="s">
        <v>833</v>
      </c>
      <c r="I1987" s="211">
        <v>0</v>
      </c>
      <c r="J1987" s="211"/>
      <c r="K1987" s="211">
        <v>0</v>
      </c>
      <c r="L1987" s="211"/>
      <c r="M1987" s="211"/>
      <c r="N1987" s="144">
        <f t="shared" si="115"/>
        <v>0</v>
      </c>
      <c r="O1987" s="198" t="s">
        <v>1455</v>
      </c>
      <c r="P1987" s="269" t="s">
        <v>1629</v>
      </c>
      <c r="XFC1987"/>
    </row>
    <row r="1988" s="84" customFormat="1" spans="1:16383">
      <c r="A1988" s="302">
        <v>46113</v>
      </c>
      <c r="B1988" s="198" t="str">
        <f>MID(C1988,1,2)</f>
        <v>1F</v>
      </c>
      <c r="C1988" s="198" t="s">
        <v>148</v>
      </c>
      <c r="D1988" s="198" t="s">
        <v>149</v>
      </c>
      <c r="E1988" s="114" t="s">
        <v>150</v>
      </c>
      <c r="F1988" s="148">
        <v>46127</v>
      </c>
      <c r="G1988" s="198" t="s">
        <v>1176</v>
      </c>
      <c r="H1988" s="198" t="s">
        <v>21</v>
      </c>
      <c r="I1988" s="211">
        <v>15987.04</v>
      </c>
      <c r="J1988" s="211"/>
      <c r="K1988" s="211">
        <v>15987.04</v>
      </c>
      <c r="L1988" s="287">
        <v>15987.04</v>
      </c>
      <c r="M1988" s="287"/>
      <c r="N1988" s="144">
        <f t="shared" si="115"/>
        <v>0</v>
      </c>
      <c r="O1988" s="198" t="s">
        <v>1630</v>
      </c>
      <c r="P1988" s="269" t="s">
        <v>1631</v>
      </c>
      <c r="XFC1988"/>
    </row>
    <row r="1989" s="84" customFormat="1" spans="1:16383">
      <c r="A1989" s="302">
        <v>46113</v>
      </c>
      <c r="B1989" s="198" t="s">
        <v>16</v>
      </c>
      <c r="C1989" s="198" t="s">
        <v>112</v>
      </c>
      <c r="D1989" s="198" t="s">
        <v>113</v>
      </c>
      <c r="E1989" s="198" t="s">
        <v>114</v>
      </c>
      <c r="F1989" s="148">
        <v>46127</v>
      </c>
      <c r="G1989" s="198" t="s">
        <v>1176</v>
      </c>
      <c r="H1989" s="198" t="s">
        <v>21</v>
      </c>
      <c r="I1989" s="211">
        <v>33411.98</v>
      </c>
      <c r="J1989" s="211"/>
      <c r="K1989" s="179">
        <f>I1989-J1989</f>
        <v>33411.98</v>
      </c>
      <c r="L1989" s="211">
        <v>33411.98</v>
      </c>
      <c r="M1989" s="211"/>
      <c r="N1989" s="144">
        <f t="shared" si="115"/>
        <v>0</v>
      </c>
      <c r="O1989" s="198" t="s">
        <v>1632</v>
      </c>
      <c r="P1989" s="269" t="s">
        <v>1633</v>
      </c>
      <c r="XFC1989"/>
    </row>
    <row r="1990" s="84" customFormat="1" spans="1:16383">
      <c r="A1990" s="302">
        <v>46113</v>
      </c>
      <c r="B1990" s="198" t="s">
        <v>16</v>
      </c>
      <c r="C1990" s="198" t="s">
        <v>99</v>
      </c>
      <c r="D1990" s="198" t="s">
        <v>100</v>
      </c>
      <c r="E1990" s="198" t="s">
        <v>101</v>
      </c>
      <c r="F1990" s="148">
        <v>46127</v>
      </c>
      <c r="G1990" s="198" t="s">
        <v>1176</v>
      </c>
      <c r="H1990" s="198" t="s">
        <v>21</v>
      </c>
      <c r="I1990" s="211">
        <v>25692.98</v>
      </c>
      <c r="J1990" s="211"/>
      <c r="K1990" s="179">
        <f>I1990-J1990</f>
        <v>25692.98</v>
      </c>
      <c r="L1990" s="211">
        <v>25692.98</v>
      </c>
      <c r="M1990" s="211"/>
      <c r="N1990" s="144">
        <f t="shared" si="115"/>
        <v>0</v>
      </c>
      <c r="O1990" s="198" t="s">
        <v>1632</v>
      </c>
      <c r="P1990" s="269" t="s">
        <v>1634</v>
      </c>
      <c r="XFC1990"/>
    </row>
    <row r="1991" s="84" customFormat="1" spans="1:16383">
      <c r="A1991" s="302">
        <v>46113</v>
      </c>
      <c r="B1991" s="198" t="s">
        <v>491</v>
      </c>
      <c r="C1991" s="198" t="s">
        <v>526</v>
      </c>
      <c r="D1991" s="198" t="s">
        <v>518</v>
      </c>
      <c r="E1991" s="198" t="s">
        <v>1081</v>
      </c>
      <c r="F1991" s="148">
        <v>46127</v>
      </c>
      <c r="G1991" s="198" t="s">
        <v>1176</v>
      </c>
      <c r="H1991" s="198" t="s">
        <v>23</v>
      </c>
      <c r="I1991" s="211">
        <v>462.18</v>
      </c>
      <c r="J1991" s="211"/>
      <c r="K1991" s="211">
        <v>462.18</v>
      </c>
      <c r="L1991" s="211">
        <v>462.18</v>
      </c>
      <c r="M1991" s="211"/>
      <c r="N1991" s="211">
        <f t="shared" si="115"/>
        <v>0</v>
      </c>
      <c r="O1991" s="198" t="s">
        <v>1635</v>
      </c>
      <c r="P1991" s="269" t="s">
        <v>1636</v>
      </c>
      <c r="XFC1991"/>
    </row>
    <row r="1992" s="84" customFormat="1" spans="1:16383">
      <c r="A1992" s="302">
        <v>46113</v>
      </c>
      <c r="B1992" s="198" t="s">
        <v>491</v>
      </c>
      <c r="C1992" s="198" t="s">
        <v>526</v>
      </c>
      <c r="D1992" s="198" t="s">
        <v>518</v>
      </c>
      <c r="E1992" s="198" t="s">
        <v>1081</v>
      </c>
      <c r="F1992" s="148">
        <v>46127</v>
      </c>
      <c r="G1992" s="198" t="s">
        <v>1176</v>
      </c>
      <c r="H1992" s="198" t="s">
        <v>21</v>
      </c>
      <c r="I1992" s="211">
        <v>3697.46</v>
      </c>
      <c r="J1992" s="211"/>
      <c r="K1992" s="211">
        <v>3697.46</v>
      </c>
      <c r="L1992" s="211">
        <v>3697.46</v>
      </c>
      <c r="M1992" s="211"/>
      <c r="N1992" s="211">
        <f t="shared" si="115"/>
        <v>0</v>
      </c>
      <c r="O1992" s="198" t="s">
        <v>1635</v>
      </c>
      <c r="P1992" s="269" t="s">
        <v>1637</v>
      </c>
      <c r="XFC1992"/>
    </row>
    <row r="1993" s="84" customFormat="1" spans="1:16383">
      <c r="A1993" s="302">
        <v>46113</v>
      </c>
      <c r="B1993" s="121" t="s">
        <v>16</v>
      </c>
      <c r="C1993" s="198" t="s">
        <v>17</v>
      </c>
      <c r="D1993" s="198" t="s">
        <v>18</v>
      </c>
      <c r="E1993" s="198" t="s">
        <v>19</v>
      </c>
      <c r="F1993" s="148">
        <v>46127</v>
      </c>
      <c r="G1993" s="198" t="s">
        <v>1176</v>
      </c>
      <c r="H1993" s="198" t="s">
        <v>21</v>
      </c>
      <c r="I1993" s="211"/>
      <c r="J1993" s="211"/>
      <c r="K1993" s="211"/>
      <c r="L1993" s="211"/>
      <c r="M1993" s="211"/>
      <c r="N1993" s="211">
        <f t="shared" si="115"/>
        <v>0</v>
      </c>
      <c r="O1993" s="198" t="s">
        <v>1455</v>
      </c>
      <c r="P1993" s="269"/>
      <c r="XFC1993"/>
    </row>
    <row r="1994" s="84" customFormat="1" spans="1:16383">
      <c r="A1994" s="302">
        <v>46113</v>
      </c>
      <c r="B1994" s="198" t="s">
        <v>16</v>
      </c>
      <c r="C1994" s="198" t="s">
        <v>52</v>
      </c>
      <c r="D1994" s="198" t="s">
        <v>53</v>
      </c>
      <c r="E1994" s="198" t="s">
        <v>54</v>
      </c>
      <c r="F1994" s="148">
        <v>46127</v>
      </c>
      <c r="G1994" s="198" t="s">
        <v>1176</v>
      </c>
      <c r="H1994" s="198" t="s">
        <v>21</v>
      </c>
      <c r="I1994" s="211"/>
      <c r="J1994" s="211"/>
      <c r="K1994" s="211"/>
      <c r="L1994" s="211"/>
      <c r="M1994" s="211"/>
      <c r="N1994" s="211">
        <f t="shared" si="115"/>
        <v>0</v>
      </c>
      <c r="O1994" s="198" t="s">
        <v>1455</v>
      </c>
      <c r="P1994" s="190" t="s">
        <v>1638</v>
      </c>
      <c r="XFC1994"/>
    </row>
    <row r="1995" s="84" customFormat="1" spans="1:16383">
      <c r="A1995" s="302">
        <v>46113</v>
      </c>
      <c r="B1995" s="198" t="s">
        <v>285</v>
      </c>
      <c r="C1995" s="198" t="s">
        <v>396</v>
      </c>
      <c r="D1995" s="198" t="s">
        <v>397</v>
      </c>
      <c r="E1995" s="198" t="s">
        <v>398</v>
      </c>
      <c r="F1995" s="148">
        <v>46127</v>
      </c>
      <c r="G1995" s="146" t="s">
        <v>1176</v>
      </c>
      <c r="H1995" s="146" t="s">
        <v>21</v>
      </c>
      <c r="I1995" s="211">
        <v>2858.76</v>
      </c>
      <c r="J1995" s="211"/>
      <c r="K1995" s="211">
        <v>2858.76</v>
      </c>
      <c r="L1995" s="211">
        <v>2858.76</v>
      </c>
      <c r="M1995" s="211"/>
      <c r="N1995" s="211">
        <f t="shared" si="115"/>
        <v>0</v>
      </c>
      <c r="O1995" s="198" t="s">
        <v>1639</v>
      </c>
      <c r="P1995" s="269" t="s">
        <v>1640</v>
      </c>
      <c r="XFC1995"/>
    </row>
    <row r="1996" s="84" customFormat="1" spans="1:16383">
      <c r="A1996" s="302">
        <v>46113</v>
      </c>
      <c r="B1996" s="198" t="s">
        <v>679</v>
      </c>
      <c r="C1996" s="198" t="s">
        <v>727</v>
      </c>
      <c r="D1996" s="198" t="s">
        <v>728</v>
      </c>
      <c r="E1996" s="198" t="s">
        <v>729</v>
      </c>
      <c r="F1996" s="148">
        <v>46127</v>
      </c>
      <c r="G1996" s="198" t="s">
        <v>1176</v>
      </c>
      <c r="H1996" s="198" t="s">
        <v>21</v>
      </c>
      <c r="I1996" s="211">
        <v>0</v>
      </c>
      <c r="J1996" s="211">
        <v>0</v>
      </c>
      <c r="K1996" s="211">
        <v>0</v>
      </c>
      <c r="L1996" s="211">
        <v>0</v>
      </c>
      <c r="M1996" s="211"/>
      <c r="N1996" s="211">
        <f t="shared" si="115"/>
        <v>0</v>
      </c>
      <c r="O1996" s="198" t="s">
        <v>1641</v>
      </c>
      <c r="P1996" s="269"/>
      <c r="XFC1996"/>
    </row>
    <row r="1997" s="88" customFormat="1" spans="1:16">
      <c r="A1997" s="302">
        <v>46113</v>
      </c>
      <c r="B1997" s="116" t="s">
        <v>285</v>
      </c>
      <c r="C1997" s="78" t="s">
        <v>462</v>
      </c>
      <c r="D1997" s="116" t="s">
        <v>463</v>
      </c>
      <c r="E1997" s="116" t="s">
        <v>464</v>
      </c>
      <c r="F1997" s="117">
        <v>46127</v>
      </c>
      <c r="G1997" s="114" t="s">
        <v>1402</v>
      </c>
      <c r="H1997" s="116" t="s">
        <v>23</v>
      </c>
      <c r="I1997" s="139">
        <v>33825</v>
      </c>
      <c r="J1997" s="131"/>
      <c r="K1997" s="130">
        <f t="shared" ref="K1997:K2014" si="117">I1997-J1997</f>
        <v>33825</v>
      </c>
      <c r="L1997" s="131">
        <v>33825</v>
      </c>
      <c r="M1997" s="131"/>
      <c r="N1997" s="131">
        <f t="shared" si="115"/>
        <v>0</v>
      </c>
      <c r="O1997" s="138" t="s">
        <v>1642</v>
      </c>
      <c r="P1997" s="138" t="s">
        <v>1643</v>
      </c>
    </row>
    <row r="1998" s="88" customFormat="1" spans="1:16">
      <c r="A1998" s="302">
        <v>46113</v>
      </c>
      <c r="B1998" s="116" t="s">
        <v>285</v>
      </c>
      <c r="C1998" s="78" t="s">
        <v>462</v>
      </c>
      <c r="D1998" s="116" t="s">
        <v>463</v>
      </c>
      <c r="E1998" s="116" t="s">
        <v>464</v>
      </c>
      <c r="F1998" s="117">
        <v>46127</v>
      </c>
      <c r="G1998" s="114" t="s">
        <v>1402</v>
      </c>
      <c r="H1998" s="112" t="s">
        <v>21</v>
      </c>
      <c r="I1998" s="139">
        <v>21918.6</v>
      </c>
      <c r="J1998" s="131"/>
      <c r="K1998" s="130">
        <f t="shared" si="117"/>
        <v>21918.6</v>
      </c>
      <c r="L1998" s="131">
        <v>21918.6</v>
      </c>
      <c r="M1998" s="131"/>
      <c r="N1998" s="131">
        <f t="shared" si="115"/>
        <v>0</v>
      </c>
      <c r="O1998" s="138" t="s">
        <v>1642</v>
      </c>
      <c r="P1998" s="138" t="s">
        <v>1643</v>
      </c>
    </row>
    <row r="1999" s="88" customFormat="1" spans="1:16">
      <c r="A1999" s="302">
        <v>46113</v>
      </c>
      <c r="B1999" s="116" t="s">
        <v>285</v>
      </c>
      <c r="C1999" s="78" t="s">
        <v>462</v>
      </c>
      <c r="D1999" s="116" t="s">
        <v>463</v>
      </c>
      <c r="E1999" s="116" t="s">
        <v>464</v>
      </c>
      <c r="F1999" s="117">
        <v>46127</v>
      </c>
      <c r="G1999" s="116" t="s">
        <v>1162</v>
      </c>
      <c r="H1999" s="138" t="s">
        <v>30</v>
      </c>
      <c r="I1999" s="139">
        <v>3000</v>
      </c>
      <c r="J1999" s="131"/>
      <c r="K1999" s="130">
        <f t="shared" si="117"/>
        <v>3000</v>
      </c>
      <c r="L1999" s="131">
        <v>3000</v>
      </c>
      <c r="M1999" s="131"/>
      <c r="N1999" s="131">
        <f t="shared" si="115"/>
        <v>0</v>
      </c>
      <c r="O1999" s="138" t="s">
        <v>1644</v>
      </c>
      <c r="P1999" s="138" t="s">
        <v>1643</v>
      </c>
    </row>
    <row r="2000" s="84" customFormat="1" spans="1:16383">
      <c r="A2000" s="302">
        <v>46113</v>
      </c>
      <c r="B2000" s="269" t="s">
        <v>285</v>
      </c>
      <c r="C2000" s="256" t="s">
        <v>459</v>
      </c>
      <c r="D2000" s="135" t="s">
        <v>460</v>
      </c>
      <c r="E2000" s="269" t="s">
        <v>461</v>
      </c>
      <c r="F2000" s="117">
        <v>46127</v>
      </c>
      <c r="G2000" s="269" t="s">
        <v>1423</v>
      </c>
      <c r="H2000" s="269" t="s">
        <v>21</v>
      </c>
      <c r="I2000" s="283">
        <v>18748.8</v>
      </c>
      <c r="J2000" s="283"/>
      <c r="K2000" s="130">
        <f t="shared" si="117"/>
        <v>18748.8</v>
      </c>
      <c r="L2000" s="283">
        <v>18748.8</v>
      </c>
      <c r="M2000" s="283"/>
      <c r="N2000" s="131">
        <f t="shared" si="115"/>
        <v>0</v>
      </c>
      <c r="O2000" s="269" t="s">
        <v>1598</v>
      </c>
      <c r="P2000" s="138" t="s">
        <v>1643</v>
      </c>
      <c r="XFC2000"/>
    </row>
    <row r="2001" s="84" customFormat="1" spans="1:16383">
      <c r="A2001" s="302">
        <v>46113</v>
      </c>
      <c r="B2001" s="269" t="s">
        <v>285</v>
      </c>
      <c r="C2001" s="256" t="s">
        <v>459</v>
      </c>
      <c r="D2001" s="135" t="s">
        <v>460</v>
      </c>
      <c r="E2001" s="269" t="s">
        <v>461</v>
      </c>
      <c r="F2001" s="117">
        <v>46127</v>
      </c>
      <c r="G2001" s="269" t="s">
        <v>1423</v>
      </c>
      <c r="H2001" s="269" t="s">
        <v>23</v>
      </c>
      <c r="I2001" s="283">
        <v>7425</v>
      </c>
      <c r="J2001" s="283"/>
      <c r="K2001" s="130">
        <f t="shared" si="117"/>
        <v>7425</v>
      </c>
      <c r="L2001" s="283">
        <v>7425</v>
      </c>
      <c r="M2001" s="283"/>
      <c r="N2001" s="131">
        <f t="shared" si="115"/>
        <v>0</v>
      </c>
      <c r="O2001" s="269" t="s">
        <v>1598</v>
      </c>
      <c r="P2001" s="138" t="s">
        <v>1643</v>
      </c>
      <c r="XFC2001"/>
    </row>
    <row r="2002" s="84" customFormat="1" spans="1:16383">
      <c r="A2002" s="302">
        <v>46113</v>
      </c>
      <c r="B2002" s="269" t="s">
        <v>285</v>
      </c>
      <c r="C2002" s="256" t="s">
        <v>459</v>
      </c>
      <c r="D2002" s="135" t="s">
        <v>460</v>
      </c>
      <c r="E2002" s="269" t="s">
        <v>461</v>
      </c>
      <c r="F2002" s="117">
        <v>46127</v>
      </c>
      <c r="G2002" s="269" t="s">
        <v>1645</v>
      </c>
      <c r="H2002" s="269" t="s">
        <v>30</v>
      </c>
      <c r="I2002" s="283">
        <v>3000</v>
      </c>
      <c r="J2002" s="283"/>
      <c r="K2002" s="130">
        <f t="shared" si="117"/>
        <v>3000</v>
      </c>
      <c r="L2002" s="283"/>
      <c r="M2002" s="283"/>
      <c r="N2002" s="131">
        <f t="shared" si="115"/>
        <v>3000</v>
      </c>
      <c r="O2002" s="269"/>
      <c r="P2002" s="269" t="s">
        <v>1643</v>
      </c>
      <c r="XFC2002"/>
    </row>
    <row r="2003" s="84" customFormat="1" spans="1:16383">
      <c r="A2003" s="302">
        <v>46113</v>
      </c>
      <c r="B2003" s="269" t="s">
        <v>285</v>
      </c>
      <c r="C2003" s="256" t="s">
        <v>459</v>
      </c>
      <c r="D2003" s="135" t="s">
        <v>460</v>
      </c>
      <c r="E2003" s="269" t="s">
        <v>461</v>
      </c>
      <c r="F2003" s="117">
        <v>46127</v>
      </c>
      <c r="G2003" s="269" t="s">
        <v>1646</v>
      </c>
      <c r="H2003" s="269" t="s">
        <v>21</v>
      </c>
      <c r="I2003" s="283">
        <v>18748.8</v>
      </c>
      <c r="J2003" s="283"/>
      <c r="K2003" s="130">
        <f t="shared" si="117"/>
        <v>18748.8</v>
      </c>
      <c r="L2003" s="283">
        <f>9999+8749.8</f>
        <v>18748.8</v>
      </c>
      <c r="M2003" s="283">
        <v>0.1</v>
      </c>
      <c r="N2003" s="131">
        <f t="shared" si="115"/>
        <v>0</v>
      </c>
      <c r="O2003" s="269" t="s">
        <v>1647</v>
      </c>
      <c r="P2003" s="269" t="s">
        <v>1643</v>
      </c>
      <c r="XFC2003"/>
    </row>
    <row r="2004" s="84" customFormat="1" spans="1:16383">
      <c r="A2004" s="302">
        <v>46113</v>
      </c>
      <c r="B2004" s="269" t="s">
        <v>285</v>
      </c>
      <c r="C2004" s="256" t="s">
        <v>459</v>
      </c>
      <c r="D2004" s="135" t="s">
        <v>460</v>
      </c>
      <c r="E2004" s="269" t="s">
        <v>461</v>
      </c>
      <c r="F2004" s="117">
        <v>46127</v>
      </c>
      <c r="G2004" s="269" t="s">
        <v>1646</v>
      </c>
      <c r="H2004" s="269" t="s">
        <v>23</v>
      </c>
      <c r="I2004" s="283">
        <v>7425</v>
      </c>
      <c r="J2004" s="283"/>
      <c r="K2004" s="130">
        <f t="shared" si="117"/>
        <v>7425</v>
      </c>
      <c r="L2004" s="283">
        <v>7425</v>
      </c>
      <c r="M2004" s="283"/>
      <c r="N2004" s="131">
        <f t="shared" si="115"/>
        <v>0</v>
      </c>
      <c r="O2004" s="269" t="s">
        <v>1648</v>
      </c>
      <c r="P2004" s="269" t="s">
        <v>1643</v>
      </c>
      <c r="XFC2004"/>
    </row>
    <row r="2005" s="84" customFormat="1" spans="1:16383">
      <c r="A2005" s="302">
        <v>46082</v>
      </c>
      <c r="B2005" s="269" t="s">
        <v>285</v>
      </c>
      <c r="C2005" s="119" t="s">
        <v>477</v>
      </c>
      <c r="D2005" s="114" t="s">
        <v>478</v>
      </c>
      <c r="E2005" s="269" t="s">
        <v>479</v>
      </c>
      <c r="F2005" s="117">
        <v>46127</v>
      </c>
      <c r="G2005" s="269" t="s">
        <v>1176</v>
      </c>
      <c r="H2005" s="269" t="s">
        <v>21</v>
      </c>
      <c r="I2005" s="283">
        <v>1300</v>
      </c>
      <c r="J2005" s="283"/>
      <c r="K2005" s="130">
        <f t="shared" si="117"/>
        <v>1300</v>
      </c>
      <c r="L2005" s="283">
        <v>1300</v>
      </c>
      <c r="M2005" s="283"/>
      <c r="N2005" s="131">
        <f t="shared" si="115"/>
        <v>0</v>
      </c>
      <c r="O2005" s="269" t="s">
        <v>1625</v>
      </c>
      <c r="P2005" s="269" t="s">
        <v>1643</v>
      </c>
      <c r="XFC2005"/>
    </row>
    <row r="2006" s="84" customFormat="1" spans="1:16383">
      <c r="A2006" s="302">
        <v>46082</v>
      </c>
      <c r="B2006" s="269" t="s">
        <v>285</v>
      </c>
      <c r="C2006" s="119" t="s">
        <v>477</v>
      </c>
      <c r="D2006" s="114" t="s">
        <v>478</v>
      </c>
      <c r="E2006" s="269" t="s">
        <v>479</v>
      </c>
      <c r="F2006" s="117">
        <v>46127</v>
      </c>
      <c r="G2006" s="269" t="s">
        <v>1176</v>
      </c>
      <c r="H2006" s="269" t="s">
        <v>23</v>
      </c>
      <c r="I2006" s="283">
        <v>2860</v>
      </c>
      <c r="J2006" s="283"/>
      <c r="K2006" s="130">
        <f t="shared" si="117"/>
        <v>2860</v>
      </c>
      <c r="L2006" s="283">
        <v>2860</v>
      </c>
      <c r="M2006" s="283"/>
      <c r="N2006" s="131">
        <f t="shared" si="115"/>
        <v>0</v>
      </c>
      <c r="O2006" s="269" t="s">
        <v>1625</v>
      </c>
      <c r="P2006" s="269" t="s">
        <v>1643</v>
      </c>
      <c r="XFC2006"/>
    </row>
    <row r="2007" s="84" customFormat="1" spans="1:16383">
      <c r="A2007" s="302">
        <v>46082</v>
      </c>
      <c r="B2007" s="269" t="s">
        <v>285</v>
      </c>
      <c r="C2007" s="119" t="s">
        <v>477</v>
      </c>
      <c r="D2007" s="114" t="s">
        <v>478</v>
      </c>
      <c r="E2007" s="269" t="s">
        <v>479</v>
      </c>
      <c r="F2007" s="117">
        <v>46127</v>
      </c>
      <c r="G2007" s="269" t="s">
        <v>1645</v>
      </c>
      <c r="H2007" s="269" t="s">
        <v>30</v>
      </c>
      <c r="I2007" s="283">
        <v>3000</v>
      </c>
      <c r="J2007" s="283"/>
      <c r="K2007" s="130">
        <f t="shared" si="117"/>
        <v>3000</v>
      </c>
      <c r="L2007" s="283">
        <v>3000</v>
      </c>
      <c r="M2007" s="283"/>
      <c r="N2007" s="131">
        <f t="shared" si="115"/>
        <v>0</v>
      </c>
      <c r="O2007" s="269" t="s">
        <v>1649</v>
      </c>
      <c r="P2007" s="269" t="s">
        <v>1643</v>
      </c>
      <c r="XFC2007"/>
    </row>
    <row r="2008" s="84" customFormat="1" spans="1:16383">
      <c r="A2008" s="302">
        <v>46113</v>
      </c>
      <c r="B2008" s="269" t="s">
        <v>285</v>
      </c>
      <c r="C2008" s="119" t="s">
        <v>477</v>
      </c>
      <c r="D2008" s="114" t="s">
        <v>478</v>
      </c>
      <c r="E2008" s="269" t="s">
        <v>479</v>
      </c>
      <c r="F2008" s="117">
        <v>46127</v>
      </c>
      <c r="G2008" s="269" t="s">
        <v>1580</v>
      </c>
      <c r="H2008" s="269" t="s">
        <v>21</v>
      </c>
      <c r="I2008" s="283">
        <v>2600</v>
      </c>
      <c r="J2008" s="283"/>
      <c r="K2008" s="130">
        <f t="shared" si="117"/>
        <v>2600</v>
      </c>
      <c r="L2008" s="283">
        <f>1300+1300</f>
        <v>2600</v>
      </c>
      <c r="M2008" s="283"/>
      <c r="N2008" s="131">
        <f t="shared" si="115"/>
        <v>0</v>
      </c>
      <c r="O2008" s="269" t="s">
        <v>1650</v>
      </c>
      <c r="P2008" s="269" t="s">
        <v>1643</v>
      </c>
      <c r="XFC2008"/>
    </row>
    <row r="2009" s="84" customFormat="1" spans="1:16383">
      <c r="A2009" s="302">
        <v>46113</v>
      </c>
      <c r="B2009" s="269" t="s">
        <v>285</v>
      </c>
      <c r="C2009" s="119" t="s">
        <v>477</v>
      </c>
      <c r="D2009" s="114" t="s">
        <v>478</v>
      </c>
      <c r="E2009" s="269" t="s">
        <v>479</v>
      </c>
      <c r="F2009" s="117">
        <v>46127</v>
      </c>
      <c r="G2009" s="269" t="s">
        <v>1580</v>
      </c>
      <c r="H2009" s="269" t="s">
        <v>23</v>
      </c>
      <c r="I2009" s="283">
        <v>5720</v>
      </c>
      <c r="J2009" s="283"/>
      <c r="K2009" s="130">
        <f t="shared" si="117"/>
        <v>5720</v>
      </c>
      <c r="L2009" s="283">
        <f>2860+2860</f>
        <v>5720</v>
      </c>
      <c r="M2009" s="283"/>
      <c r="N2009" s="131">
        <f t="shared" si="115"/>
        <v>0</v>
      </c>
      <c r="O2009" s="269" t="s">
        <v>1650</v>
      </c>
      <c r="P2009" s="269" t="s">
        <v>1643</v>
      </c>
      <c r="XFC2009"/>
    </row>
    <row r="2010" s="84" customFormat="1" spans="1:16383">
      <c r="A2010" s="302">
        <v>46113</v>
      </c>
      <c r="B2010" s="269" t="s">
        <v>285</v>
      </c>
      <c r="C2010" s="256" t="s">
        <v>376</v>
      </c>
      <c r="D2010" s="135" t="s">
        <v>377</v>
      </c>
      <c r="E2010" s="269" t="s">
        <v>378</v>
      </c>
      <c r="F2010" s="117">
        <v>46127</v>
      </c>
      <c r="G2010" s="269" t="s">
        <v>1651</v>
      </c>
      <c r="H2010" s="269" t="s">
        <v>23</v>
      </c>
      <c r="I2010" s="283">
        <v>7440</v>
      </c>
      <c r="J2010" s="283"/>
      <c r="K2010" s="130">
        <f t="shared" si="117"/>
        <v>7440</v>
      </c>
      <c r="L2010" s="283">
        <v>7440</v>
      </c>
      <c r="M2010" s="283"/>
      <c r="N2010" s="131">
        <f t="shared" si="115"/>
        <v>0</v>
      </c>
      <c r="O2010" s="269" t="s">
        <v>1652</v>
      </c>
      <c r="P2010" s="269" t="s">
        <v>1643</v>
      </c>
      <c r="XFC2010"/>
    </row>
    <row r="2011" s="84" customFormat="1" spans="1:16383">
      <c r="A2011" s="302">
        <v>46113</v>
      </c>
      <c r="B2011" s="269" t="s">
        <v>285</v>
      </c>
      <c r="C2011" s="256" t="s">
        <v>376</v>
      </c>
      <c r="D2011" s="135" t="s">
        <v>377</v>
      </c>
      <c r="E2011" s="269" t="s">
        <v>378</v>
      </c>
      <c r="F2011" s="117">
        <v>46127</v>
      </c>
      <c r="G2011" s="269" t="s">
        <v>1651</v>
      </c>
      <c r="H2011" s="269" t="s">
        <v>21</v>
      </c>
      <c r="I2011" s="283">
        <v>8556</v>
      </c>
      <c r="J2011" s="283"/>
      <c r="K2011" s="130">
        <f t="shared" si="117"/>
        <v>8556</v>
      </c>
      <c r="L2011" s="283">
        <f>5996+2560</f>
        <v>8556</v>
      </c>
      <c r="M2011" s="283"/>
      <c r="N2011" s="131">
        <f t="shared" si="115"/>
        <v>0</v>
      </c>
      <c r="O2011" s="269" t="s">
        <v>1653</v>
      </c>
      <c r="P2011" s="269" t="s">
        <v>1643</v>
      </c>
      <c r="XFC2011"/>
    </row>
    <row r="2012" s="84" customFormat="1" spans="1:16383">
      <c r="A2012" s="302">
        <v>46113</v>
      </c>
      <c r="B2012" s="269" t="s">
        <v>285</v>
      </c>
      <c r="C2012" s="256" t="s">
        <v>484</v>
      </c>
      <c r="D2012" s="135" t="s">
        <v>485</v>
      </c>
      <c r="E2012" s="269" t="s">
        <v>486</v>
      </c>
      <c r="F2012" s="120">
        <v>46127</v>
      </c>
      <c r="G2012" s="269" t="s">
        <v>1501</v>
      </c>
      <c r="H2012" s="269" t="s">
        <v>23</v>
      </c>
      <c r="I2012" s="283">
        <v>9405</v>
      </c>
      <c r="J2012" s="283"/>
      <c r="K2012" s="130">
        <f t="shared" si="117"/>
        <v>9405</v>
      </c>
      <c r="L2012" s="283">
        <v>9405</v>
      </c>
      <c r="M2012" s="283"/>
      <c r="N2012" s="131">
        <f t="shared" si="115"/>
        <v>0</v>
      </c>
      <c r="O2012" s="269" t="s">
        <v>1604</v>
      </c>
      <c r="P2012" s="269" t="s">
        <v>1643</v>
      </c>
      <c r="XFC2012"/>
    </row>
    <row r="2013" s="84" customFormat="1" spans="1:16383">
      <c r="A2013" s="302">
        <v>46113</v>
      </c>
      <c r="B2013" s="269" t="s">
        <v>285</v>
      </c>
      <c r="C2013" s="256" t="s">
        <v>484</v>
      </c>
      <c r="D2013" s="135" t="s">
        <v>485</v>
      </c>
      <c r="E2013" s="269" t="s">
        <v>486</v>
      </c>
      <c r="F2013" s="120">
        <v>46127</v>
      </c>
      <c r="G2013" s="269" t="s">
        <v>1501</v>
      </c>
      <c r="H2013" s="269" t="s">
        <v>21</v>
      </c>
      <c r="I2013" s="283">
        <v>8550</v>
      </c>
      <c r="J2013" s="283"/>
      <c r="K2013" s="130">
        <f t="shared" si="117"/>
        <v>8550</v>
      </c>
      <c r="L2013" s="283">
        <v>8550</v>
      </c>
      <c r="M2013" s="283"/>
      <c r="N2013" s="131">
        <f t="shared" si="115"/>
        <v>0</v>
      </c>
      <c r="O2013" s="269" t="s">
        <v>1604</v>
      </c>
      <c r="P2013" s="269" t="s">
        <v>1643</v>
      </c>
      <c r="XFC2013"/>
    </row>
    <row r="2014" s="84" customFormat="1" spans="1:16383">
      <c r="A2014" s="302">
        <v>46113</v>
      </c>
      <c r="B2014" s="269" t="s">
        <v>285</v>
      </c>
      <c r="C2014" s="256" t="s">
        <v>484</v>
      </c>
      <c r="D2014" s="135" t="s">
        <v>485</v>
      </c>
      <c r="E2014" s="269" t="s">
        <v>486</v>
      </c>
      <c r="F2014" s="120">
        <v>46127</v>
      </c>
      <c r="G2014" s="269" t="s">
        <v>1654</v>
      </c>
      <c r="H2014" s="269" t="s">
        <v>30</v>
      </c>
      <c r="I2014" s="283">
        <v>3000</v>
      </c>
      <c r="J2014" s="283"/>
      <c r="K2014" s="130">
        <f t="shared" si="117"/>
        <v>3000</v>
      </c>
      <c r="L2014" s="283">
        <v>3000</v>
      </c>
      <c r="M2014" s="283"/>
      <c r="N2014" s="131">
        <f t="shared" si="115"/>
        <v>0</v>
      </c>
      <c r="O2014" s="269" t="s">
        <v>1604</v>
      </c>
      <c r="P2014" s="269" t="s">
        <v>1643</v>
      </c>
      <c r="XFC2014"/>
    </row>
    <row r="2015" s="84" customFormat="1" spans="1:16383">
      <c r="A2015" s="302">
        <v>46082</v>
      </c>
      <c r="B2015" s="269" t="s">
        <v>679</v>
      </c>
      <c r="C2015" s="310" t="s">
        <v>811</v>
      </c>
      <c r="D2015" s="269" t="s">
        <v>812</v>
      </c>
      <c r="E2015" s="269" t="s">
        <v>813</v>
      </c>
      <c r="F2015" s="120">
        <v>46127</v>
      </c>
      <c r="G2015" s="269" t="s">
        <v>1174</v>
      </c>
      <c r="H2015" s="269" t="s">
        <v>23</v>
      </c>
      <c r="I2015" s="283">
        <v>7717.5</v>
      </c>
      <c r="J2015" s="283"/>
      <c r="K2015" s="283">
        <v>7717.5</v>
      </c>
      <c r="L2015" s="283">
        <v>7717.5</v>
      </c>
      <c r="M2015" s="283"/>
      <c r="N2015" s="131">
        <f t="shared" si="115"/>
        <v>0</v>
      </c>
      <c r="O2015" s="269" t="s">
        <v>1618</v>
      </c>
      <c r="P2015" s="269" t="s">
        <v>1643</v>
      </c>
      <c r="XFC2015"/>
    </row>
    <row r="2016" s="84" customFormat="1" spans="1:16383">
      <c r="A2016" s="302">
        <v>46082</v>
      </c>
      <c r="B2016" s="269" t="s">
        <v>679</v>
      </c>
      <c r="C2016" s="310" t="s">
        <v>811</v>
      </c>
      <c r="D2016" s="269" t="s">
        <v>812</v>
      </c>
      <c r="E2016" s="269" t="s">
        <v>813</v>
      </c>
      <c r="F2016" s="120">
        <v>46127</v>
      </c>
      <c r="G2016" s="269" t="s">
        <v>1174</v>
      </c>
      <c r="H2016" s="269" t="s">
        <v>21</v>
      </c>
      <c r="I2016" s="283">
        <v>7282.5</v>
      </c>
      <c r="J2016" s="283"/>
      <c r="K2016" s="283">
        <v>7282.5</v>
      </c>
      <c r="L2016" s="283">
        <v>7282.5</v>
      </c>
      <c r="M2016" s="283"/>
      <c r="N2016" s="131">
        <f t="shared" si="115"/>
        <v>0</v>
      </c>
      <c r="O2016" s="269" t="s">
        <v>1618</v>
      </c>
      <c r="P2016" s="269" t="s">
        <v>1643</v>
      </c>
      <c r="XFC2016"/>
    </row>
    <row r="2017" s="84" customFormat="1" spans="1:16383">
      <c r="A2017" s="302">
        <v>46113</v>
      </c>
      <c r="B2017" s="113" t="s">
        <v>16</v>
      </c>
      <c r="C2017" s="113" t="s">
        <v>885</v>
      </c>
      <c r="D2017" s="112" t="s">
        <v>227</v>
      </c>
      <c r="E2017" s="113" t="s">
        <v>886</v>
      </c>
      <c r="F2017" s="151">
        <v>46127</v>
      </c>
      <c r="G2017" s="112" t="s">
        <v>1655</v>
      </c>
      <c r="H2017" s="116" t="s">
        <v>833</v>
      </c>
      <c r="I2017" s="159">
        <v>24000</v>
      </c>
      <c r="J2017" s="133">
        <v>0</v>
      </c>
      <c r="K2017" s="283">
        <v>24000</v>
      </c>
      <c r="L2017" s="133">
        <v>24000</v>
      </c>
      <c r="M2017" s="283"/>
      <c r="N2017" s="131">
        <f t="shared" si="115"/>
        <v>0</v>
      </c>
      <c r="O2017" s="269" t="s">
        <v>1656</v>
      </c>
      <c r="P2017" s="269" t="s">
        <v>1643</v>
      </c>
      <c r="XFC2017"/>
    </row>
    <row r="2018" s="84" customFormat="1" spans="1:16383">
      <c r="A2018" s="302">
        <v>46113</v>
      </c>
      <c r="B2018" s="116" t="s">
        <v>285</v>
      </c>
      <c r="C2018" s="113" t="s">
        <v>306</v>
      </c>
      <c r="D2018" s="112" t="s">
        <v>307</v>
      </c>
      <c r="E2018" s="112" t="s">
        <v>308</v>
      </c>
      <c r="F2018" s="151">
        <v>46127</v>
      </c>
      <c r="G2018" s="112" t="s">
        <v>1501</v>
      </c>
      <c r="H2018" s="112" t="s">
        <v>23</v>
      </c>
      <c r="I2018" s="130">
        <v>9075</v>
      </c>
      <c r="J2018" s="283"/>
      <c r="K2018" s="283">
        <f t="shared" ref="K2018:K2028" si="118">I2018-J2018</f>
        <v>9075</v>
      </c>
      <c r="L2018" s="283">
        <v>9075</v>
      </c>
      <c r="M2018" s="283"/>
      <c r="N2018" s="131">
        <f t="shared" si="115"/>
        <v>0</v>
      </c>
      <c r="O2018" s="269" t="s">
        <v>1657</v>
      </c>
      <c r="P2018" s="269" t="s">
        <v>1643</v>
      </c>
      <c r="XFC2018"/>
    </row>
    <row r="2019" s="84" customFormat="1" spans="1:16383">
      <c r="A2019" s="302">
        <v>46113</v>
      </c>
      <c r="B2019" s="116" t="s">
        <v>285</v>
      </c>
      <c r="C2019" s="113" t="s">
        <v>306</v>
      </c>
      <c r="D2019" s="112" t="s">
        <v>307</v>
      </c>
      <c r="E2019" s="112" t="s">
        <v>308</v>
      </c>
      <c r="F2019" s="151">
        <v>46127</v>
      </c>
      <c r="G2019" s="112" t="s">
        <v>1501</v>
      </c>
      <c r="H2019" s="112" t="s">
        <v>21</v>
      </c>
      <c r="I2019" s="130">
        <v>16123.8</v>
      </c>
      <c r="J2019" s="283"/>
      <c r="K2019" s="283">
        <f t="shared" si="118"/>
        <v>16123.8</v>
      </c>
      <c r="L2019" s="283">
        <v>16123.8</v>
      </c>
      <c r="M2019" s="283"/>
      <c r="N2019" s="131">
        <f t="shared" si="115"/>
        <v>0</v>
      </c>
      <c r="O2019" s="269" t="s">
        <v>1657</v>
      </c>
      <c r="P2019" s="269" t="s">
        <v>1643</v>
      </c>
      <c r="XFC2019"/>
    </row>
    <row r="2020" s="84" customFormat="1" spans="1:16383">
      <c r="A2020" s="302">
        <v>46113</v>
      </c>
      <c r="B2020" s="116" t="s">
        <v>285</v>
      </c>
      <c r="C2020" s="113" t="s">
        <v>306</v>
      </c>
      <c r="D2020" s="112" t="s">
        <v>307</v>
      </c>
      <c r="E2020" s="112" t="s">
        <v>308</v>
      </c>
      <c r="F2020" s="151">
        <v>46127</v>
      </c>
      <c r="G2020" s="112" t="s">
        <v>1654</v>
      </c>
      <c r="H2020" s="112" t="s">
        <v>30</v>
      </c>
      <c r="I2020" s="130">
        <v>3000</v>
      </c>
      <c r="J2020" s="283"/>
      <c r="K2020" s="283">
        <f t="shared" si="118"/>
        <v>3000</v>
      </c>
      <c r="L2020" s="283">
        <f>420+1680</f>
        <v>2100</v>
      </c>
      <c r="M2020" s="283"/>
      <c r="N2020" s="131">
        <f t="shared" si="115"/>
        <v>900</v>
      </c>
      <c r="O2020" s="269" t="s">
        <v>1658</v>
      </c>
      <c r="P2020" s="269" t="s">
        <v>1643</v>
      </c>
      <c r="XFC2020"/>
    </row>
    <row r="2021" s="84" customFormat="1" spans="1:16383">
      <c r="A2021" s="302">
        <v>46113</v>
      </c>
      <c r="B2021" s="138" t="s">
        <v>491</v>
      </c>
      <c r="C2021" s="119" t="s">
        <v>594</v>
      </c>
      <c r="D2021" s="214" t="s">
        <v>595</v>
      </c>
      <c r="E2021" s="214" t="s">
        <v>596</v>
      </c>
      <c r="F2021" s="151">
        <v>46127</v>
      </c>
      <c r="G2021" s="215" t="s">
        <v>1019</v>
      </c>
      <c r="H2021" s="112" t="s">
        <v>21</v>
      </c>
      <c r="I2021" s="131">
        <v>8346</v>
      </c>
      <c r="J2021" s="139">
        <v>0</v>
      </c>
      <c r="K2021" s="283">
        <f t="shared" si="118"/>
        <v>8346</v>
      </c>
      <c r="L2021" s="131">
        <v>8346</v>
      </c>
      <c r="M2021" s="283"/>
      <c r="N2021" s="131">
        <f t="shared" si="115"/>
        <v>0</v>
      </c>
      <c r="O2021" s="269" t="s">
        <v>1604</v>
      </c>
      <c r="P2021" s="269" t="s">
        <v>1643</v>
      </c>
      <c r="XFC2021"/>
    </row>
    <row r="2022" s="84" customFormat="1" spans="1:16383">
      <c r="A2022" s="302">
        <v>46113</v>
      </c>
      <c r="B2022" s="138" t="s">
        <v>491</v>
      </c>
      <c r="C2022" s="119" t="s">
        <v>594</v>
      </c>
      <c r="D2022" s="214" t="s">
        <v>595</v>
      </c>
      <c r="E2022" s="214" t="s">
        <v>596</v>
      </c>
      <c r="F2022" s="151">
        <v>46127</v>
      </c>
      <c r="G2022" s="215" t="s">
        <v>1019</v>
      </c>
      <c r="H2022" s="214" t="s">
        <v>23</v>
      </c>
      <c r="I2022" s="131">
        <v>10272</v>
      </c>
      <c r="J2022" s="139">
        <v>0</v>
      </c>
      <c r="K2022" s="283">
        <f t="shared" si="118"/>
        <v>10272</v>
      </c>
      <c r="L2022" s="139">
        <v>10272</v>
      </c>
      <c r="M2022" s="283"/>
      <c r="N2022" s="131">
        <f t="shared" si="115"/>
        <v>0</v>
      </c>
      <c r="O2022" s="269" t="s">
        <v>1604</v>
      </c>
      <c r="P2022" s="269" t="s">
        <v>1643</v>
      </c>
      <c r="XFC2022"/>
    </row>
    <row r="2023" s="84" customFormat="1" spans="1:16383">
      <c r="A2023" s="302">
        <v>46113</v>
      </c>
      <c r="B2023" s="138" t="s">
        <v>491</v>
      </c>
      <c r="C2023" s="119" t="s">
        <v>594</v>
      </c>
      <c r="D2023" s="214" t="s">
        <v>595</v>
      </c>
      <c r="E2023" s="214" t="s">
        <v>596</v>
      </c>
      <c r="F2023" s="151">
        <v>46127</v>
      </c>
      <c r="G2023" s="215" t="s">
        <v>1501</v>
      </c>
      <c r="H2023" s="112" t="s">
        <v>21</v>
      </c>
      <c r="I2023" s="131">
        <v>8346</v>
      </c>
      <c r="J2023" s="139">
        <v>0</v>
      </c>
      <c r="K2023" s="283">
        <f t="shared" si="118"/>
        <v>8346</v>
      </c>
      <c r="L2023" s="131">
        <v>8346</v>
      </c>
      <c r="M2023" s="283"/>
      <c r="N2023" s="131">
        <f t="shared" si="115"/>
        <v>0</v>
      </c>
      <c r="O2023" s="269" t="s">
        <v>1604</v>
      </c>
      <c r="P2023" s="269" t="s">
        <v>1643</v>
      </c>
      <c r="XFC2023"/>
    </row>
    <row r="2024" s="84" customFormat="1" spans="1:16383">
      <c r="A2024" s="302">
        <v>46113</v>
      </c>
      <c r="B2024" s="138" t="s">
        <v>491</v>
      </c>
      <c r="C2024" s="119" t="s">
        <v>594</v>
      </c>
      <c r="D2024" s="214" t="s">
        <v>595</v>
      </c>
      <c r="E2024" s="214" t="s">
        <v>596</v>
      </c>
      <c r="F2024" s="151">
        <v>46127</v>
      </c>
      <c r="G2024" s="215" t="s">
        <v>1501</v>
      </c>
      <c r="H2024" s="214" t="s">
        <v>23</v>
      </c>
      <c r="I2024" s="131">
        <v>10272</v>
      </c>
      <c r="J2024" s="139">
        <v>0</v>
      </c>
      <c r="K2024" s="283">
        <f t="shared" si="118"/>
        <v>10272</v>
      </c>
      <c r="L2024" s="139">
        <v>10272</v>
      </c>
      <c r="M2024" s="283"/>
      <c r="N2024" s="131">
        <f t="shared" si="115"/>
        <v>0</v>
      </c>
      <c r="O2024" s="269" t="s">
        <v>1604</v>
      </c>
      <c r="P2024" s="269" t="s">
        <v>1643</v>
      </c>
      <c r="XFC2024"/>
    </row>
    <row r="2025" s="84" customFormat="1" spans="1:16383">
      <c r="A2025" s="302">
        <v>46113</v>
      </c>
      <c r="B2025" s="138" t="s">
        <v>491</v>
      </c>
      <c r="C2025" s="119" t="s">
        <v>594</v>
      </c>
      <c r="D2025" s="214" t="s">
        <v>595</v>
      </c>
      <c r="E2025" s="214" t="s">
        <v>596</v>
      </c>
      <c r="F2025" s="151">
        <v>46127</v>
      </c>
      <c r="G2025" s="215" t="s">
        <v>1038</v>
      </c>
      <c r="H2025" s="112" t="s">
        <v>30</v>
      </c>
      <c r="I2025" s="283">
        <v>3000</v>
      </c>
      <c r="J2025" s="283">
        <v>3000</v>
      </c>
      <c r="K2025" s="283">
        <f t="shared" si="118"/>
        <v>0</v>
      </c>
      <c r="L2025" s="283"/>
      <c r="M2025" s="283"/>
      <c r="N2025" s="131">
        <f t="shared" ref="N2025:N2060" si="119">K2025-L2025</f>
        <v>0</v>
      </c>
      <c r="O2025" s="269" t="s">
        <v>1659</v>
      </c>
      <c r="P2025" s="269" t="s">
        <v>1643</v>
      </c>
      <c r="XFC2025"/>
    </row>
    <row r="2026" s="84" customFormat="1" spans="1:16383">
      <c r="A2026" s="302">
        <v>46113</v>
      </c>
      <c r="B2026" s="135" t="s">
        <v>16</v>
      </c>
      <c r="C2026" s="256" t="s">
        <v>124</v>
      </c>
      <c r="D2026" s="135" t="s">
        <v>125</v>
      </c>
      <c r="E2026" s="135" t="s">
        <v>126</v>
      </c>
      <c r="F2026" s="151">
        <v>46127</v>
      </c>
      <c r="G2026" s="135" t="s">
        <v>1660</v>
      </c>
      <c r="H2026" s="116" t="s">
        <v>23</v>
      </c>
      <c r="I2026" s="283">
        <v>8792.67</v>
      </c>
      <c r="J2026" s="283"/>
      <c r="K2026" s="283">
        <f t="shared" si="118"/>
        <v>8792.67</v>
      </c>
      <c r="L2026" s="283">
        <v>8792.67</v>
      </c>
      <c r="M2026" s="283"/>
      <c r="N2026" s="131">
        <f t="shared" si="119"/>
        <v>0</v>
      </c>
      <c r="O2026" s="269" t="s">
        <v>1661</v>
      </c>
      <c r="P2026" s="269" t="s">
        <v>1643</v>
      </c>
      <c r="XFC2026"/>
    </row>
    <row r="2027" s="84" customFormat="1" spans="1:16383">
      <c r="A2027" s="302">
        <v>46113</v>
      </c>
      <c r="B2027" s="135" t="s">
        <v>16</v>
      </c>
      <c r="C2027" s="256" t="s">
        <v>124</v>
      </c>
      <c r="D2027" s="135" t="s">
        <v>125</v>
      </c>
      <c r="E2027" s="135" t="s">
        <v>126</v>
      </c>
      <c r="F2027" s="151">
        <v>46127</v>
      </c>
      <c r="G2027" s="135" t="s">
        <v>1660</v>
      </c>
      <c r="H2027" s="116" t="s">
        <v>21</v>
      </c>
      <c r="I2027" s="283">
        <v>67462.13</v>
      </c>
      <c r="J2027" s="283"/>
      <c r="K2027" s="283">
        <f t="shared" si="118"/>
        <v>67462.13</v>
      </c>
      <c r="L2027" s="283">
        <v>67462.13</v>
      </c>
      <c r="M2027" s="283"/>
      <c r="N2027" s="131">
        <f t="shared" si="119"/>
        <v>0</v>
      </c>
      <c r="O2027" s="269" t="s">
        <v>1661</v>
      </c>
      <c r="P2027" s="269" t="s">
        <v>1643</v>
      </c>
      <c r="XFC2027"/>
    </row>
    <row r="2028" s="84" customFormat="1" spans="1:16383">
      <c r="A2028" s="302">
        <v>46113</v>
      </c>
      <c r="B2028" s="135" t="s">
        <v>16</v>
      </c>
      <c r="C2028" s="256" t="s">
        <v>124</v>
      </c>
      <c r="D2028" s="135" t="s">
        <v>125</v>
      </c>
      <c r="E2028" s="135" t="s">
        <v>126</v>
      </c>
      <c r="F2028" s="151">
        <v>46127</v>
      </c>
      <c r="G2028" s="135" t="s">
        <v>1562</v>
      </c>
      <c r="H2028" s="112" t="s">
        <v>30</v>
      </c>
      <c r="I2028" s="283">
        <v>3000</v>
      </c>
      <c r="J2028" s="283"/>
      <c r="K2028" s="283">
        <f t="shared" si="118"/>
        <v>3000</v>
      </c>
      <c r="L2028" s="283">
        <v>3000</v>
      </c>
      <c r="M2028" s="283"/>
      <c r="N2028" s="131">
        <f t="shared" si="119"/>
        <v>0</v>
      </c>
      <c r="O2028" s="269" t="s">
        <v>1661</v>
      </c>
      <c r="P2028" s="269" t="s">
        <v>1643</v>
      </c>
      <c r="XFC2028"/>
    </row>
    <row r="2029" s="88" customFormat="1" spans="1:16">
      <c r="A2029" s="302">
        <v>45931</v>
      </c>
      <c r="B2029" s="114" t="s">
        <v>16</v>
      </c>
      <c r="C2029" s="114" t="s">
        <v>1662</v>
      </c>
      <c r="D2029" s="114" t="s">
        <v>847</v>
      </c>
      <c r="E2029" s="114" t="s">
        <v>1663</v>
      </c>
      <c r="F2029" s="117">
        <v>45945</v>
      </c>
      <c r="G2029" s="114" t="s">
        <v>481</v>
      </c>
      <c r="H2029" s="114" t="s">
        <v>833</v>
      </c>
      <c r="I2029" s="136">
        <v>1800</v>
      </c>
      <c r="J2029" s="131"/>
      <c r="K2029" s="131">
        <v>1800</v>
      </c>
      <c r="L2029" s="131">
        <v>1800</v>
      </c>
      <c r="M2029" s="131"/>
      <c r="N2029" s="131">
        <f t="shared" si="119"/>
        <v>0</v>
      </c>
      <c r="O2029" s="138" t="s">
        <v>1664</v>
      </c>
      <c r="P2029" s="138" t="s">
        <v>1665</v>
      </c>
    </row>
    <row r="2030" s="88" customFormat="1" spans="1:16">
      <c r="A2030" s="302">
        <v>46113</v>
      </c>
      <c r="B2030" s="138" t="s">
        <v>679</v>
      </c>
      <c r="C2030" s="119" t="s">
        <v>807</v>
      </c>
      <c r="D2030" s="138" t="s">
        <v>808</v>
      </c>
      <c r="E2030" s="138" t="s">
        <v>809</v>
      </c>
      <c r="F2030" s="151">
        <v>46127</v>
      </c>
      <c r="G2030" s="138" t="s">
        <v>1019</v>
      </c>
      <c r="H2030" s="138" t="s">
        <v>23</v>
      </c>
      <c r="I2030" s="131">
        <v>8085</v>
      </c>
      <c r="J2030" s="131"/>
      <c r="K2030" s="131">
        <f t="shared" ref="K2030:K2060" si="120">I2030-J2030</f>
        <v>8085</v>
      </c>
      <c r="L2030" s="131">
        <v>8085</v>
      </c>
      <c r="M2030" s="131"/>
      <c r="N2030" s="131">
        <f t="shared" si="119"/>
        <v>0</v>
      </c>
      <c r="O2030" s="138" t="s">
        <v>1598</v>
      </c>
      <c r="P2030" s="138" t="s">
        <v>1666</v>
      </c>
    </row>
    <row r="2031" s="88" customFormat="1" spans="1:16">
      <c r="A2031" s="302">
        <v>46113</v>
      </c>
      <c r="B2031" s="138" t="s">
        <v>679</v>
      </c>
      <c r="C2031" s="119" t="s">
        <v>807</v>
      </c>
      <c r="D2031" s="138" t="s">
        <v>808</v>
      </c>
      <c r="E2031" s="138" t="s">
        <v>809</v>
      </c>
      <c r="F2031" s="151">
        <v>46127</v>
      </c>
      <c r="G2031" s="138" t="s">
        <v>1019</v>
      </c>
      <c r="H2031" s="138" t="s">
        <v>21</v>
      </c>
      <c r="I2031" s="131">
        <v>33443</v>
      </c>
      <c r="J2031" s="131"/>
      <c r="K2031" s="131">
        <f t="shared" si="120"/>
        <v>33443</v>
      </c>
      <c r="L2031" s="131">
        <v>33443</v>
      </c>
      <c r="M2031" s="131"/>
      <c r="N2031" s="131">
        <f t="shared" si="119"/>
        <v>0</v>
      </c>
      <c r="O2031" s="138" t="s">
        <v>1598</v>
      </c>
      <c r="P2031" s="138" t="s">
        <v>1666</v>
      </c>
    </row>
    <row r="2032" s="84" customFormat="1" spans="1:16383">
      <c r="A2032" s="302">
        <v>46113</v>
      </c>
      <c r="B2032" s="135" t="s">
        <v>285</v>
      </c>
      <c r="C2032" s="256" t="s">
        <v>440</v>
      </c>
      <c r="D2032" s="135" t="s">
        <v>441</v>
      </c>
      <c r="E2032" s="135" t="s">
        <v>442</v>
      </c>
      <c r="F2032" s="151">
        <v>46127</v>
      </c>
      <c r="G2032" s="135" t="s">
        <v>1280</v>
      </c>
      <c r="H2032" s="116" t="s">
        <v>21</v>
      </c>
      <c r="I2032" s="252">
        <v>32764.93</v>
      </c>
      <c r="J2032" s="139">
        <v>0</v>
      </c>
      <c r="K2032" s="252">
        <f t="shared" si="120"/>
        <v>32764.93</v>
      </c>
      <c r="L2032" s="139">
        <v>32764.93</v>
      </c>
      <c r="M2032" s="283"/>
      <c r="N2032" s="131">
        <f t="shared" si="119"/>
        <v>0</v>
      </c>
      <c r="O2032" s="269" t="s">
        <v>1184</v>
      </c>
      <c r="P2032" s="269" t="s">
        <v>1643</v>
      </c>
      <c r="XFC2032"/>
    </row>
    <row r="2033" s="84" customFormat="1" spans="1:16383">
      <c r="A2033" s="302">
        <v>46113</v>
      </c>
      <c r="B2033" s="135" t="s">
        <v>285</v>
      </c>
      <c r="C2033" s="256" t="s">
        <v>440</v>
      </c>
      <c r="D2033" s="135" t="s">
        <v>441</v>
      </c>
      <c r="E2033" s="135" t="s">
        <v>442</v>
      </c>
      <c r="F2033" s="151">
        <v>46127</v>
      </c>
      <c r="G2033" s="135" t="s">
        <v>1280</v>
      </c>
      <c r="H2033" s="116" t="s">
        <v>23</v>
      </c>
      <c r="I2033" s="252">
        <v>32764.93</v>
      </c>
      <c r="J2033" s="139">
        <v>0</v>
      </c>
      <c r="K2033" s="252">
        <f t="shared" si="120"/>
        <v>32764.93</v>
      </c>
      <c r="L2033" s="139">
        <v>32764.93</v>
      </c>
      <c r="M2033" s="283"/>
      <c r="N2033" s="131">
        <f t="shared" si="119"/>
        <v>0</v>
      </c>
      <c r="O2033" s="269" t="s">
        <v>1184</v>
      </c>
      <c r="P2033" s="269" t="s">
        <v>1643</v>
      </c>
      <c r="XFC2033"/>
    </row>
    <row r="2034" s="84" customFormat="1" spans="1:16383">
      <c r="A2034" s="302">
        <v>46113</v>
      </c>
      <c r="B2034" s="135" t="s">
        <v>285</v>
      </c>
      <c r="C2034" s="256" t="s">
        <v>440</v>
      </c>
      <c r="D2034" s="135" t="s">
        <v>441</v>
      </c>
      <c r="E2034" s="135" t="s">
        <v>442</v>
      </c>
      <c r="F2034" s="151">
        <v>46127</v>
      </c>
      <c r="G2034" s="135" t="s">
        <v>1667</v>
      </c>
      <c r="H2034" s="112" t="s">
        <v>30</v>
      </c>
      <c r="I2034" s="283">
        <v>3000</v>
      </c>
      <c r="J2034" s="283"/>
      <c r="K2034" s="252">
        <f t="shared" si="120"/>
        <v>3000</v>
      </c>
      <c r="L2034" s="283">
        <v>3000</v>
      </c>
      <c r="M2034" s="283"/>
      <c r="N2034" s="131">
        <f t="shared" si="119"/>
        <v>0</v>
      </c>
      <c r="O2034" s="269" t="s">
        <v>1184</v>
      </c>
      <c r="P2034" s="269" t="s">
        <v>1643</v>
      </c>
      <c r="XFC2034"/>
    </row>
    <row r="2035" s="84" customFormat="1" spans="1:16383">
      <c r="A2035" s="302">
        <v>46113</v>
      </c>
      <c r="B2035" s="135" t="s">
        <v>285</v>
      </c>
      <c r="C2035" s="256" t="s">
        <v>440</v>
      </c>
      <c r="D2035" s="135" t="s">
        <v>441</v>
      </c>
      <c r="E2035" s="135" t="s">
        <v>442</v>
      </c>
      <c r="F2035" s="151">
        <v>46127</v>
      </c>
      <c r="G2035" s="135" t="s">
        <v>1646</v>
      </c>
      <c r="H2035" s="116" t="s">
        <v>21</v>
      </c>
      <c r="I2035" s="283">
        <v>26400</v>
      </c>
      <c r="J2035" s="283"/>
      <c r="K2035" s="252">
        <f t="shared" si="120"/>
        <v>26400</v>
      </c>
      <c r="L2035" s="283">
        <v>26400</v>
      </c>
      <c r="M2035" s="283"/>
      <c r="N2035" s="131">
        <f t="shared" si="119"/>
        <v>0</v>
      </c>
      <c r="O2035" s="269" t="s">
        <v>1668</v>
      </c>
      <c r="P2035" s="269" t="s">
        <v>1643</v>
      </c>
      <c r="XFC2035"/>
    </row>
    <row r="2036" s="84" customFormat="1" spans="1:16383">
      <c r="A2036" s="302">
        <v>46113</v>
      </c>
      <c r="B2036" s="135" t="s">
        <v>285</v>
      </c>
      <c r="C2036" s="256" t="s">
        <v>440</v>
      </c>
      <c r="D2036" s="135" t="s">
        <v>441</v>
      </c>
      <c r="E2036" s="135" t="s">
        <v>442</v>
      </c>
      <c r="F2036" s="151">
        <v>46127</v>
      </c>
      <c r="G2036" s="135" t="s">
        <v>1646</v>
      </c>
      <c r="H2036" s="116" t="s">
        <v>23</v>
      </c>
      <c r="I2036" s="283">
        <v>26400</v>
      </c>
      <c r="J2036" s="283"/>
      <c r="K2036" s="252">
        <f t="shared" si="120"/>
        <v>26400</v>
      </c>
      <c r="L2036" s="283">
        <f>25550+850</f>
        <v>26400</v>
      </c>
      <c r="M2036" s="283"/>
      <c r="N2036" s="131">
        <f t="shared" si="119"/>
        <v>0</v>
      </c>
      <c r="O2036" s="269" t="s">
        <v>1669</v>
      </c>
      <c r="P2036" s="269" t="s">
        <v>1643</v>
      </c>
      <c r="XFC2036"/>
    </row>
    <row r="2037" s="103" customFormat="1" spans="1:16">
      <c r="A2037" s="311">
        <v>45870</v>
      </c>
      <c r="B2037" s="312" t="s">
        <v>679</v>
      </c>
      <c r="C2037" s="313" t="s">
        <v>680</v>
      </c>
      <c r="D2037" s="312" t="s">
        <v>681</v>
      </c>
      <c r="E2037" s="312" t="s">
        <v>682</v>
      </c>
      <c r="F2037" s="314">
        <v>45900</v>
      </c>
      <c r="G2037" s="312" t="s">
        <v>58</v>
      </c>
      <c r="H2037" s="315" t="s">
        <v>21</v>
      </c>
      <c r="I2037" s="323">
        <v>24076</v>
      </c>
      <c r="J2037" s="323">
        <v>0</v>
      </c>
      <c r="K2037" s="324">
        <f t="shared" si="120"/>
        <v>24076</v>
      </c>
      <c r="L2037" s="323">
        <v>0</v>
      </c>
      <c r="M2037" s="323"/>
      <c r="N2037" s="325">
        <f t="shared" si="119"/>
        <v>24076</v>
      </c>
      <c r="O2037" s="326"/>
      <c r="P2037" s="319"/>
    </row>
    <row r="2038" s="104" customFormat="1" spans="1:17">
      <c r="A2038" s="311">
        <v>45901</v>
      </c>
      <c r="B2038" s="312" t="s">
        <v>679</v>
      </c>
      <c r="C2038" s="313" t="s">
        <v>680</v>
      </c>
      <c r="D2038" s="312" t="s">
        <v>681</v>
      </c>
      <c r="E2038" s="312" t="s">
        <v>682</v>
      </c>
      <c r="F2038" s="314">
        <v>45930</v>
      </c>
      <c r="G2038" s="312" t="s">
        <v>60</v>
      </c>
      <c r="H2038" s="312" t="s">
        <v>23</v>
      </c>
      <c r="I2038" s="327">
        <v>6500</v>
      </c>
      <c r="J2038" s="327"/>
      <c r="K2038" s="324">
        <f t="shared" si="120"/>
        <v>6500</v>
      </c>
      <c r="L2038" s="327">
        <v>6500</v>
      </c>
      <c r="M2038" s="327"/>
      <c r="N2038" s="325">
        <f t="shared" si="119"/>
        <v>0</v>
      </c>
      <c r="O2038" s="328" t="s">
        <v>1670</v>
      </c>
      <c r="P2038" s="328"/>
      <c r="Q2038" s="104" t="s">
        <v>51</v>
      </c>
    </row>
    <row r="2039" s="104" customFormat="1" spans="1:17">
      <c r="A2039" s="311">
        <v>45901</v>
      </c>
      <c r="B2039" s="312" t="s">
        <v>679</v>
      </c>
      <c r="C2039" s="313" t="s">
        <v>680</v>
      </c>
      <c r="D2039" s="312" t="s">
        <v>681</v>
      </c>
      <c r="E2039" s="312" t="s">
        <v>682</v>
      </c>
      <c r="F2039" s="314">
        <v>45930</v>
      </c>
      <c r="G2039" s="312" t="s">
        <v>60</v>
      </c>
      <c r="H2039" s="315" t="s">
        <v>21</v>
      </c>
      <c r="I2039" s="327">
        <v>24076</v>
      </c>
      <c r="J2039" s="327">
        <v>15576</v>
      </c>
      <c r="K2039" s="324">
        <f t="shared" si="120"/>
        <v>8500</v>
      </c>
      <c r="L2039" s="327">
        <v>8500</v>
      </c>
      <c r="M2039" s="327"/>
      <c r="N2039" s="325">
        <f t="shared" si="119"/>
        <v>0</v>
      </c>
      <c r="O2039" s="328" t="s">
        <v>1670</v>
      </c>
      <c r="P2039" s="328"/>
      <c r="Q2039" s="104" t="s">
        <v>51</v>
      </c>
    </row>
    <row r="2040" s="105" customFormat="1" spans="1:16">
      <c r="A2040" s="311">
        <v>45931</v>
      </c>
      <c r="B2040" s="312" t="s">
        <v>679</v>
      </c>
      <c r="C2040" s="316" t="s">
        <v>680</v>
      </c>
      <c r="D2040" s="317" t="s">
        <v>681</v>
      </c>
      <c r="E2040" s="317" t="s">
        <v>682</v>
      </c>
      <c r="F2040" s="314">
        <v>45946</v>
      </c>
      <c r="G2040" s="317" t="s">
        <v>28</v>
      </c>
      <c r="H2040" s="317" t="s">
        <v>23</v>
      </c>
      <c r="I2040" s="325">
        <v>6500</v>
      </c>
      <c r="J2040" s="325">
        <v>500</v>
      </c>
      <c r="K2040" s="324">
        <f t="shared" si="120"/>
        <v>6000</v>
      </c>
      <c r="L2040" s="329">
        <v>6000</v>
      </c>
      <c r="M2040" s="329"/>
      <c r="N2040" s="325">
        <f t="shared" si="119"/>
        <v>0</v>
      </c>
      <c r="O2040" s="328" t="s">
        <v>1670</v>
      </c>
      <c r="P2040" s="326"/>
    </row>
    <row r="2041" s="105" customFormat="1" spans="1:16">
      <c r="A2041" s="311">
        <v>45931</v>
      </c>
      <c r="B2041" s="312" t="s">
        <v>679</v>
      </c>
      <c r="C2041" s="316" t="s">
        <v>680</v>
      </c>
      <c r="D2041" s="317" t="s">
        <v>681</v>
      </c>
      <c r="E2041" s="317" t="s">
        <v>682</v>
      </c>
      <c r="F2041" s="314">
        <v>45946</v>
      </c>
      <c r="G2041" s="317" t="s">
        <v>28</v>
      </c>
      <c r="H2041" s="315" t="s">
        <v>21</v>
      </c>
      <c r="I2041" s="325">
        <v>24076</v>
      </c>
      <c r="J2041" s="325">
        <v>24076</v>
      </c>
      <c r="K2041" s="324">
        <f t="shared" si="120"/>
        <v>0</v>
      </c>
      <c r="L2041" s="329"/>
      <c r="M2041" s="329"/>
      <c r="N2041" s="325">
        <f t="shared" si="119"/>
        <v>0</v>
      </c>
      <c r="O2041" s="328" t="s">
        <v>1670</v>
      </c>
      <c r="P2041" s="326"/>
    </row>
    <row r="2042" s="105" customFormat="1" spans="1:16">
      <c r="A2042" s="311">
        <v>45962</v>
      </c>
      <c r="B2042" s="312" t="s">
        <v>679</v>
      </c>
      <c r="C2042" s="316" t="s">
        <v>680</v>
      </c>
      <c r="D2042" s="317" t="s">
        <v>681</v>
      </c>
      <c r="E2042" s="317" t="s">
        <v>682</v>
      </c>
      <c r="F2042" s="314">
        <v>45976</v>
      </c>
      <c r="G2042" s="317" t="s">
        <v>26</v>
      </c>
      <c r="H2042" s="317" t="s">
        <v>23</v>
      </c>
      <c r="I2042" s="325">
        <v>6500</v>
      </c>
      <c r="J2042" s="325">
        <v>500</v>
      </c>
      <c r="K2042" s="324">
        <f t="shared" si="120"/>
        <v>6000</v>
      </c>
      <c r="L2042" s="329">
        <v>6000</v>
      </c>
      <c r="M2042" s="329"/>
      <c r="N2042" s="325">
        <f t="shared" si="119"/>
        <v>0</v>
      </c>
      <c r="O2042" s="328" t="s">
        <v>1670</v>
      </c>
      <c r="P2042" s="326"/>
    </row>
    <row r="2043" s="105" customFormat="1" spans="1:16">
      <c r="A2043" s="311">
        <v>45962</v>
      </c>
      <c r="B2043" s="312" t="s">
        <v>679</v>
      </c>
      <c r="C2043" s="316" t="s">
        <v>680</v>
      </c>
      <c r="D2043" s="317" t="s">
        <v>681</v>
      </c>
      <c r="E2043" s="317" t="s">
        <v>682</v>
      </c>
      <c r="F2043" s="314">
        <v>45976</v>
      </c>
      <c r="G2043" s="317" t="s">
        <v>26</v>
      </c>
      <c r="H2043" s="315" t="s">
        <v>21</v>
      </c>
      <c r="I2043" s="325">
        <v>24076</v>
      </c>
      <c r="J2043" s="325">
        <v>24076</v>
      </c>
      <c r="K2043" s="324">
        <f t="shared" si="120"/>
        <v>0</v>
      </c>
      <c r="L2043" s="329"/>
      <c r="M2043" s="329"/>
      <c r="N2043" s="325">
        <f t="shared" si="119"/>
        <v>0</v>
      </c>
      <c r="O2043" s="328"/>
      <c r="P2043" s="326"/>
    </row>
    <row r="2044" s="106" customFormat="1" spans="1:16">
      <c r="A2044" s="318">
        <v>45992</v>
      </c>
      <c r="B2044" s="319" t="s">
        <v>679</v>
      </c>
      <c r="C2044" s="320" t="s">
        <v>680</v>
      </c>
      <c r="D2044" s="319" t="s">
        <v>681</v>
      </c>
      <c r="E2044" s="319" t="s">
        <v>682</v>
      </c>
      <c r="F2044" s="321">
        <v>46007</v>
      </c>
      <c r="G2044" s="319" t="s">
        <v>98</v>
      </c>
      <c r="H2044" s="312" t="s">
        <v>21</v>
      </c>
      <c r="I2044" s="330">
        <v>24076</v>
      </c>
      <c r="J2044" s="327">
        <v>24076</v>
      </c>
      <c r="K2044" s="324">
        <f t="shared" si="120"/>
        <v>0</v>
      </c>
      <c r="L2044" s="327"/>
      <c r="M2044" s="327"/>
      <c r="N2044" s="325">
        <f t="shared" si="119"/>
        <v>0</v>
      </c>
      <c r="O2044" s="331"/>
      <c r="P2044" s="332"/>
    </row>
    <row r="2045" s="106" customFormat="1" spans="1:16">
      <c r="A2045" s="318">
        <v>45992</v>
      </c>
      <c r="B2045" s="319" t="s">
        <v>679</v>
      </c>
      <c r="C2045" s="320" t="s">
        <v>680</v>
      </c>
      <c r="D2045" s="319" t="s">
        <v>681</v>
      </c>
      <c r="E2045" s="319" t="s">
        <v>682</v>
      </c>
      <c r="F2045" s="321">
        <v>46007</v>
      </c>
      <c r="G2045" s="319" t="s">
        <v>98</v>
      </c>
      <c r="H2045" s="312" t="s">
        <v>23</v>
      </c>
      <c r="I2045" s="330">
        <v>6500</v>
      </c>
      <c r="J2045" s="327">
        <v>500</v>
      </c>
      <c r="K2045" s="324">
        <f t="shared" si="120"/>
        <v>6000</v>
      </c>
      <c r="L2045" s="327">
        <v>6000</v>
      </c>
      <c r="M2045" s="327"/>
      <c r="N2045" s="325">
        <f t="shared" si="119"/>
        <v>0</v>
      </c>
      <c r="O2045" s="331" t="s">
        <v>1671</v>
      </c>
      <c r="P2045" s="332"/>
    </row>
    <row r="2046" s="103" customFormat="1" spans="1:16">
      <c r="A2046" s="318">
        <v>46023</v>
      </c>
      <c r="B2046" s="319" t="s">
        <v>679</v>
      </c>
      <c r="C2046" s="320" t="s">
        <v>680</v>
      </c>
      <c r="D2046" s="319" t="s">
        <v>681</v>
      </c>
      <c r="E2046" s="319" t="s">
        <v>682</v>
      </c>
      <c r="F2046" s="321">
        <v>46038</v>
      </c>
      <c r="G2046" s="319" t="s">
        <v>96</v>
      </c>
      <c r="H2046" s="312" t="s">
        <v>23</v>
      </c>
      <c r="I2046" s="330">
        <v>6500</v>
      </c>
      <c r="J2046" s="327">
        <v>500</v>
      </c>
      <c r="K2046" s="324">
        <f t="shared" si="120"/>
        <v>6000</v>
      </c>
      <c r="L2046" s="327">
        <v>6000</v>
      </c>
      <c r="M2046" s="327"/>
      <c r="N2046" s="325">
        <f t="shared" si="119"/>
        <v>0</v>
      </c>
      <c r="O2046" s="326" t="s">
        <v>1672</v>
      </c>
      <c r="P2046" s="319"/>
    </row>
    <row r="2047" s="103" customFormat="1" spans="1:16">
      <c r="A2047" s="318">
        <v>46023</v>
      </c>
      <c r="B2047" s="319" t="s">
        <v>679</v>
      </c>
      <c r="C2047" s="320" t="s">
        <v>680</v>
      </c>
      <c r="D2047" s="319" t="s">
        <v>681</v>
      </c>
      <c r="E2047" s="319" t="s">
        <v>682</v>
      </c>
      <c r="F2047" s="321">
        <v>46038</v>
      </c>
      <c r="G2047" s="319" t="s">
        <v>96</v>
      </c>
      <c r="H2047" s="312" t="s">
        <v>21</v>
      </c>
      <c r="I2047" s="330">
        <v>24076</v>
      </c>
      <c r="J2047" s="327">
        <v>24076</v>
      </c>
      <c r="K2047" s="324">
        <f t="shared" si="120"/>
        <v>0</v>
      </c>
      <c r="L2047" s="327"/>
      <c r="M2047" s="327"/>
      <c r="N2047" s="325">
        <f t="shared" si="119"/>
        <v>0</v>
      </c>
      <c r="O2047" s="331"/>
      <c r="P2047" s="319"/>
    </row>
    <row r="2048" s="88" customFormat="1" spans="1:16">
      <c r="A2048" s="322">
        <v>46082</v>
      </c>
      <c r="B2048" s="138" t="str">
        <f>MID(C2048,1,2)</f>
        <v>6F</v>
      </c>
      <c r="C2048" s="114" t="s">
        <v>817</v>
      </c>
      <c r="D2048" s="114" t="s">
        <v>818</v>
      </c>
      <c r="E2048" s="114" t="s">
        <v>819</v>
      </c>
      <c r="F2048" s="117">
        <v>46096</v>
      </c>
      <c r="G2048" s="114" t="s">
        <v>1174</v>
      </c>
      <c r="H2048" s="114" t="s">
        <v>23</v>
      </c>
      <c r="I2048" s="136">
        <v>12500</v>
      </c>
      <c r="J2048" s="131">
        <v>5000</v>
      </c>
      <c r="K2048" s="252">
        <f t="shared" si="120"/>
        <v>7500</v>
      </c>
      <c r="L2048" s="131">
        <v>7500</v>
      </c>
      <c r="M2048" s="131"/>
      <c r="N2048" s="136">
        <f t="shared" si="119"/>
        <v>0</v>
      </c>
      <c r="O2048" s="143" t="s">
        <v>1208</v>
      </c>
      <c r="P2048" s="138" t="s">
        <v>1643</v>
      </c>
    </row>
    <row r="2049" s="88" customFormat="1" spans="1:16">
      <c r="A2049" s="322">
        <v>46082</v>
      </c>
      <c r="B2049" s="138" t="str">
        <f>MID(C2049,1,2)</f>
        <v>6F</v>
      </c>
      <c r="C2049" s="114" t="s">
        <v>817</v>
      </c>
      <c r="D2049" s="114" t="s">
        <v>818</v>
      </c>
      <c r="E2049" s="114" t="s">
        <v>819</v>
      </c>
      <c r="F2049" s="117">
        <v>46096</v>
      </c>
      <c r="G2049" s="114" t="s">
        <v>1174</v>
      </c>
      <c r="H2049" s="114" t="s">
        <v>21</v>
      </c>
      <c r="I2049" s="136">
        <v>15000</v>
      </c>
      <c r="J2049" s="131">
        <v>7500</v>
      </c>
      <c r="K2049" s="252">
        <f t="shared" si="120"/>
        <v>7500</v>
      </c>
      <c r="L2049" s="131">
        <v>7500</v>
      </c>
      <c r="M2049" s="131"/>
      <c r="N2049" s="136">
        <f t="shared" si="119"/>
        <v>0</v>
      </c>
      <c r="O2049" s="143" t="s">
        <v>1208</v>
      </c>
      <c r="P2049" s="138" t="s">
        <v>1643</v>
      </c>
    </row>
    <row r="2050" s="84" customFormat="1" spans="1:16383">
      <c r="A2050" s="322">
        <v>46113</v>
      </c>
      <c r="B2050" s="114" t="str">
        <f>MID(C2050,1,2)</f>
        <v>2F</v>
      </c>
      <c r="C2050" s="114" t="s">
        <v>396</v>
      </c>
      <c r="D2050" s="114" t="s">
        <v>1673</v>
      </c>
      <c r="E2050" s="114" t="s">
        <v>398</v>
      </c>
      <c r="F2050" s="120">
        <v>46128</v>
      </c>
      <c r="G2050" s="114" t="s">
        <v>1338</v>
      </c>
      <c r="H2050" s="114" t="s">
        <v>23</v>
      </c>
      <c r="I2050" s="136">
        <v>5020</v>
      </c>
      <c r="J2050" s="136"/>
      <c r="K2050" s="136">
        <f t="shared" si="120"/>
        <v>5020</v>
      </c>
      <c r="L2050" s="136"/>
      <c r="M2050" s="136"/>
      <c r="N2050" s="136">
        <f t="shared" si="119"/>
        <v>5020</v>
      </c>
      <c r="O2050" s="269"/>
      <c r="P2050" s="269"/>
      <c r="XFC2050"/>
    </row>
    <row r="2051" s="84" customFormat="1" spans="1:16383">
      <c r="A2051" s="322">
        <v>46113</v>
      </c>
      <c r="B2051" s="114" t="str">
        <f>MID(C2051,1,2)</f>
        <v>2F</v>
      </c>
      <c r="C2051" s="114" t="s">
        <v>396</v>
      </c>
      <c r="D2051" s="114" t="s">
        <v>1673</v>
      </c>
      <c r="E2051" s="114" t="s">
        <v>398</v>
      </c>
      <c r="F2051" s="120">
        <v>46128</v>
      </c>
      <c r="G2051" s="114" t="s">
        <v>1174</v>
      </c>
      <c r="H2051" s="114" t="s">
        <v>23</v>
      </c>
      <c r="I2051" s="136">
        <v>5020</v>
      </c>
      <c r="J2051" s="136"/>
      <c r="K2051" s="136">
        <f t="shared" si="120"/>
        <v>5020</v>
      </c>
      <c r="L2051" s="136"/>
      <c r="M2051" s="136"/>
      <c r="N2051" s="136">
        <f t="shared" si="119"/>
        <v>5020</v>
      </c>
      <c r="O2051" s="269"/>
      <c r="P2051" s="269"/>
      <c r="XFC2051"/>
    </row>
    <row r="2052" s="84" customFormat="1" spans="1:16383">
      <c r="A2052" s="322">
        <v>46113</v>
      </c>
      <c r="B2052" s="114" t="str">
        <f>MID(C2052,1,2)</f>
        <v>2F</v>
      </c>
      <c r="C2052" s="114" t="s">
        <v>396</v>
      </c>
      <c r="D2052" s="114" t="s">
        <v>1673</v>
      </c>
      <c r="E2052" s="114" t="s">
        <v>398</v>
      </c>
      <c r="F2052" s="120">
        <v>46128</v>
      </c>
      <c r="G2052" s="114" t="s">
        <v>1176</v>
      </c>
      <c r="H2052" s="114" t="s">
        <v>23</v>
      </c>
      <c r="I2052" s="136">
        <v>5020</v>
      </c>
      <c r="J2052" s="136"/>
      <c r="K2052" s="136">
        <f t="shared" si="120"/>
        <v>5020</v>
      </c>
      <c r="L2052" s="136"/>
      <c r="M2052" s="136"/>
      <c r="N2052" s="136">
        <f t="shared" si="119"/>
        <v>5020</v>
      </c>
      <c r="O2052" s="269"/>
      <c r="P2052" s="269"/>
      <c r="XFC2052"/>
    </row>
    <row r="2053" s="84" customFormat="1" spans="1:16383">
      <c r="A2053" s="322">
        <v>46113</v>
      </c>
      <c r="B2053" s="116" t="s">
        <v>285</v>
      </c>
      <c r="C2053" s="114" t="s">
        <v>413</v>
      </c>
      <c r="D2053" s="114" t="s">
        <v>414</v>
      </c>
      <c r="E2053" s="114" t="s">
        <v>415</v>
      </c>
      <c r="F2053" s="120">
        <v>46128</v>
      </c>
      <c r="G2053" s="114" t="s">
        <v>1338</v>
      </c>
      <c r="H2053" s="114" t="s">
        <v>21</v>
      </c>
      <c r="I2053" s="136">
        <v>1800</v>
      </c>
      <c r="J2053" s="136">
        <v>0</v>
      </c>
      <c r="K2053" s="136">
        <f t="shared" si="120"/>
        <v>1800</v>
      </c>
      <c r="L2053" s="136">
        <v>1800</v>
      </c>
      <c r="M2053" s="136"/>
      <c r="N2053" s="136">
        <f t="shared" si="119"/>
        <v>0</v>
      </c>
      <c r="O2053" s="269" t="s">
        <v>1674</v>
      </c>
      <c r="P2053" s="269"/>
      <c r="XFC2053"/>
    </row>
    <row r="2054" s="84" customFormat="1" spans="1:16383">
      <c r="A2054" s="322">
        <v>46113</v>
      </c>
      <c r="B2054" s="116" t="s">
        <v>285</v>
      </c>
      <c r="C2054" s="114" t="s">
        <v>413</v>
      </c>
      <c r="D2054" s="114" t="s">
        <v>414</v>
      </c>
      <c r="E2054" s="114" t="s">
        <v>415</v>
      </c>
      <c r="F2054" s="120">
        <v>46128</v>
      </c>
      <c r="G2054" s="114" t="s">
        <v>1174</v>
      </c>
      <c r="H2054" s="114" t="s">
        <v>21</v>
      </c>
      <c r="I2054" s="136">
        <v>1800</v>
      </c>
      <c r="J2054" s="136">
        <v>0</v>
      </c>
      <c r="K2054" s="136">
        <f t="shared" si="120"/>
        <v>1800</v>
      </c>
      <c r="L2054" s="136">
        <v>1800</v>
      </c>
      <c r="M2054" s="283"/>
      <c r="N2054" s="136">
        <f t="shared" si="119"/>
        <v>0</v>
      </c>
      <c r="O2054" s="269" t="s">
        <v>1675</v>
      </c>
      <c r="P2054" s="269"/>
      <c r="XFC2054"/>
    </row>
    <row r="2055" s="84" customFormat="1" spans="1:16383">
      <c r="A2055" s="322">
        <v>46113</v>
      </c>
      <c r="B2055" s="116" t="s">
        <v>285</v>
      </c>
      <c r="C2055" s="114" t="s">
        <v>413</v>
      </c>
      <c r="D2055" s="114" t="s">
        <v>414</v>
      </c>
      <c r="E2055" s="114" t="s">
        <v>415</v>
      </c>
      <c r="F2055" s="120">
        <v>46128</v>
      </c>
      <c r="G2055" s="114" t="s">
        <v>1176</v>
      </c>
      <c r="H2055" s="114" t="s">
        <v>21</v>
      </c>
      <c r="I2055" s="136">
        <v>1800</v>
      </c>
      <c r="J2055" s="136">
        <v>0</v>
      </c>
      <c r="K2055" s="136">
        <f t="shared" si="120"/>
        <v>1800</v>
      </c>
      <c r="L2055" s="136">
        <v>1800</v>
      </c>
      <c r="M2055" s="283"/>
      <c r="N2055" s="136">
        <f t="shared" si="119"/>
        <v>0</v>
      </c>
      <c r="O2055" s="269" t="s">
        <v>1675</v>
      </c>
      <c r="P2055" s="269"/>
      <c r="XFC2055"/>
    </row>
    <row r="2056" s="84" customFormat="1" spans="1:16383">
      <c r="A2056" s="322">
        <v>46113</v>
      </c>
      <c r="B2056" s="269" t="s">
        <v>491</v>
      </c>
      <c r="C2056" s="114" t="s">
        <v>1676</v>
      </c>
      <c r="D2056" s="269" t="s">
        <v>1677</v>
      </c>
      <c r="E2056" s="269" t="s">
        <v>1678</v>
      </c>
      <c r="F2056" s="120">
        <v>46128</v>
      </c>
      <c r="G2056" s="114" t="s">
        <v>1679</v>
      </c>
      <c r="H2056" s="116" t="s">
        <v>833</v>
      </c>
      <c r="I2056" s="283">
        <v>12000</v>
      </c>
      <c r="J2056" s="283"/>
      <c r="K2056" s="136">
        <f t="shared" si="120"/>
        <v>12000</v>
      </c>
      <c r="L2056" s="283">
        <v>12000</v>
      </c>
      <c r="M2056" s="283"/>
      <c r="N2056" s="136">
        <f t="shared" si="119"/>
        <v>0</v>
      </c>
      <c r="O2056" s="269" t="s">
        <v>1680</v>
      </c>
      <c r="P2056" s="269" t="s">
        <v>1643</v>
      </c>
      <c r="XFC2056"/>
    </row>
    <row r="2057" s="88" customFormat="1" spans="1:16">
      <c r="A2057" s="322">
        <v>46113</v>
      </c>
      <c r="B2057" s="138" t="str">
        <f>MID(C2057,1,2)</f>
        <v>6F</v>
      </c>
      <c r="C2057" s="114" t="s">
        <v>817</v>
      </c>
      <c r="D2057" s="114" t="s">
        <v>818</v>
      </c>
      <c r="E2057" s="114" t="s">
        <v>819</v>
      </c>
      <c r="F2057" s="120">
        <v>46128</v>
      </c>
      <c r="G2057" s="114" t="s">
        <v>1338</v>
      </c>
      <c r="H2057" s="114" t="s">
        <v>23</v>
      </c>
      <c r="I2057" s="136">
        <v>12500</v>
      </c>
      <c r="J2057" s="131">
        <v>5000</v>
      </c>
      <c r="K2057" s="252">
        <f t="shared" si="120"/>
        <v>7500</v>
      </c>
      <c r="L2057" s="131">
        <v>7500</v>
      </c>
      <c r="M2057" s="131"/>
      <c r="N2057" s="136">
        <f t="shared" si="119"/>
        <v>0</v>
      </c>
      <c r="O2057" s="143" t="s">
        <v>1681</v>
      </c>
      <c r="P2057" s="138" t="s">
        <v>1643</v>
      </c>
    </row>
    <row r="2058" s="88" customFormat="1" spans="1:16">
      <c r="A2058" s="322">
        <v>46113</v>
      </c>
      <c r="B2058" s="138" t="str">
        <f>MID(C2058,1,2)</f>
        <v>6F</v>
      </c>
      <c r="C2058" s="114" t="s">
        <v>817</v>
      </c>
      <c r="D2058" s="114" t="s">
        <v>818</v>
      </c>
      <c r="E2058" s="114" t="s">
        <v>819</v>
      </c>
      <c r="F2058" s="120">
        <v>46128</v>
      </c>
      <c r="G2058" s="114" t="s">
        <v>1338</v>
      </c>
      <c r="H2058" s="114" t="s">
        <v>21</v>
      </c>
      <c r="I2058" s="136">
        <v>15000</v>
      </c>
      <c r="J2058" s="131">
        <v>7500</v>
      </c>
      <c r="K2058" s="252">
        <f t="shared" si="120"/>
        <v>7500</v>
      </c>
      <c r="L2058" s="131">
        <v>7500</v>
      </c>
      <c r="M2058" s="131"/>
      <c r="N2058" s="136">
        <f t="shared" si="119"/>
        <v>0</v>
      </c>
      <c r="O2058" s="143" t="s">
        <v>1681</v>
      </c>
      <c r="P2058" s="138" t="s">
        <v>1643</v>
      </c>
    </row>
    <row r="2059" s="84" customFormat="1" spans="1:16383">
      <c r="A2059" s="322">
        <v>46113</v>
      </c>
      <c r="B2059" s="112" t="s">
        <v>16</v>
      </c>
      <c r="C2059" s="114" t="s">
        <v>873</v>
      </c>
      <c r="D2059" s="114" t="s">
        <v>874</v>
      </c>
      <c r="E2059" s="114" t="s">
        <v>875</v>
      </c>
      <c r="F2059" s="120">
        <v>46128</v>
      </c>
      <c r="G2059" s="114" t="s">
        <v>1682</v>
      </c>
      <c r="H2059" s="114" t="s">
        <v>833</v>
      </c>
      <c r="I2059" s="136">
        <v>16000</v>
      </c>
      <c r="J2059" s="136">
        <v>0</v>
      </c>
      <c r="K2059" s="252">
        <f t="shared" si="120"/>
        <v>16000</v>
      </c>
      <c r="L2059" s="283">
        <v>16000</v>
      </c>
      <c r="M2059" s="283"/>
      <c r="N2059" s="136">
        <f t="shared" si="119"/>
        <v>0</v>
      </c>
      <c r="O2059" s="269" t="s">
        <v>1683</v>
      </c>
      <c r="P2059" s="269" t="s">
        <v>1643</v>
      </c>
      <c r="XFC2059"/>
    </row>
    <row r="2060" s="84" customFormat="1" spans="1:16383">
      <c r="A2060" s="322">
        <v>45931</v>
      </c>
      <c r="B2060" s="112"/>
      <c r="C2060" s="310" t="s">
        <v>1684</v>
      </c>
      <c r="D2060" s="269" t="s">
        <v>1685</v>
      </c>
      <c r="E2060" s="135" t="s">
        <v>1686</v>
      </c>
      <c r="F2060" s="117">
        <v>45946</v>
      </c>
      <c r="G2060" s="135" t="s">
        <v>1687</v>
      </c>
      <c r="H2060" s="116" t="s">
        <v>23</v>
      </c>
      <c r="I2060" s="252">
        <v>6412.27</v>
      </c>
      <c r="J2060" s="283"/>
      <c r="K2060" s="283">
        <f t="shared" si="120"/>
        <v>6412.27</v>
      </c>
      <c r="L2060" s="283">
        <v>6412.27</v>
      </c>
      <c r="M2060" s="283"/>
      <c r="N2060" s="283">
        <f t="shared" si="119"/>
        <v>0</v>
      </c>
      <c r="O2060" s="269" t="s">
        <v>1688</v>
      </c>
      <c r="P2060" s="269" t="s">
        <v>1643</v>
      </c>
      <c r="XFC2060"/>
    </row>
    <row r="2061" s="84" customFormat="1" spans="1:16383">
      <c r="A2061" s="322">
        <v>45870</v>
      </c>
      <c r="B2061" s="269"/>
      <c r="C2061" s="114" t="s">
        <v>1689</v>
      </c>
      <c r="D2061" s="114" t="s">
        <v>384</v>
      </c>
      <c r="E2061" s="114" t="s">
        <v>1690</v>
      </c>
      <c r="F2061" s="120">
        <v>45884</v>
      </c>
      <c r="G2061" s="135" t="s">
        <v>58</v>
      </c>
      <c r="H2061" s="269" t="s">
        <v>833</v>
      </c>
      <c r="I2061" s="283">
        <v>680</v>
      </c>
      <c r="J2061" s="283"/>
      <c r="K2061" s="283">
        <f t="shared" ref="K2061:K2069" si="121">I2061-J2061</f>
        <v>680</v>
      </c>
      <c r="L2061" s="283"/>
      <c r="M2061" s="283"/>
      <c r="N2061" s="283">
        <f t="shared" ref="N2061:N2072" si="122">K2061-L2061</f>
        <v>680</v>
      </c>
      <c r="O2061" s="269"/>
      <c r="P2061" s="269"/>
      <c r="XFC2061"/>
    </row>
    <row r="2062" s="84" customFormat="1" spans="1:16383">
      <c r="A2062" s="322">
        <v>45901</v>
      </c>
      <c r="B2062" s="269"/>
      <c r="C2062" s="114" t="s">
        <v>1689</v>
      </c>
      <c r="D2062" s="114" t="s">
        <v>384</v>
      </c>
      <c r="E2062" s="114" t="s">
        <v>1690</v>
      </c>
      <c r="F2062" s="120">
        <v>45915</v>
      </c>
      <c r="G2062" s="135" t="s">
        <v>60</v>
      </c>
      <c r="H2062" s="269" t="s">
        <v>833</v>
      </c>
      <c r="I2062" s="283">
        <v>680</v>
      </c>
      <c r="J2062" s="283"/>
      <c r="K2062" s="283">
        <f t="shared" si="121"/>
        <v>680</v>
      </c>
      <c r="L2062" s="283"/>
      <c r="M2062" s="283"/>
      <c r="N2062" s="283">
        <f t="shared" si="122"/>
        <v>680</v>
      </c>
      <c r="O2062" s="269"/>
      <c r="P2062" s="269"/>
      <c r="XFC2062"/>
    </row>
    <row r="2063" s="84" customFormat="1" spans="1:16383">
      <c r="A2063" s="322">
        <v>45931</v>
      </c>
      <c r="B2063" s="269"/>
      <c r="C2063" s="114" t="s">
        <v>1689</v>
      </c>
      <c r="D2063" s="114" t="s">
        <v>384</v>
      </c>
      <c r="E2063" s="114" t="s">
        <v>1690</v>
      </c>
      <c r="F2063" s="120">
        <v>45945</v>
      </c>
      <c r="G2063" s="135" t="s">
        <v>28</v>
      </c>
      <c r="H2063" s="269" t="s">
        <v>833</v>
      </c>
      <c r="I2063" s="283">
        <v>680</v>
      </c>
      <c r="J2063" s="283"/>
      <c r="K2063" s="283">
        <f t="shared" si="121"/>
        <v>680</v>
      </c>
      <c r="L2063" s="283"/>
      <c r="M2063" s="283"/>
      <c r="N2063" s="283">
        <f t="shared" si="122"/>
        <v>680</v>
      </c>
      <c r="O2063" s="269"/>
      <c r="P2063" s="269"/>
      <c r="XFC2063"/>
    </row>
    <row r="2064" s="84" customFormat="1" spans="1:16383">
      <c r="A2064" s="322">
        <v>45962</v>
      </c>
      <c r="B2064" s="269"/>
      <c r="C2064" s="114" t="s">
        <v>1689</v>
      </c>
      <c r="D2064" s="114" t="s">
        <v>384</v>
      </c>
      <c r="E2064" s="269" t="s">
        <v>1690</v>
      </c>
      <c r="F2064" s="120">
        <v>45976</v>
      </c>
      <c r="G2064" s="135" t="s">
        <v>26</v>
      </c>
      <c r="H2064" s="269" t="s">
        <v>833</v>
      </c>
      <c r="I2064" s="283">
        <v>680</v>
      </c>
      <c r="J2064" s="283"/>
      <c r="K2064" s="283">
        <f t="shared" si="121"/>
        <v>680</v>
      </c>
      <c r="L2064" s="283"/>
      <c r="M2064" s="283"/>
      <c r="N2064" s="283">
        <f t="shared" si="122"/>
        <v>680</v>
      </c>
      <c r="O2064" s="269"/>
      <c r="P2064" s="269"/>
      <c r="XFC2064"/>
    </row>
    <row r="2065" s="84" customFormat="1" spans="1:16383">
      <c r="A2065" s="322">
        <v>45992</v>
      </c>
      <c r="B2065" s="269"/>
      <c r="C2065" s="114" t="s">
        <v>1689</v>
      </c>
      <c r="D2065" s="114" t="s">
        <v>384</v>
      </c>
      <c r="E2065" s="269" t="s">
        <v>1690</v>
      </c>
      <c r="F2065" s="120">
        <v>45976</v>
      </c>
      <c r="G2065" s="135" t="s">
        <v>98</v>
      </c>
      <c r="H2065" s="269" t="s">
        <v>833</v>
      </c>
      <c r="I2065" s="283">
        <v>680</v>
      </c>
      <c r="J2065" s="283"/>
      <c r="K2065" s="283">
        <f t="shared" si="121"/>
        <v>680</v>
      </c>
      <c r="L2065" s="283"/>
      <c r="M2065" s="283"/>
      <c r="N2065" s="283">
        <f t="shared" si="122"/>
        <v>680</v>
      </c>
      <c r="O2065" s="269"/>
      <c r="P2065" s="269"/>
      <c r="XFC2065"/>
    </row>
    <row r="2066" s="84" customFormat="1" spans="1:16383">
      <c r="A2066" s="322">
        <v>46023</v>
      </c>
      <c r="B2066" s="269"/>
      <c r="C2066" s="114" t="s">
        <v>1689</v>
      </c>
      <c r="D2066" s="114" t="s">
        <v>384</v>
      </c>
      <c r="E2066" s="269" t="s">
        <v>1690</v>
      </c>
      <c r="F2066" s="120">
        <v>46037</v>
      </c>
      <c r="G2066" s="135" t="s">
        <v>96</v>
      </c>
      <c r="H2066" s="269" t="s">
        <v>833</v>
      </c>
      <c r="I2066" s="283">
        <v>680</v>
      </c>
      <c r="J2066" s="283"/>
      <c r="K2066" s="283">
        <f t="shared" si="121"/>
        <v>680</v>
      </c>
      <c r="L2066" s="283"/>
      <c r="M2066" s="283"/>
      <c r="N2066" s="283">
        <f t="shared" si="122"/>
        <v>680</v>
      </c>
      <c r="O2066" s="269"/>
      <c r="P2066" s="269"/>
      <c r="XFC2066"/>
    </row>
    <row r="2067" s="84" customFormat="1" spans="1:16383">
      <c r="A2067" s="322">
        <v>46054</v>
      </c>
      <c r="B2067" s="269"/>
      <c r="C2067" s="114" t="s">
        <v>1689</v>
      </c>
      <c r="D2067" s="114" t="s">
        <v>384</v>
      </c>
      <c r="E2067" s="269" t="s">
        <v>1690</v>
      </c>
      <c r="F2067" s="120">
        <v>46068</v>
      </c>
      <c r="G2067" s="135" t="s">
        <v>1176</v>
      </c>
      <c r="H2067" s="269" t="s">
        <v>833</v>
      </c>
      <c r="I2067" s="283">
        <v>680</v>
      </c>
      <c r="J2067" s="283"/>
      <c r="K2067" s="283">
        <f t="shared" si="121"/>
        <v>680</v>
      </c>
      <c r="L2067" s="283"/>
      <c r="M2067" s="283"/>
      <c r="N2067" s="283">
        <f t="shared" si="122"/>
        <v>680</v>
      </c>
      <c r="O2067" s="269"/>
      <c r="P2067" s="269"/>
      <c r="XFC2067"/>
    </row>
    <row r="2068" s="84" customFormat="1" spans="1:16383">
      <c r="A2068" s="322">
        <v>46082</v>
      </c>
      <c r="B2068" s="269"/>
      <c r="C2068" s="114" t="s">
        <v>1689</v>
      </c>
      <c r="D2068" s="114" t="s">
        <v>384</v>
      </c>
      <c r="E2068" s="269" t="s">
        <v>1690</v>
      </c>
      <c r="F2068" s="120">
        <v>46096</v>
      </c>
      <c r="G2068" s="135" t="s">
        <v>1174</v>
      </c>
      <c r="H2068" s="269" t="s">
        <v>833</v>
      </c>
      <c r="I2068" s="283">
        <v>680</v>
      </c>
      <c r="J2068" s="283"/>
      <c r="K2068" s="283">
        <f t="shared" si="121"/>
        <v>680</v>
      </c>
      <c r="L2068" s="283"/>
      <c r="M2068" s="283"/>
      <c r="N2068" s="283">
        <f t="shared" si="122"/>
        <v>680</v>
      </c>
      <c r="O2068" s="269"/>
      <c r="P2068" s="269"/>
      <c r="XFC2068"/>
    </row>
    <row r="2069" s="84" customFormat="1" spans="1:16383">
      <c r="A2069" s="322">
        <v>46113</v>
      </c>
      <c r="B2069" s="269"/>
      <c r="C2069" s="114" t="s">
        <v>1689</v>
      </c>
      <c r="D2069" s="114" t="s">
        <v>384</v>
      </c>
      <c r="E2069" s="269" t="s">
        <v>1690</v>
      </c>
      <c r="F2069" s="120">
        <v>46127</v>
      </c>
      <c r="G2069" s="135" t="s">
        <v>1338</v>
      </c>
      <c r="H2069" s="269" t="s">
        <v>833</v>
      </c>
      <c r="I2069" s="283">
        <v>680</v>
      </c>
      <c r="J2069" s="283"/>
      <c r="K2069" s="283">
        <f t="shared" si="121"/>
        <v>680</v>
      </c>
      <c r="L2069" s="283"/>
      <c r="M2069" s="283"/>
      <c r="N2069" s="283">
        <f t="shared" si="122"/>
        <v>680</v>
      </c>
      <c r="O2069" s="269"/>
      <c r="P2069" s="269"/>
      <c r="XFC2069"/>
    </row>
    <row r="2070" s="84" customFormat="1" spans="1:16383">
      <c r="A2070" s="322">
        <v>46113</v>
      </c>
      <c r="B2070" s="269" t="s">
        <v>679</v>
      </c>
      <c r="C2070" s="310" t="s">
        <v>811</v>
      </c>
      <c r="D2070" s="269" t="s">
        <v>812</v>
      </c>
      <c r="E2070" s="269" t="s">
        <v>813</v>
      </c>
      <c r="F2070" s="114" t="s">
        <v>1691</v>
      </c>
      <c r="G2070" s="269" t="s">
        <v>1338</v>
      </c>
      <c r="H2070" s="269" t="s">
        <v>23</v>
      </c>
      <c r="I2070" s="283">
        <v>7717.5</v>
      </c>
      <c r="J2070" s="283"/>
      <c r="K2070" s="283">
        <v>7717.5</v>
      </c>
      <c r="L2070" s="283">
        <f>725+6992.5</f>
        <v>7717.5</v>
      </c>
      <c r="M2070" s="283"/>
      <c r="N2070" s="131">
        <f t="shared" si="122"/>
        <v>0</v>
      </c>
      <c r="O2070" s="269" t="s">
        <v>1692</v>
      </c>
      <c r="P2070" s="269" t="s">
        <v>1643</v>
      </c>
      <c r="XFC2070"/>
    </row>
    <row r="2071" s="84" customFormat="1" spans="1:16383">
      <c r="A2071" s="322">
        <v>46113</v>
      </c>
      <c r="B2071" s="269" t="s">
        <v>679</v>
      </c>
      <c r="C2071" s="310" t="s">
        <v>811</v>
      </c>
      <c r="D2071" s="269" t="s">
        <v>812</v>
      </c>
      <c r="E2071" s="269" t="s">
        <v>813</v>
      </c>
      <c r="F2071" s="114" t="s">
        <v>1691</v>
      </c>
      <c r="G2071" s="269" t="s">
        <v>1338</v>
      </c>
      <c r="H2071" s="269" t="s">
        <v>21</v>
      </c>
      <c r="I2071" s="283">
        <v>7282.5</v>
      </c>
      <c r="J2071" s="283"/>
      <c r="K2071" s="283">
        <v>7282.5</v>
      </c>
      <c r="L2071" s="283">
        <v>7282.5</v>
      </c>
      <c r="M2071" s="283"/>
      <c r="N2071" s="131">
        <f t="shared" si="122"/>
        <v>0</v>
      </c>
      <c r="O2071" s="269" t="s">
        <v>1693</v>
      </c>
      <c r="P2071" s="269" t="s">
        <v>1643</v>
      </c>
      <c r="XFC2071"/>
    </row>
    <row r="2072" s="89" customFormat="1" spans="1:16">
      <c r="A2072" s="322">
        <v>46113</v>
      </c>
      <c r="B2072" s="116" t="s">
        <v>16</v>
      </c>
      <c r="C2072" s="78" t="s">
        <v>881</v>
      </c>
      <c r="D2072" s="116" t="s">
        <v>1230</v>
      </c>
      <c r="E2072" s="116" t="s">
        <v>1231</v>
      </c>
      <c r="F2072" s="120">
        <v>46127</v>
      </c>
      <c r="G2072" s="116" t="s">
        <v>1646</v>
      </c>
      <c r="H2072" s="116" t="s">
        <v>833</v>
      </c>
      <c r="I2072" s="139">
        <v>36000</v>
      </c>
      <c r="J2072" s="139">
        <v>0</v>
      </c>
      <c r="K2072" s="139">
        <f>I2072-J2072</f>
        <v>36000</v>
      </c>
      <c r="L2072" s="139">
        <f>700+35300</f>
        <v>36000</v>
      </c>
      <c r="M2072" s="139"/>
      <c r="N2072" s="131">
        <f t="shared" si="122"/>
        <v>0</v>
      </c>
      <c r="O2072" s="143" t="s">
        <v>1694</v>
      </c>
      <c r="P2072" s="269" t="s">
        <v>1643</v>
      </c>
    </row>
    <row r="2073" s="89" customFormat="1" spans="1:22">
      <c r="A2073" s="111">
        <v>46113</v>
      </c>
      <c r="B2073" s="114" t="str">
        <f>MID(C2073,1,2)</f>
        <v>1F</v>
      </c>
      <c r="C2073" s="310" t="s">
        <v>202</v>
      </c>
      <c r="D2073" s="269" t="s">
        <v>203</v>
      </c>
      <c r="E2073" s="269" t="s">
        <v>204</v>
      </c>
      <c r="F2073" s="333">
        <v>46128</v>
      </c>
      <c r="G2073" s="269" t="s">
        <v>1695</v>
      </c>
      <c r="H2073" s="269" t="s">
        <v>23</v>
      </c>
      <c r="I2073" s="283">
        <v>12216.24</v>
      </c>
      <c r="J2073" s="283">
        <v>0</v>
      </c>
      <c r="K2073" s="139">
        <f t="shared" ref="K2073:K2084" si="123">I2073-J2073</f>
        <v>12216.24</v>
      </c>
      <c r="L2073" s="283">
        <v>12216.24</v>
      </c>
      <c r="M2073" s="283"/>
      <c r="N2073" s="131">
        <f t="shared" ref="N2073:N2112" si="124">K2073-L2073</f>
        <v>0</v>
      </c>
      <c r="O2073" s="269" t="s">
        <v>1696</v>
      </c>
      <c r="P2073" s="269" t="s">
        <v>1643</v>
      </c>
      <c r="Q2073" s="84"/>
      <c r="R2073" s="84"/>
      <c r="S2073" s="84"/>
      <c r="T2073" s="84"/>
      <c r="U2073" s="84"/>
      <c r="V2073" s="84"/>
    </row>
    <row r="2074" s="89" customFormat="1" spans="1:22">
      <c r="A2074" s="111">
        <v>46113</v>
      </c>
      <c r="B2074" s="114" t="str">
        <f>MID(C2074,1,2)</f>
        <v>1F</v>
      </c>
      <c r="C2074" s="310" t="s">
        <v>202</v>
      </c>
      <c r="D2074" s="269" t="s">
        <v>203</v>
      </c>
      <c r="E2074" s="269" t="s">
        <v>204</v>
      </c>
      <c r="F2074" s="333">
        <v>46128</v>
      </c>
      <c r="G2074" s="269" t="s">
        <v>1695</v>
      </c>
      <c r="H2074" s="269" t="s">
        <v>21</v>
      </c>
      <c r="I2074" s="283">
        <v>17101.89</v>
      </c>
      <c r="J2074" s="283">
        <v>0</v>
      </c>
      <c r="K2074" s="139">
        <f t="shared" si="123"/>
        <v>17101.89</v>
      </c>
      <c r="L2074" s="283">
        <v>17101.89</v>
      </c>
      <c r="M2074" s="283"/>
      <c r="N2074" s="131">
        <f t="shared" si="124"/>
        <v>0</v>
      </c>
      <c r="O2074" s="269" t="s">
        <v>1696</v>
      </c>
      <c r="P2074" s="269" t="s">
        <v>1643</v>
      </c>
      <c r="Q2074" s="84"/>
      <c r="R2074" s="84"/>
      <c r="S2074" s="84"/>
      <c r="T2074" s="84"/>
      <c r="U2074" s="84"/>
      <c r="V2074" s="84"/>
    </row>
    <row r="2075" s="89" customFormat="1" spans="1:22">
      <c r="A2075" s="111">
        <v>46113</v>
      </c>
      <c r="B2075" s="114" t="str">
        <f>MID(C2075,1,2)</f>
        <v>1F</v>
      </c>
      <c r="C2075" s="310" t="s">
        <v>202</v>
      </c>
      <c r="D2075" s="269" t="s">
        <v>203</v>
      </c>
      <c r="E2075" s="269" t="s">
        <v>204</v>
      </c>
      <c r="F2075" s="333">
        <v>46128</v>
      </c>
      <c r="G2075" s="269" t="s">
        <v>1697</v>
      </c>
      <c r="H2075" s="121" t="s">
        <v>30</v>
      </c>
      <c r="I2075" s="283">
        <v>3000</v>
      </c>
      <c r="J2075" s="283">
        <v>0</v>
      </c>
      <c r="K2075" s="139">
        <f t="shared" si="123"/>
        <v>3000</v>
      </c>
      <c r="L2075" s="283">
        <v>3000</v>
      </c>
      <c r="M2075" s="283"/>
      <c r="N2075" s="131">
        <f t="shared" si="124"/>
        <v>0</v>
      </c>
      <c r="O2075" s="269" t="s">
        <v>1696</v>
      </c>
      <c r="P2075" s="269" t="s">
        <v>1643</v>
      </c>
      <c r="Q2075" s="84"/>
      <c r="R2075" s="84"/>
      <c r="S2075" s="84"/>
      <c r="T2075" s="84"/>
      <c r="U2075" s="84"/>
      <c r="V2075" s="84"/>
    </row>
    <row r="2076" s="94" customFormat="1" spans="1:16">
      <c r="A2076" s="200">
        <v>46082</v>
      </c>
      <c r="B2076" s="146" t="s">
        <v>16</v>
      </c>
      <c r="C2076" s="197" t="s">
        <v>238</v>
      </c>
      <c r="D2076" s="199" t="s">
        <v>239</v>
      </c>
      <c r="E2076" s="198" t="s">
        <v>240</v>
      </c>
      <c r="F2076" s="117">
        <v>46095</v>
      </c>
      <c r="G2076" s="198" t="s">
        <v>1698</v>
      </c>
      <c r="H2076" s="199" t="s">
        <v>21</v>
      </c>
      <c r="I2076" s="144">
        <v>9793.01</v>
      </c>
      <c r="J2076" s="144"/>
      <c r="K2076" s="144">
        <f t="shared" si="123"/>
        <v>9793.01</v>
      </c>
      <c r="L2076" s="144">
        <v>9793.01</v>
      </c>
      <c r="M2076" s="144"/>
      <c r="N2076" s="144">
        <f t="shared" si="124"/>
        <v>0</v>
      </c>
      <c r="O2076" s="190" t="s">
        <v>1699</v>
      </c>
      <c r="P2076" s="190" t="s">
        <v>1643</v>
      </c>
    </row>
    <row r="2077" s="94" customFormat="1" spans="1:16">
      <c r="A2077" s="200">
        <v>46082</v>
      </c>
      <c r="B2077" s="146" t="s">
        <v>16</v>
      </c>
      <c r="C2077" s="197" t="s">
        <v>238</v>
      </c>
      <c r="D2077" s="199" t="s">
        <v>239</v>
      </c>
      <c r="E2077" s="198" t="s">
        <v>240</v>
      </c>
      <c r="F2077" s="117">
        <v>46095</v>
      </c>
      <c r="G2077" s="198" t="s">
        <v>1698</v>
      </c>
      <c r="H2077" s="199" t="s">
        <v>23</v>
      </c>
      <c r="I2077" s="144">
        <v>5348.96</v>
      </c>
      <c r="J2077" s="144"/>
      <c r="K2077" s="144">
        <f t="shared" si="123"/>
        <v>5348.96</v>
      </c>
      <c r="L2077" s="144">
        <v>5348.96</v>
      </c>
      <c r="M2077" s="144"/>
      <c r="N2077" s="144">
        <f t="shared" si="124"/>
        <v>0</v>
      </c>
      <c r="O2077" s="190" t="s">
        <v>1699</v>
      </c>
      <c r="P2077" s="190" t="s">
        <v>1643</v>
      </c>
    </row>
    <row r="2078" s="94" customFormat="1" spans="1:16">
      <c r="A2078" s="200">
        <v>46082</v>
      </c>
      <c r="B2078" s="146" t="s">
        <v>16</v>
      </c>
      <c r="C2078" s="197" t="s">
        <v>238</v>
      </c>
      <c r="D2078" s="199" t="s">
        <v>239</v>
      </c>
      <c r="E2078" s="198" t="s">
        <v>240</v>
      </c>
      <c r="F2078" s="117">
        <v>46095</v>
      </c>
      <c r="G2078" s="198" t="s">
        <v>1700</v>
      </c>
      <c r="H2078" s="146" t="s">
        <v>30</v>
      </c>
      <c r="I2078" s="144">
        <v>2194.52</v>
      </c>
      <c r="J2078" s="144"/>
      <c r="K2078" s="144">
        <f t="shared" si="123"/>
        <v>2194.52</v>
      </c>
      <c r="L2078" s="144">
        <v>2194.52</v>
      </c>
      <c r="M2078" s="144"/>
      <c r="N2078" s="144">
        <f t="shared" si="124"/>
        <v>0</v>
      </c>
      <c r="O2078" s="190" t="s">
        <v>1699</v>
      </c>
      <c r="P2078" s="190" t="s">
        <v>1643</v>
      </c>
    </row>
    <row r="2079" s="94" customFormat="1" spans="1:16">
      <c r="A2079" s="200">
        <v>46082</v>
      </c>
      <c r="B2079" s="146" t="s">
        <v>16</v>
      </c>
      <c r="C2079" s="197" t="s">
        <v>238</v>
      </c>
      <c r="D2079" s="199" t="s">
        <v>239</v>
      </c>
      <c r="E2079" s="198" t="s">
        <v>240</v>
      </c>
      <c r="F2079" s="117">
        <v>46095</v>
      </c>
      <c r="G2079" s="198" t="s">
        <v>1501</v>
      </c>
      <c r="H2079" s="199" t="s">
        <v>21</v>
      </c>
      <c r="I2079" s="144">
        <v>70765.8</v>
      </c>
      <c r="J2079" s="144"/>
      <c r="K2079" s="144">
        <f t="shared" si="123"/>
        <v>70765.8</v>
      </c>
      <c r="L2079" s="144">
        <f>9755.31+50000+11010.49</f>
        <v>70765.8</v>
      </c>
      <c r="M2079" s="144"/>
      <c r="N2079" s="144">
        <f t="shared" si="124"/>
        <v>0</v>
      </c>
      <c r="O2079" s="190" t="s">
        <v>1701</v>
      </c>
      <c r="P2079" s="190" t="s">
        <v>1643</v>
      </c>
    </row>
    <row r="2080" s="94" customFormat="1" spans="1:16">
      <c r="A2080" s="200">
        <v>46082</v>
      </c>
      <c r="B2080" s="146" t="s">
        <v>16</v>
      </c>
      <c r="C2080" s="197" t="s">
        <v>238</v>
      </c>
      <c r="D2080" s="199" t="s">
        <v>239</v>
      </c>
      <c r="E2080" s="198" t="s">
        <v>240</v>
      </c>
      <c r="F2080" s="117">
        <v>46095</v>
      </c>
      <c r="G2080" s="198" t="s">
        <v>1501</v>
      </c>
      <c r="H2080" s="199" t="s">
        <v>23</v>
      </c>
      <c r="I2080" s="144">
        <v>28710</v>
      </c>
      <c r="J2080" s="144"/>
      <c r="K2080" s="144">
        <f t="shared" si="123"/>
        <v>28710</v>
      </c>
      <c r="L2080" s="144">
        <v>28710</v>
      </c>
      <c r="M2080" s="144"/>
      <c r="N2080" s="144">
        <f t="shared" si="124"/>
        <v>0</v>
      </c>
      <c r="O2080" s="190" t="s">
        <v>1702</v>
      </c>
      <c r="P2080" s="190" t="s">
        <v>1643</v>
      </c>
    </row>
    <row r="2081" s="94" customFormat="1" spans="1:22">
      <c r="A2081" s="200">
        <v>46082</v>
      </c>
      <c r="B2081" s="135" t="s">
        <v>16</v>
      </c>
      <c r="C2081" s="114" t="s">
        <v>1703</v>
      </c>
      <c r="D2081" s="114" t="s">
        <v>274</v>
      </c>
      <c r="E2081" s="114" t="s">
        <v>275</v>
      </c>
      <c r="F2081" s="117">
        <v>46095</v>
      </c>
      <c r="G2081" s="114" t="s">
        <v>1501</v>
      </c>
      <c r="H2081" s="114" t="s">
        <v>23</v>
      </c>
      <c r="I2081" s="136">
        <v>5076</v>
      </c>
      <c r="J2081" s="136">
        <v>0</v>
      </c>
      <c r="K2081" s="136">
        <f t="shared" si="123"/>
        <v>5076</v>
      </c>
      <c r="L2081" s="136">
        <v>5076</v>
      </c>
      <c r="M2081" s="136"/>
      <c r="N2081" s="136">
        <f t="shared" si="124"/>
        <v>0</v>
      </c>
      <c r="O2081" s="269" t="s">
        <v>1704</v>
      </c>
      <c r="P2081" s="269"/>
      <c r="Q2081" s="84"/>
      <c r="R2081" s="84"/>
      <c r="S2081" s="84"/>
      <c r="T2081" s="84"/>
      <c r="U2081" s="84"/>
      <c r="V2081" s="84"/>
    </row>
    <row r="2082" s="94" customFormat="1" spans="1:22">
      <c r="A2082" s="200">
        <v>46082</v>
      </c>
      <c r="B2082" s="135" t="s">
        <v>16</v>
      </c>
      <c r="C2082" s="114" t="s">
        <v>1703</v>
      </c>
      <c r="D2082" s="114" t="s">
        <v>274</v>
      </c>
      <c r="E2082" s="114" t="s">
        <v>275</v>
      </c>
      <c r="F2082" s="117">
        <v>46095</v>
      </c>
      <c r="G2082" s="114" t="s">
        <v>1501</v>
      </c>
      <c r="H2082" s="114" t="s">
        <v>21</v>
      </c>
      <c r="I2082" s="136">
        <v>11844</v>
      </c>
      <c r="J2082" s="136">
        <v>0</v>
      </c>
      <c r="K2082" s="136">
        <f t="shared" si="123"/>
        <v>11844</v>
      </c>
      <c r="L2082" s="136">
        <v>11844</v>
      </c>
      <c r="M2082" s="136"/>
      <c r="N2082" s="136">
        <f t="shared" si="124"/>
        <v>0</v>
      </c>
      <c r="O2082" s="269" t="s">
        <v>1704</v>
      </c>
      <c r="P2082" s="269"/>
      <c r="Q2082" s="84"/>
      <c r="R2082" s="84"/>
      <c r="S2082" s="84"/>
      <c r="T2082" s="84"/>
      <c r="U2082" s="84"/>
      <c r="V2082" s="84"/>
    </row>
    <row r="2083" s="94" customFormat="1" spans="1:22">
      <c r="A2083" s="200">
        <v>46082</v>
      </c>
      <c r="B2083" s="135" t="s">
        <v>16</v>
      </c>
      <c r="C2083" s="114" t="s">
        <v>1703</v>
      </c>
      <c r="D2083" s="114" t="s">
        <v>274</v>
      </c>
      <c r="E2083" s="114" t="s">
        <v>275</v>
      </c>
      <c r="F2083" s="117">
        <v>46095</v>
      </c>
      <c r="G2083" s="114" t="s">
        <v>1705</v>
      </c>
      <c r="H2083" s="114" t="s">
        <v>30</v>
      </c>
      <c r="I2083" s="136">
        <v>3000</v>
      </c>
      <c r="J2083" s="136">
        <v>0</v>
      </c>
      <c r="K2083" s="136">
        <f t="shared" si="123"/>
        <v>3000</v>
      </c>
      <c r="L2083" s="136">
        <v>3000</v>
      </c>
      <c r="M2083" s="136"/>
      <c r="N2083" s="136">
        <f t="shared" si="124"/>
        <v>0</v>
      </c>
      <c r="O2083" s="269" t="s">
        <v>1704</v>
      </c>
      <c r="P2083" s="269"/>
      <c r="Q2083" s="84"/>
      <c r="R2083" s="84"/>
      <c r="S2083" s="84"/>
      <c r="T2083" s="84"/>
      <c r="U2083" s="84"/>
      <c r="V2083" s="84"/>
    </row>
    <row r="2084" s="86" customFormat="1" spans="1:16">
      <c r="A2084" s="111">
        <v>46113</v>
      </c>
      <c r="B2084" s="113" t="s">
        <v>854</v>
      </c>
      <c r="C2084" s="113" t="s">
        <v>946</v>
      </c>
      <c r="D2084" s="112" t="s">
        <v>947</v>
      </c>
      <c r="E2084" s="112" t="s">
        <v>948</v>
      </c>
      <c r="F2084" s="151">
        <v>46128</v>
      </c>
      <c r="G2084" s="112" t="s">
        <v>1706</v>
      </c>
      <c r="H2084" s="116" t="s">
        <v>833</v>
      </c>
      <c r="I2084" s="130">
        <v>80000</v>
      </c>
      <c r="J2084" s="130">
        <v>0</v>
      </c>
      <c r="K2084" s="130">
        <f t="shared" si="123"/>
        <v>80000</v>
      </c>
      <c r="L2084" s="130">
        <f>60000+20000</f>
        <v>80000</v>
      </c>
      <c r="M2084" s="130"/>
      <c r="N2084" s="131">
        <f t="shared" si="124"/>
        <v>0</v>
      </c>
      <c r="O2084" s="112" t="s">
        <v>1707</v>
      </c>
      <c r="P2084" s="112"/>
    </row>
    <row r="2085" s="89" customFormat="1" spans="1:22">
      <c r="A2085" s="322">
        <v>46113</v>
      </c>
      <c r="B2085" s="135" t="s">
        <v>491</v>
      </c>
      <c r="C2085" s="114" t="s">
        <v>1708</v>
      </c>
      <c r="D2085" s="114" t="s">
        <v>564</v>
      </c>
      <c r="E2085" s="114" t="s">
        <v>565</v>
      </c>
      <c r="F2085" s="120">
        <v>46127</v>
      </c>
      <c r="G2085" s="114" t="s">
        <v>1501</v>
      </c>
      <c r="H2085" s="114" t="s">
        <v>21</v>
      </c>
      <c r="I2085" s="136">
        <v>44226</v>
      </c>
      <c r="J2085" s="136">
        <v>0</v>
      </c>
      <c r="K2085" s="136">
        <f t="shared" ref="K2085:K2105" si="125">I2085-J2085</f>
        <v>44226</v>
      </c>
      <c r="L2085" s="136">
        <v>44226</v>
      </c>
      <c r="M2085" s="136"/>
      <c r="N2085" s="136">
        <f t="shared" si="124"/>
        <v>0</v>
      </c>
      <c r="O2085" s="269" t="s">
        <v>1709</v>
      </c>
      <c r="P2085" s="188" t="s">
        <v>1643</v>
      </c>
      <c r="Q2085" s="84"/>
      <c r="R2085" s="84"/>
      <c r="S2085" s="84"/>
      <c r="T2085" s="84"/>
      <c r="U2085" s="84"/>
      <c r="V2085" s="84"/>
    </row>
    <row r="2086" s="89" customFormat="1" spans="1:22">
      <c r="A2086" s="322">
        <v>46113</v>
      </c>
      <c r="B2086" s="135" t="s">
        <v>491</v>
      </c>
      <c r="C2086" s="114" t="s">
        <v>1708</v>
      </c>
      <c r="D2086" s="114" t="s">
        <v>564</v>
      </c>
      <c r="E2086" s="114" t="s">
        <v>565</v>
      </c>
      <c r="F2086" s="120">
        <v>46127</v>
      </c>
      <c r="G2086" s="114" t="s">
        <v>1501</v>
      </c>
      <c r="H2086" s="116" t="s">
        <v>23</v>
      </c>
      <c r="I2086" s="136">
        <v>31590</v>
      </c>
      <c r="J2086" s="136">
        <v>0</v>
      </c>
      <c r="K2086" s="136">
        <f t="shared" si="125"/>
        <v>31590</v>
      </c>
      <c r="L2086" s="136">
        <v>31590</v>
      </c>
      <c r="M2086" s="136"/>
      <c r="N2086" s="136">
        <f t="shared" si="124"/>
        <v>0</v>
      </c>
      <c r="O2086" s="269" t="s">
        <v>1709</v>
      </c>
      <c r="P2086" s="188" t="s">
        <v>1643</v>
      </c>
      <c r="Q2086" s="84"/>
      <c r="R2086" s="84"/>
      <c r="S2086" s="84"/>
      <c r="T2086" s="84"/>
      <c r="U2086" s="84"/>
      <c r="V2086" s="84"/>
    </row>
    <row r="2087" s="89" customFormat="1" spans="1:22">
      <c r="A2087" s="322">
        <v>46113</v>
      </c>
      <c r="B2087" s="135" t="s">
        <v>491</v>
      </c>
      <c r="C2087" s="114" t="s">
        <v>1708</v>
      </c>
      <c r="D2087" s="114" t="s">
        <v>564</v>
      </c>
      <c r="E2087" s="114" t="s">
        <v>565</v>
      </c>
      <c r="F2087" s="120">
        <v>46127</v>
      </c>
      <c r="G2087" s="114" t="s">
        <v>1654</v>
      </c>
      <c r="H2087" s="114" t="s">
        <v>30</v>
      </c>
      <c r="I2087" s="136">
        <v>3000</v>
      </c>
      <c r="J2087" s="136">
        <v>0</v>
      </c>
      <c r="K2087" s="136">
        <f t="shared" si="125"/>
        <v>3000</v>
      </c>
      <c r="L2087" s="136">
        <v>3000</v>
      </c>
      <c r="M2087" s="136"/>
      <c r="N2087" s="136">
        <f t="shared" si="124"/>
        <v>0</v>
      </c>
      <c r="O2087" s="269" t="s">
        <v>1709</v>
      </c>
      <c r="P2087" s="188" t="s">
        <v>1643</v>
      </c>
      <c r="Q2087" s="84"/>
      <c r="R2087" s="84"/>
      <c r="S2087" s="84"/>
      <c r="T2087" s="84"/>
      <c r="U2087" s="84"/>
      <c r="V2087" s="84"/>
    </row>
    <row r="2088" s="89" customFormat="1" spans="1:16">
      <c r="A2088" s="322">
        <v>46082</v>
      </c>
      <c r="B2088" s="138" t="s">
        <v>491</v>
      </c>
      <c r="C2088" s="78" t="s">
        <v>590</v>
      </c>
      <c r="D2088" s="116" t="s">
        <v>591</v>
      </c>
      <c r="E2088" s="116" t="s">
        <v>592</v>
      </c>
      <c r="F2088" s="120">
        <v>46096</v>
      </c>
      <c r="G2088" s="116" t="s">
        <v>1501</v>
      </c>
      <c r="H2088" s="116" t="s">
        <v>23</v>
      </c>
      <c r="I2088" s="139">
        <v>7590</v>
      </c>
      <c r="J2088" s="139">
        <v>0</v>
      </c>
      <c r="K2088" s="139">
        <f t="shared" si="125"/>
        <v>7590</v>
      </c>
      <c r="L2088" s="139">
        <v>7590</v>
      </c>
      <c r="M2088" s="139"/>
      <c r="N2088" s="131">
        <f t="shared" si="124"/>
        <v>0</v>
      </c>
      <c r="O2088" s="143" t="s">
        <v>1704</v>
      </c>
      <c r="P2088" s="188" t="s">
        <v>1643</v>
      </c>
    </row>
    <row r="2089" s="89" customFormat="1" spans="1:16">
      <c r="A2089" s="322">
        <v>46082</v>
      </c>
      <c r="B2089" s="138" t="s">
        <v>491</v>
      </c>
      <c r="C2089" s="78" t="s">
        <v>590</v>
      </c>
      <c r="D2089" s="116" t="s">
        <v>591</v>
      </c>
      <c r="E2089" s="116" t="s">
        <v>592</v>
      </c>
      <c r="F2089" s="120">
        <v>46096</v>
      </c>
      <c r="G2089" s="116" t="s">
        <v>1501</v>
      </c>
      <c r="H2089" s="112" t="s">
        <v>21</v>
      </c>
      <c r="I2089" s="139">
        <v>7109.76</v>
      </c>
      <c r="J2089" s="139">
        <v>0</v>
      </c>
      <c r="K2089" s="139">
        <f t="shared" si="125"/>
        <v>7109.76</v>
      </c>
      <c r="L2089" s="139">
        <v>7109.76</v>
      </c>
      <c r="M2089" s="139"/>
      <c r="N2089" s="131">
        <f t="shared" si="124"/>
        <v>0</v>
      </c>
      <c r="O2089" s="143" t="s">
        <v>1704</v>
      </c>
      <c r="P2089" s="188" t="s">
        <v>1643</v>
      </c>
    </row>
    <row r="2090" s="89" customFormat="1" spans="1:22">
      <c r="A2090" s="118">
        <v>46082</v>
      </c>
      <c r="B2090" s="116" t="s">
        <v>630</v>
      </c>
      <c r="C2090" s="78" t="s">
        <v>649</v>
      </c>
      <c r="D2090" s="116" t="s">
        <v>650</v>
      </c>
      <c r="E2090" s="116" t="s">
        <v>651</v>
      </c>
      <c r="F2090" s="258">
        <v>46097</v>
      </c>
      <c r="G2090" s="269" t="s">
        <v>1710</v>
      </c>
      <c r="H2090" s="112" t="s">
        <v>21</v>
      </c>
      <c r="I2090" s="283">
        <v>34238.9</v>
      </c>
      <c r="J2090" s="139">
        <v>0</v>
      </c>
      <c r="K2090" s="139">
        <f t="shared" si="125"/>
        <v>34238.9</v>
      </c>
      <c r="L2090" s="283">
        <v>34238.9</v>
      </c>
      <c r="M2090" s="283"/>
      <c r="N2090" s="131">
        <f t="shared" si="124"/>
        <v>0</v>
      </c>
      <c r="O2090" s="269" t="s">
        <v>1711</v>
      </c>
      <c r="P2090" s="269" t="s">
        <v>1643</v>
      </c>
      <c r="Q2090" s="84"/>
      <c r="R2090" s="84"/>
      <c r="S2090" s="84"/>
      <c r="T2090" s="84"/>
      <c r="U2090" s="84"/>
      <c r="V2090" s="84"/>
    </row>
    <row r="2091" s="89" customFormat="1" spans="1:22">
      <c r="A2091" s="118">
        <v>46082</v>
      </c>
      <c r="B2091" s="116" t="s">
        <v>630</v>
      </c>
      <c r="C2091" s="78" t="s">
        <v>649</v>
      </c>
      <c r="D2091" s="116" t="s">
        <v>650</v>
      </c>
      <c r="E2091" s="116" t="s">
        <v>651</v>
      </c>
      <c r="F2091" s="258">
        <v>46097</v>
      </c>
      <c r="G2091" s="269" t="s">
        <v>1710</v>
      </c>
      <c r="H2091" s="112" t="s">
        <v>23</v>
      </c>
      <c r="I2091" s="283">
        <v>20543.34</v>
      </c>
      <c r="J2091" s="139">
        <v>0</v>
      </c>
      <c r="K2091" s="139">
        <f t="shared" si="125"/>
        <v>20543.34</v>
      </c>
      <c r="L2091" s="283">
        <v>20543.34</v>
      </c>
      <c r="M2091" s="283"/>
      <c r="N2091" s="131">
        <f t="shared" si="124"/>
        <v>0</v>
      </c>
      <c r="O2091" s="269" t="s">
        <v>1711</v>
      </c>
      <c r="P2091" s="269" t="s">
        <v>1643</v>
      </c>
      <c r="Q2091" s="84"/>
      <c r="R2091" s="84"/>
      <c r="S2091" s="84"/>
      <c r="T2091" s="84"/>
      <c r="U2091" s="84"/>
      <c r="V2091" s="84"/>
    </row>
    <row r="2092" s="89" customFormat="1" spans="1:22">
      <c r="A2092" s="118">
        <v>46082</v>
      </c>
      <c r="B2092" s="116" t="s">
        <v>630</v>
      </c>
      <c r="C2092" s="78" t="s">
        <v>649</v>
      </c>
      <c r="D2092" s="116" t="s">
        <v>650</v>
      </c>
      <c r="E2092" s="116" t="s">
        <v>651</v>
      </c>
      <c r="F2092" s="258">
        <v>46097</v>
      </c>
      <c r="G2092" s="269" t="s">
        <v>1710</v>
      </c>
      <c r="H2092" s="112" t="s">
        <v>30</v>
      </c>
      <c r="I2092" s="283">
        <v>1076.71</v>
      </c>
      <c r="J2092" s="139">
        <v>0</v>
      </c>
      <c r="K2092" s="139">
        <f t="shared" si="125"/>
        <v>1076.71</v>
      </c>
      <c r="L2092" s="283">
        <v>1076.71</v>
      </c>
      <c r="M2092" s="283"/>
      <c r="N2092" s="131">
        <f t="shared" si="124"/>
        <v>0</v>
      </c>
      <c r="O2092" s="269" t="s">
        <v>1711</v>
      </c>
      <c r="P2092" s="269" t="s">
        <v>1643</v>
      </c>
      <c r="Q2092" s="84"/>
      <c r="R2092" s="84"/>
      <c r="S2092" s="84"/>
      <c r="T2092" s="84"/>
      <c r="U2092" s="84"/>
      <c r="V2092" s="84"/>
    </row>
    <row r="2093" s="89" customFormat="1" spans="1:22">
      <c r="A2093" s="118">
        <v>46082</v>
      </c>
      <c r="B2093" s="135" t="s">
        <v>679</v>
      </c>
      <c r="C2093" s="114" t="s">
        <v>700</v>
      </c>
      <c r="D2093" s="114" t="s">
        <v>701</v>
      </c>
      <c r="E2093" s="114" t="s">
        <v>702</v>
      </c>
      <c r="F2093" s="258">
        <v>46097</v>
      </c>
      <c r="G2093" s="114" t="s">
        <v>1501</v>
      </c>
      <c r="H2093" s="114" t="s">
        <v>21</v>
      </c>
      <c r="I2093" s="136">
        <v>13860</v>
      </c>
      <c r="J2093" s="136">
        <v>0</v>
      </c>
      <c r="K2093" s="136">
        <f t="shared" si="125"/>
        <v>13860</v>
      </c>
      <c r="L2093" s="136">
        <v>13860</v>
      </c>
      <c r="M2093" s="136"/>
      <c r="N2093" s="136">
        <f t="shared" si="124"/>
        <v>0</v>
      </c>
      <c r="O2093" s="269" t="s">
        <v>1177</v>
      </c>
      <c r="P2093" s="269" t="s">
        <v>1643</v>
      </c>
      <c r="Q2093" s="84"/>
      <c r="R2093" s="84"/>
      <c r="S2093" s="84"/>
      <c r="T2093" s="84"/>
      <c r="U2093" s="84"/>
      <c r="V2093" s="84"/>
    </row>
    <row r="2094" s="89" customFormat="1" spans="1:22">
      <c r="A2094" s="118">
        <v>46082</v>
      </c>
      <c r="B2094" s="135" t="s">
        <v>679</v>
      </c>
      <c r="C2094" s="114" t="s">
        <v>700</v>
      </c>
      <c r="D2094" s="114" t="s">
        <v>701</v>
      </c>
      <c r="E2094" s="114" t="s">
        <v>702</v>
      </c>
      <c r="F2094" s="258">
        <v>46097</v>
      </c>
      <c r="G2094" s="114" t="s">
        <v>1501</v>
      </c>
      <c r="H2094" s="114" t="s">
        <v>23</v>
      </c>
      <c r="I2094" s="136">
        <v>3025</v>
      </c>
      <c r="J2094" s="136">
        <v>0</v>
      </c>
      <c r="K2094" s="136">
        <f t="shared" si="125"/>
        <v>3025</v>
      </c>
      <c r="L2094" s="136">
        <v>3025</v>
      </c>
      <c r="M2094" s="136"/>
      <c r="N2094" s="136">
        <f t="shared" si="124"/>
        <v>0</v>
      </c>
      <c r="O2094" s="269" t="s">
        <v>1177</v>
      </c>
      <c r="P2094" s="269" t="s">
        <v>1643</v>
      </c>
      <c r="Q2094" s="84"/>
      <c r="R2094" s="84"/>
      <c r="S2094" s="84"/>
      <c r="T2094" s="84"/>
      <c r="U2094" s="84"/>
      <c r="V2094" s="84"/>
    </row>
    <row r="2095" s="89" customFormat="1" spans="1:22">
      <c r="A2095" s="118">
        <v>46082</v>
      </c>
      <c r="B2095" s="135" t="s">
        <v>679</v>
      </c>
      <c r="C2095" s="114" t="s">
        <v>700</v>
      </c>
      <c r="D2095" s="114" t="s">
        <v>701</v>
      </c>
      <c r="E2095" s="114" t="s">
        <v>702</v>
      </c>
      <c r="F2095" s="258">
        <v>46097</v>
      </c>
      <c r="G2095" s="114" t="s">
        <v>1654</v>
      </c>
      <c r="H2095" s="114" t="s">
        <v>30</v>
      </c>
      <c r="I2095" s="136">
        <v>3000</v>
      </c>
      <c r="J2095" s="136">
        <v>0</v>
      </c>
      <c r="K2095" s="136">
        <f t="shared" si="125"/>
        <v>3000</v>
      </c>
      <c r="L2095" s="136">
        <v>3000</v>
      </c>
      <c r="M2095" s="136"/>
      <c r="N2095" s="136">
        <f t="shared" si="124"/>
        <v>0</v>
      </c>
      <c r="O2095" s="269" t="s">
        <v>1177</v>
      </c>
      <c r="P2095" s="269" t="s">
        <v>1643</v>
      </c>
      <c r="Q2095" s="84"/>
      <c r="R2095" s="84"/>
      <c r="S2095" s="84"/>
      <c r="T2095" s="84"/>
      <c r="U2095" s="84"/>
      <c r="V2095" s="84"/>
    </row>
    <row r="2096" s="89" customFormat="1" spans="1:22">
      <c r="A2096" s="111">
        <v>46113</v>
      </c>
      <c r="B2096" s="114" t="s">
        <v>491</v>
      </c>
      <c r="C2096" s="310" t="s">
        <v>549</v>
      </c>
      <c r="D2096" s="269" t="s">
        <v>550</v>
      </c>
      <c r="E2096" s="269" t="s">
        <v>551</v>
      </c>
      <c r="F2096" s="333">
        <v>46128</v>
      </c>
      <c r="G2096" s="269" t="s">
        <v>1712</v>
      </c>
      <c r="H2096" s="269" t="s">
        <v>23</v>
      </c>
      <c r="I2096" s="283">
        <v>8528</v>
      </c>
      <c r="J2096" s="283">
        <v>0</v>
      </c>
      <c r="K2096" s="136">
        <f t="shared" si="125"/>
        <v>8528</v>
      </c>
      <c r="L2096" s="283">
        <v>8528</v>
      </c>
      <c r="M2096" s="283"/>
      <c r="N2096" s="131">
        <f t="shared" si="124"/>
        <v>0</v>
      </c>
      <c r="O2096" s="269" t="s">
        <v>1342</v>
      </c>
      <c r="P2096" s="269" t="s">
        <v>1643</v>
      </c>
      <c r="Q2096" s="84"/>
      <c r="R2096" s="84"/>
      <c r="S2096" s="84"/>
      <c r="T2096" s="84"/>
      <c r="U2096" s="84"/>
      <c r="V2096" s="84"/>
    </row>
    <row r="2097" s="89" customFormat="1" spans="1:22">
      <c r="A2097" s="111">
        <v>46113</v>
      </c>
      <c r="B2097" s="114" t="s">
        <v>491</v>
      </c>
      <c r="C2097" s="310" t="s">
        <v>549</v>
      </c>
      <c r="D2097" s="269" t="s">
        <v>550</v>
      </c>
      <c r="E2097" s="269" t="s">
        <v>551</v>
      </c>
      <c r="F2097" s="333">
        <v>46128</v>
      </c>
      <c r="G2097" s="269" t="s">
        <v>1712</v>
      </c>
      <c r="H2097" s="269" t="s">
        <v>21</v>
      </c>
      <c r="I2097" s="283">
        <v>6977</v>
      </c>
      <c r="J2097" s="283">
        <v>0</v>
      </c>
      <c r="K2097" s="136">
        <f t="shared" si="125"/>
        <v>6977</v>
      </c>
      <c r="L2097" s="283">
        <v>6977</v>
      </c>
      <c r="M2097" s="283"/>
      <c r="N2097" s="131">
        <f t="shared" si="124"/>
        <v>0</v>
      </c>
      <c r="O2097" s="269" t="s">
        <v>1342</v>
      </c>
      <c r="P2097" s="269" t="s">
        <v>1643</v>
      </c>
      <c r="Q2097" s="84"/>
      <c r="R2097" s="84"/>
      <c r="S2097" s="84"/>
      <c r="T2097" s="84"/>
      <c r="U2097" s="84"/>
      <c r="V2097" s="84"/>
    </row>
    <row r="2098" s="89" customFormat="1" spans="1:22">
      <c r="A2098" s="111">
        <v>46113</v>
      </c>
      <c r="B2098" s="114" t="s">
        <v>491</v>
      </c>
      <c r="C2098" s="310" t="s">
        <v>549</v>
      </c>
      <c r="D2098" s="269" t="s">
        <v>550</v>
      </c>
      <c r="E2098" s="269" t="s">
        <v>551</v>
      </c>
      <c r="F2098" s="333">
        <v>46128</v>
      </c>
      <c r="G2098" s="269" t="s">
        <v>1654</v>
      </c>
      <c r="H2098" s="269" t="s">
        <v>30</v>
      </c>
      <c r="I2098" s="283">
        <v>3000</v>
      </c>
      <c r="J2098" s="283">
        <v>0</v>
      </c>
      <c r="K2098" s="136">
        <f t="shared" si="125"/>
        <v>3000</v>
      </c>
      <c r="L2098" s="283">
        <v>3000</v>
      </c>
      <c r="M2098" s="283"/>
      <c r="N2098" s="131">
        <f t="shared" si="124"/>
        <v>0</v>
      </c>
      <c r="O2098" s="269" t="s">
        <v>1342</v>
      </c>
      <c r="P2098" s="269" t="s">
        <v>1643</v>
      </c>
      <c r="Q2098" s="84"/>
      <c r="R2098" s="84"/>
      <c r="S2098" s="84"/>
      <c r="T2098" s="84"/>
      <c r="U2098" s="84"/>
      <c r="V2098" s="84"/>
    </row>
    <row r="2099" s="89" customFormat="1" spans="1:22">
      <c r="A2099" s="111">
        <v>46082</v>
      </c>
      <c r="B2099" s="269" t="s">
        <v>679</v>
      </c>
      <c r="C2099" s="310" t="s">
        <v>1713</v>
      </c>
      <c r="D2099" s="269" t="s">
        <v>1714</v>
      </c>
      <c r="E2099" s="269" t="s">
        <v>1715</v>
      </c>
      <c r="F2099" s="310" t="s">
        <v>1716</v>
      </c>
      <c r="G2099" s="269" t="s">
        <v>1423</v>
      </c>
      <c r="H2099" s="269" t="s">
        <v>833</v>
      </c>
      <c r="I2099" s="283">
        <v>7500</v>
      </c>
      <c r="J2099" s="283">
        <v>0</v>
      </c>
      <c r="K2099" s="136">
        <f t="shared" si="125"/>
        <v>7500</v>
      </c>
      <c r="L2099" s="283">
        <v>7500</v>
      </c>
      <c r="M2099" s="283"/>
      <c r="N2099" s="131">
        <f t="shared" si="124"/>
        <v>0</v>
      </c>
      <c r="O2099" s="269" t="s">
        <v>572</v>
      </c>
      <c r="P2099" s="269" t="s">
        <v>1643</v>
      </c>
      <c r="Q2099" s="84"/>
      <c r="R2099" s="84"/>
      <c r="S2099" s="84"/>
      <c r="T2099" s="84"/>
      <c r="U2099" s="84"/>
      <c r="V2099" s="84"/>
    </row>
    <row r="2100" s="89" customFormat="1" spans="1:22">
      <c r="A2100" s="322">
        <v>46113</v>
      </c>
      <c r="B2100" s="116" t="s">
        <v>16</v>
      </c>
      <c r="C2100" s="114" t="s">
        <v>174</v>
      </c>
      <c r="D2100" s="114" t="s">
        <v>1717</v>
      </c>
      <c r="E2100" s="114" t="s">
        <v>1718</v>
      </c>
      <c r="F2100" s="120">
        <v>46128</v>
      </c>
      <c r="G2100" s="114" t="s">
        <v>1402</v>
      </c>
      <c r="H2100" s="114" t="s">
        <v>23</v>
      </c>
      <c r="I2100" s="136">
        <v>26070</v>
      </c>
      <c r="J2100" s="136">
        <v>0</v>
      </c>
      <c r="K2100" s="136">
        <f t="shared" si="125"/>
        <v>26070</v>
      </c>
      <c r="L2100" s="136">
        <v>26070</v>
      </c>
      <c r="M2100" s="136"/>
      <c r="N2100" s="136">
        <f t="shared" si="124"/>
        <v>0</v>
      </c>
      <c r="O2100" s="269" t="s">
        <v>1719</v>
      </c>
      <c r="P2100" s="269" t="s">
        <v>1643</v>
      </c>
      <c r="Q2100" s="84"/>
      <c r="R2100" s="84"/>
      <c r="S2100" s="84"/>
      <c r="T2100" s="84"/>
      <c r="U2100" s="84"/>
      <c r="V2100" s="84"/>
    </row>
    <row r="2101" s="89" customFormat="1" spans="1:22">
      <c r="A2101" s="322">
        <v>46113</v>
      </c>
      <c r="B2101" s="116" t="s">
        <v>16</v>
      </c>
      <c r="C2101" s="114" t="s">
        <v>174</v>
      </c>
      <c r="D2101" s="114" t="s">
        <v>1717</v>
      </c>
      <c r="E2101" s="114" t="s">
        <v>1718</v>
      </c>
      <c r="F2101" s="120">
        <v>46128</v>
      </c>
      <c r="G2101" s="114" t="s">
        <v>1160</v>
      </c>
      <c r="H2101" s="114" t="s">
        <v>23</v>
      </c>
      <c r="I2101" s="136">
        <v>28966.67</v>
      </c>
      <c r="J2101" s="136">
        <v>0</v>
      </c>
      <c r="K2101" s="136">
        <f t="shared" si="125"/>
        <v>28966.67</v>
      </c>
      <c r="L2101" s="136">
        <v>24891.67</v>
      </c>
      <c r="M2101" s="136"/>
      <c r="N2101" s="136">
        <f t="shared" si="124"/>
        <v>4075</v>
      </c>
      <c r="O2101" s="269" t="s">
        <v>1719</v>
      </c>
      <c r="P2101" s="269" t="s">
        <v>1643</v>
      </c>
      <c r="Q2101" s="84"/>
      <c r="R2101" s="84"/>
      <c r="S2101" s="84"/>
      <c r="T2101" s="84"/>
      <c r="U2101" s="84"/>
      <c r="V2101" s="84"/>
    </row>
    <row r="2102" s="89" customFormat="1" spans="1:22">
      <c r="A2102" s="322">
        <v>46113</v>
      </c>
      <c r="B2102" s="116" t="s">
        <v>16</v>
      </c>
      <c r="C2102" s="114" t="s">
        <v>174</v>
      </c>
      <c r="D2102" s="114" t="s">
        <v>1717</v>
      </c>
      <c r="E2102" s="114" t="s">
        <v>1718</v>
      </c>
      <c r="F2102" s="120">
        <v>46128</v>
      </c>
      <c r="G2102" s="114" t="s">
        <v>1402</v>
      </c>
      <c r="H2102" s="114" t="s">
        <v>21</v>
      </c>
      <c r="I2102" s="136">
        <v>33227.4</v>
      </c>
      <c r="J2102" s="136">
        <v>0</v>
      </c>
      <c r="K2102" s="136">
        <f t="shared" si="125"/>
        <v>33227.4</v>
      </c>
      <c r="L2102" s="136">
        <v>33227.4</v>
      </c>
      <c r="M2102" s="136"/>
      <c r="N2102" s="136">
        <f t="shared" si="124"/>
        <v>0</v>
      </c>
      <c r="O2102" s="269" t="s">
        <v>1719</v>
      </c>
      <c r="P2102" s="269" t="s">
        <v>1643</v>
      </c>
      <c r="Q2102" s="84"/>
      <c r="R2102" s="84"/>
      <c r="S2102" s="84"/>
      <c r="T2102" s="84"/>
      <c r="U2102" s="84"/>
      <c r="V2102" s="84"/>
    </row>
    <row r="2103" s="89" customFormat="1" spans="1:22">
      <c r="A2103" s="322">
        <v>46113</v>
      </c>
      <c r="B2103" s="116" t="s">
        <v>16</v>
      </c>
      <c r="C2103" s="114" t="s">
        <v>174</v>
      </c>
      <c r="D2103" s="114" t="s">
        <v>1717</v>
      </c>
      <c r="E2103" s="114" t="s">
        <v>1718</v>
      </c>
      <c r="F2103" s="120">
        <v>46128</v>
      </c>
      <c r="G2103" s="114" t="s">
        <v>1160</v>
      </c>
      <c r="H2103" s="114" t="s">
        <v>21</v>
      </c>
      <c r="I2103" s="136">
        <v>36919.33</v>
      </c>
      <c r="J2103" s="136">
        <v>0</v>
      </c>
      <c r="K2103" s="136">
        <f t="shared" si="125"/>
        <v>36919.33</v>
      </c>
      <c r="L2103" s="136">
        <v>36919.33</v>
      </c>
      <c r="M2103" s="136"/>
      <c r="N2103" s="136">
        <f t="shared" si="124"/>
        <v>0</v>
      </c>
      <c r="O2103" s="269" t="s">
        <v>1719</v>
      </c>
      <c r="P2103" s="269" t="s">
        <v>1643</v>
      </c>
      <c r="Q2103" s="84"/>
      <c r="R2103" s="84"/>
      <c r="S2103" s="84"/>
      <c r="T2103" s="84"/>
      <c r="U2103" s="84"/>
      <c r="V2103" s="84"/>
    </row>
    <row r="2104" s="88" customFormat="1" spans="1:16">
      <c r="A2104" s="111">
        <v>46082</v>
      </c>
      <c r="B2104" s="284" t="s">
        <v>16</v>
      </c>
      <c r="C2104" s="78" t="s">
        <v>43</v>
      </c>
      <c r="D2104" s="116" t="s">
        <v>44</v>
      </c>
      <c r="E2104" s="116" t="s">
        <v>45</v>
      </c>
      <c r="F2104" s="117">
        <v>46094</v>
      </c>
      <c r="G2104" s="284" t="s">
        <v>1176</v>
      </c>
      <c r="H2104" s="116" t="s">
        <v>21</v>
      </c>
      <c r="I2104" s="161">
        <v>11525</v>
      </c>
      <c r="J2104" s="161">
        <v>0</v>
      </c>
      <c r="K2104" s="139">
        <f t="shared" si="125"/>
        <v>11525</v>
      </c>
      <c r="L2104" s="161">
        <v>11525</v>
      </c>
      <c r="M2104" s="161"/>
      <c r="N2104" s="131">
        <f t="shared" si="124"/>
        <v>0</v>
      </c>
      <c r="O2104" s="138" t="s">
        <v>1405</v>
      </c>
      <c r="P2104" s="138"/>
    </row>
    <row r="2105" s="88" customFormat="1" spans="1:16">
      <c r="A2105" s="111">
        <v>46082</v>
      </c>
      <c r="B2105" s="284" t="s">
        <v>16</v>
      </c>
      <c r="C2105" s="78" t="s">
        <v>43</v>
      </c>
      <c r="D2105" s="116" t="s">
        <v>44</v>
      </c>
      <c r="E2105" s="116" t="s">
        <v>45</v>
      </c>
      <c r="F2105" s="117">
        <v>46094</v>
      </c>
      <c r="G2105" s="284" t="s">
        <v>1176</v>
      </c>
      <c r="H2105" s="116" t="s">
        <v>23</v>
      </c>
      <c r="I2105" s="161">
        <v>7376</v>
      </c>
      <c r="J2105" s="161">
        <v>0</v>
      </c>
      <c r="K2105" s="139">
        <f t="shared" si="125"/>
        <v>7376</v>
      </c>
      <c r="L2105" s="161">
        <v>7376</v>
      </c>
      <c r="M2105" s="161"/>
      <c r="N2105" s="131">
        <f t="shared" si="124"/>
        <v>0</v>
      </c>
      <c r="O2105" s="138" t="s">
        <v>1405</v>
      </c>
      <c r="P2105" s="138"/>
    </row>
    <row r="2106" s="88" customFormat="1" spans="1:16">
      <c r="A2106" s="302">
        <v>46113</v>
      </c>
      <c r="B2106" s="114" t="s">
        <v>16</v>
      </c>
      <c r="C2106" s="114" t="s">
        <v>1662</v>
      </c>
      <c r="D2106" s="114" t="s">
        <v>847</v>
      </c>
      <c r="E2106" s="114" t="s">
        <v>1663</v>
      </c>
      <c r="F2106" s="117">
        <v>46127</v>
      </c>
      <c r="G2106" s="114" t="s">
        <v>1413</v>
      </c>
      <c r="H2106" s="114" t="s">
        <v>833</v>
      </c>
      <c r="I2106" s="136">
        <v>1800</v>
      </c>
      <c r="J2106" s="131"/>
      <c r="K2106" s="131">
        <v>1800</v>
      </c>
      <c r="L2106" s="131">
        <v>1800</v>
      </c>
      <c r="M2106" s="131"/>
      <c r="N2106" s="131">
        <f t="shared" si="124"/>
        <v>0</v>
      </c>
      <c r="O2106" s="138" t="s">
        <v>1598</v>
      </c>
      <c r="P2106" s="138" t="s">
        <v>1666</v>
      </c>
    </row>
    <row r="2107" s="86" customFormat="1" spans="1:16">
      <c r="A2107" s="111">
        <v>45931</v>
      </c>
      <c r="B2107" s="112" t="s">
        <v>630</v>
      </c>
      <c r="C2107" s="113" t="s">
        <v>672</v>
      </c>
      <c r="D2107" s="112" t="s">
        <v>673</v>
      </c>
      <c r="E2107" s="112" t="s">
        <v>674</v>
      </c>
      <c r="F2107" s="151">
        <v>45946</v>
      </c>
      <c r="G2107" s="112" t="s">
        <v>1720</v>
      </c>
      <c r="H2107" s="112" t="s">
        <v>23</v>
      </c>
      <c r="I2107" s="130">
        <v>7027.4</v>
      </c>
      <c r="J2107" s="130">
        <v>0</v>
      </c>
      <c r="K2107" s="130">
        <f t="shared" ref="K2107:K2112" si="126">I2107-J2107</f>
        <v>7027.4</v>
      </c>
      <c r="L2107" s="130">
        <v>7027.4</v>
      </c>
      <c r="M2107" s="130"/>
      <c r="N2107" s="131">
        <f t="shared" si="124"/>
        <v>0</v>
      </c>
      <c r="O2107" s="112" t="s">
        <v>105</v>
      </c>
      <c r="P2107" s="112"/>
    </row>
    <row r="2108" s="86" customFormat="1" spans="1:16">
      <c r="A2108" s="111">
        <v>45962</v>
      </c>
      <c r="B2108" s="112" t="s">
        <v>630</v>
      </c>
      <c r="C2108" s="113" t="s">
        <v>672</v>
      </c>
      <c r="D2108" s="112" t="s">
        <v>673</v>
      </c>
      <c r="E2108" s="112" t="s">
        <v>674</v>
      </c>
      <c r="F2108" s="151">
        <v>45977</v>
      </c>
      <c r="G2108" s="112" t="s">
        <v>1721</v>
      </c>
      <c r="H2108" s="112" t="s">
        <v>23</v>
      </c>
      <c r="I2108" s="130">
        <v>1592.88</v>
      </c>
      <c r="J2108" s="130">
        <v>0</v>
      </c>
      <c r="K2108" s="130">
        <f t="shared" si="126"/>
        <v>1592.88</v>
      </c>
      <c r="L2108" s="130">
        <v>1592.88</v>
      </c>
      <c r="M2108" s="130"/>
      <c r="N2108" s="131">
        <f t="shared" si="124"/>
        <v>0</v>
      </c>
      <c r="O2108" s="112" t="s">
        <v>400</v>
      </c>
      <c r="P2108" s="112"/>
    </row>
    <row r="2109" s="86" customFormat="1" spans="1:16">
      <c r="A2109" s="111">
        <v>46082</v>
      </c>
      <c r="B2109" s="112" t="s">
        <v>630</v>
      </c>
      <c r="C2109" s="113" t="s">
        <v>672</v>
      </c>
      <c r="D2109" s="112" t="s">
        <v>673</v>
      </c>
      <c r="E2109" s="112" t="s">
        <v>674</v>
      </c>
      <c r="F2109" s="151">
        <v>46097</v>
      </c>
      <c r="G2109" s="112" t="s">
        <v>1722</v>
      </c>
      <c r="H2109" s="112" t="s">
        <v>23</v>
      </c>
      <c r="I2109" s="130">
        <v>14250</v>
      </c>
      <c r="J2109" s="130">
        <v>0</v>
      </c>
      <c r="K2109" s="130">
        <f t="shared" si="126"/>
        <v>14250</v>
      </c>
      <c r="L2109" s="130">
        <v>14250</v>
      </c>
      <c r="M2109" s="130"/>
      <c r="N2109" s="131">
        <f t="shared" si="124"/>
        <v>0</v>
      </c>
      <c r="O2109" s="112" t="s">
        <v>1220</v>
      </c>
      <c r="P2109" s="112"/>
    </row>
    <row r="2110" s="88" customFormat="1" spans="1:16">
      <c r="A2110" s="111">
        <v>46113</v>
      </c>
      <c r="B2110" s="284" t="s">
        <v>16</v>
      </c>
      <c r="C2110" s="78" t="s">
        <v>43</v>
      </c>
      <c r="D2110" s="116" t="s">
        <v>44</v>
      </c>
      <c r="E2110" s="116" t="s">
        <v>45</v>
      </c>
      <c r="F2110" s="117">
        <v>46125</v>
      </c>
      <c r="G2110" s="284" t="s">
        <v>1174</v>
      </c>
      <c r="H2110" s="116" t="s">
        <v>21</v>
      </c>
      <c r="I2110" s="161">
        <v>11525</v>
      </c>
      <c r="J2110" s="161">
        <v>0</v>
      </c>
      <c r="K2110" s="139">
        <f t="shared" si="126"/>
        <v>11525</v>
      </c>
      <c r="L2110" s="161">
        <v>11525</v>
      </c>
      <c r="M2110" s="161"/>
      <c r="N2110" s="131">
        <f t="shared" si="124"/>
        <v>0</v>
      </c>
      <c r="O2110" s="138" t="s">
        <v>1405</v>
      </c>
      <c r="P2110" s="138"/>
    </row>
    <row r="2111" s="88" customFormat="1" spans="1:16">
      <c r="A2111" s="111">
        <v>46113</v>
      </c>
      <c r="B2111" s="284" t="s">
        <v>16</v>
      </c>
      <c r="C2111" s="78" t="s">
        <v>43</v>
      </c>
      <c r="D2111" s="116" t="s">
        <v>44</v>
      </c>
      <c r="E2111" s="116" t="s">
        <v>45</v>
      </c>
      <c r="F2111" s="117">
        <v>46125</v>
      </c>
      <c r="G2111" s="284" t="s">
        <v>1174</v>
      </c>
      <c r="H2111" s="116" t="s">
        <v>23</v>
      </c>
      <c r="I2111" s="161">
        <v>7376</v>
      </c>
      <c r="J2111" s="161">
        <v>0</v>
      </c>
      <c r="K2111" s="139">
        <f t="shared" si="126"/>
        <v>7376</v>
      </c>
      <c r="L2111" s="161">
        <v>7376</v>
      </c>
      <c r="M2111" s="161"/>
      <c r="N2111" s="131">
        <f t="shared" si="124"/>
        <v>0</v>
      </c>
      <c r="O2111" s="138" t="s">
        <v>1405</v>
      </c>
      <c r="P2111" s="138"/>
    </row>
    <row r="2112" s="89" customFormat="1" spans="1:16">
      <c r="A2112" s="122">
        <v>46113</v>
      </c>
      <c r="B2112" s="116" t="s">
        <v>491</v>
      </c>
      <c r="C2112" s="165" t="s">
        <v>1723</v>
      </c>
      <c r="D2112" s="141" t="s">
        <v>1677</v>
      </c>
      <c r="E2112" s="141" t="s">
        <v>1678</v>
      </c>
      <c r="F2112" s="151">
        <v>46128</v>
      </c>
      <c r="G2112" s="141" t="s">
        <v>1724</v>
      </c>
      <c r="H2112" s="141" t="s">
        <v>23</v>
      </c>
      <c r="I2112" s="139">
        <v>39879.37</v>
      </c>
      <c r="J2112" s="139">
        <v>0</v>
      </c>
      <c r="K2112" s="139">
        <f t="shared" si="126"/>
        <v>39879.37</v>
      </c>
      <c r="L2112" s="139">
        <v>39879.37</v>
      </c>
      <c r="M2112" s="139"/>
      <c r="N2112" s="131">
        <f t="shared" si="124"/>
        <v>0</v>
      </c>
      <c r="O2112" s="140" t="s">
        <v>1583</v>
      </c>
      <c r="P2112" s="167" t="s">
        <v>167</v>
      </c>
    </row>
  </sheetData>
  <autoFilter ref="A2:XFD2112">
    <extLst/>
  </autoFilter>
  <mergeCells count="1">
    <mergeCell ref="P841:P850"/>
  </mergeCells>
  <conditionalFormatting sqref="E1328">
    <cfRule type="duplicateValues" dxfId="0" priority="4"/>
  </conditionalFormatting>
  <conditionalFormatting sqref="E1329">
    <cfRule type="duplicateValues" dxfId="0" priority="5"/>
  </conditionalFormatting>
  <conditionalFormatting sqref="E1330">
    <cfRule type="duplicateValues" dxfId="0" priority="6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39"/>
  <sheetViews>
    <sheetView workbookViewId="0">
      <selection activeCell="E1151" sqref="E1151"/>
    </sheetView>
  </sheetViews>
  <sheetFormatPr defaultColWidth="8.74166666666667" defaultRowHeight="14" customHeight="1"/>
  <cols>
    <col min="1" max="1" width="8.74166666666667" style="1"/>
    <col min="2" max="2" width="9.875" style="1" customWidth="1"/>
    <col min="3" max="3" width="6.125" style="1" customWidth="1"/>
    <col min="4" max="4" width="18.375" style="2" customWidth="1"/>
    <col min="5" max="5" width="36" style="3" customWidth="1"/>
    <col min="6" max="6" width="20.875" style="4" customWidth="1"/>
    <col min="7" max="7" width="7.25" style="4" customWidth="1"/>
    <col min="8" max="8" width="7.875" style="1" customWidth="1"/>
    <col min="9" max="9" width="11.375" style="5" customWidth="1"/>
    <col min="10" max="11" width="10.6333333333333" style="6" customWidth="1"/>
    <col min="12" max="12" width="10.6333333333333" style="7" customWidth="1"/>
    <col min="13" max="13" width="10.6333333333333" style="1" customWidth="1"/>
    <col min="14" max="14" width="10.6333333333333" style="7" customWidth="1"/>
    <col min="15" max="15" width="9" style="6" customWidth="1"/>
    <col min="16" max="16" width="10.6333333333333" style="7" customWidth="1"/>
    <col min="17" max="17" width="10.875" style="8" customWidth="1"/>
    <col min="18" max="18" width="10.6333333333333" style="8" customWidth="1"/>
    <col min="19" max="19" width="19" style="9" customWidth="1"/>
    <col min="20" max="16383" width="8.74166666666667" style="1"/>
    <col min="16384" max="16384" width="8.74166666666667" style="10"/>
  </cols>
  <sheetData>
    <row r="1" s="1" customFormat="1" customHeight="1" spans="4:19">
      <c r="D1" s="2"/>
      <c r="E1" s="3"/>
      <c r="F1" s="4"/>
      <c r="G1" s="4"/>
      <c r="I1" s="5">
        <f>SUBTOTAL(9,I3:I199166)</f>
        <v>1245685.738626</v>
      </c>
      <c r="J1" s="5">
        <f>SUBTOTAL(9,J3:J199166)</f>
        <v>1229535.787926</v>
      </c>
      <c r="K1" s="5">
        <f>SUBTOTAL(9,K3:K199166)</f>
        <v>5613.31</v>
      </c>
      <c r="L1" s="5"/>
      <c r="M1" s="5">
        <f>SUBTOTAL(9,M3:M199166)</f>
        <v>8993.45</v>
      </c>
      <c r="N1" s="5"/>
      <c r="O1" s="5">
        <f>SUBTOTAL(9,O3:O199166)</f>
        <v>6565.95</v>
      </c>
      <c r="P1" s="5"/>
      <c r="Q1" s="5">
        <f>SUBTOTAL(9,Q3:Q199166)</f>
        <v>1244926.227926</v>
      </c>
      <c r="R1" s="5">
        <f>SUBTOTAL(9,R3:R199166)</f>
        <v>759.510700000001</v>
      </c>
      <c r="S1" s="9"/>
    </row>
    <row r="2" s="1" customFormat="1" customHeight="1" spans="1:19">
      <c r="A2" s="11" t="s">
        <v>1725</v>
      </c>
      <c r="B2" s="11" t="s">
        <v>0</v>
      </c>
      <c r="C2" s="11" t="s">
        <v>1</v>
      </c>
      <c r="D2" s="11" t="s">
        <v>2</v>
      </c>
      <c r="E2" s="12" t="s">
        <v>4</v>
      </c>
      <c r="F2" s="13" t="s">
        <v>6</v>
      </c>
      <c r="G2" s="13" t="s">
        <v>1726</v>
      </c>
      <c r="H2" s="11" t="s">
        <v>7</v>
      </c>
      <c r="I2" s="11" t="s">
        <v>1727</v>
      </c>
      <c r="J2" s="28" t="s">
        <v>11</v>
      </c>
      <c r="K2" s="28" t="s">
        <v>1728</v>
      </c>
      <c r="L2" s="29" t="s">
        <v>1729</v>
      </c>
      <c r="M2" s="30" t="s">
        <v>1730</v>
      </c>
      <c r="N2" s="31" t="s">
        <v>1729</v>
      </c>
      <c r="O2" s="16" t="s">
        <v>1731</v>
      </c>
      <c r="P2" s="32" t="s">
        <v>1729</v>
      </c>
      <c r="Q2" s="45" t="s">
        <v>1732</v>
      </c>
      <c r="R2" s="45" t="s">
        <v>13</v>
      </c>
      <c r="S2" s="30" t="s">
        <v>1733</v>
      </c>
    </row>
    <row r="3" s="1" customFormat="1" customHeight="1" spans="1:19">
      <c r="A3" s="14">
        <v>1</v>
      </c>
      <c r="B3" s="15">
        <v>45901</v>
      </c>
      <c r="C3" s="16" t="s">
        <v>1044</v>
      </c>
      <c r="D3" s="17" t="s">
        <v>890</v>
      </c>
      <c r="E3" s="18" t="s">
        <v>892</v>
      </c>
      <c r="F3" s="19" t="s">
        <v>56</v>
      </c>
      <c r="G3" s="19" t="s">
        <v>1734</v>
      </c>
      <c r="H3" s="16" t="s">
        <v>1735</v>
      </c>
      <c r="I3" s="33">
        <v>342.98</v>
      </c>
      <c r="J3" s="16">
        <v>342.98</v>
      </c>
      <c r="K3" s="16"/>
      <c r="L3" s="34">
        <v>45912</v>
      </c>
      <c r="M3" s="16"/>
      <c r="N3" s="34"/>
      <c r="O3" s="16"/>
      <c r="P3" s="16"/>
      <c r="Q3" s="46">
        <f t="shared" ref="Q3:Q19" si="0">J3+M3+O3</f>
        <v>342.98</v>
      </c>
      <c r="R3" s="47">
        <f t="shared" ref="R3:R66" si="1">I3-Q3</f>
        <v>0</v>
      </c>
      <c r="S3" s="48"/>
    </row>
    <row r="4" s="1" customFormat="1" customHeight="1" spans="1:19">
      <c r="A4" s="14">
        <v>2</v>
      </c>
      <c r="B4" s="15">
        <v>45931</v>
      </c>
      <c r="C4" s="16" t="s">
        <v>1044</v>
      </c>
      <c r="D4" s="17" t="s">
        <v>890</v>
      </c>
      <c r="E4" s="17" t="s">
        <v>892</v>
      </c>
      <c r="F4" s="19" t="s">
        <v>58</v>
      </c>
      <c r="G4" s="19" t="s">
        <v>1734</v>
      </c>
      <c r="H4" s="16" t="s">
        <v>1735</v>
      </c>
      <c r="I4" s="33">
        <v>341.7064</v>
      </c>
      <c r="J4" s="33">
        <v>341.7064</v>
      </c>
      <c r="K4" s="33"/>
      <c r="L4" s="34">
        <v>45972</v>
      </c>
      <c r="M4" s="16"/>
      <c r="N4" s="34"/>
      <c r="O4" s="16"/>
      <c r="P4" s="16"/>
      <c r="Q4" s="46">
        <f t="shared" si="0"/>
        <v>341.7064</v>
      </c>
      <c r="R4" s="47">
        <f t="shared" si="1"/>
        <v>0</v>
      </c>
      <c r="S4" s="48"/>
    </row>
    <row r="5" s="1" customFormat="1" customHeight="1" spans="1:19">
      <c r="A5" s="14">
        <v>3</v>
      </c>
      <c r="B5" s="20">
        <v>45870</v>
      </c>
      <c r="C5" s="16" t="s">
        <v>1044</v>
      </c>
      <c r="D5" s="17" t="s">
        <v>890</v>
      </c>
      <c r="E5" s="18" t="s">
        <v>892</v>
      </c>
      <c r="F5" s="19" t="s">
        <v>55</v>
      </c>
      <c r="G5" s="19" t="s">
        <v>1734</v>
      </c>
      <c r="H5" s="16" t="s">
        <v>1735</v>
      </c>
      <c r="I5" s="16">
        <v>291.71</v>
      </c>
      <c r="J5" s="16">
        <v>291.71</v>
      </c>
      <c r="K5" s="16"/>
      <c r="L5" s="34">
        <v>45890</v>
      </c>
      <c r="M5" s="16"/>
      <c r="N5" s="34"/>
      <c r="O5" s="16"/>
      <c r="P5" s="16"/>
      <c r="Q5" s="46">
        <f t="shared" si="0"/>
        <v>291.71</v>
      </c>
      <c r="R5" s="47">
        <f t="shared" si="1"/>
        <v>0</v>
      </c>
      <c r="S5" s="48"/>
    </row>
    <row r="6" s="1" customFormat="1" customHeight="1" spans="1:19">
      <c r="A6" s="14">
        <v>4</v>
      </c>
      <c r="B6" s="20">
        <v>45962</v>
      </c>
      <c r="C6" s="16" t="s">
        <v>1044</v>
      </c>
      <c r="D6" s="17" t="s">
        <v>890</v>
      </c>
      <c r="E6" s="18" t="s">
        <v>892</v>
      </c>
      <c r="F6" s="19" t="s">
        <v>60</v>
      </c>
      <c r="G6" s="19" t="s">
        <v>1734</v>
      </c>
      <c r="H6" s="16" t="s">
        <v>1735</v>
      </c>
      <c r="I6" s="33">
        <v>433.76</v>
      </c>
      <c r="J6" s="33">
        <v>433.76</v>
      </c>
      <c r="K6" s="33"/>
      <c r="L6" s="34">
        <v>45972</v>
      </c>
      <c r="M6" s="16"/>
      <c r="N6" s="34"/>
      <c r="O6" s="35"/>
      <c r="P6" s="34"/>
      <c r="Q6" s="46">
        <f t="shared" si="0"/>
        <v>433.76</v>
      </c>
      <c r="R6" s="47">
        <f t="shared" si="1"/>
        <v>0</v>
      </c>
      <c r="S6" s="48"/>
    </row>
    <row r="7" s="1" customFormat="1" customHeight="1" spans="1:19">
      <c r="A7" s="14">
        <v>5</v>
      </c>
      <c r="B7" s="20">
        <v>45962</v>
      </c>
      <c r="C7" s="16"/>
      <c r="D7" s="17"/>
      <c r="E7" s="21" t="s">
        <v>1736</v>
      </c>
      <c r="F7" s="19" t="s">
        <v>60</v>
      </c>
      <c r="G7" s="19" t="s">
        <v>1734</v>
      </c>
      <c r="H7" s="16" t="s">
        <v>1735</v>
      </c>
      <c r="I7" s="33">
        <v>18.8</v>
      </c>
      <c r="J7" s="33">
        <v>18.8</v>
      </c>
      <c r="K7" s="35"/>
      <c r="L7" s="34">
        <v>45979</v>
      </c>
      <c r="M7" s="16"/>
      <c r="N7" s="34"/>
      <c r="O7" s="35"/>
      <c r="P7" s="34"/>
      <c r="Q7" s="46">
        <f t="shared" si="0"/>
        <v>18.8</v>
      </c>
      <c r="R7" s="47">
        <f t="shared" si="1"/>
        <v>0</v>
      </c>
      <c r="S7" s="48" t="s">
        <v>1737</v>
      </c>
    </row>
    <row r="8" s="1" customFormat="1" customHeight="1" spans="1:19">
      <c r="A8" s="14">
        <v>6</v>
      </c>
      <c r="B8" s="20">
        <v>45962</v>
      </c>
      <c r="C8" s="16"/>
      <c r="D8" s="22" t="s">
        <v>1738</v>
      </c>
      <c r="E8" s="23" t="s">
        <v>1739</v>
      </c>
      <c r="F8" s="19" t="s">
        <v>60</v>
      </c>
      <c r="G8" s="19" t="s">
        <v>1734</v>
      </c>
      <c r="H8" s="16" t="s">
        <v>1735</v>
      </c>
      <c r="I8" s="33">
        <v>7.5</v>
      </c>
      <c r="J8" s="33">
        <v>7.5</v>
      </c>
      <c r="K8" s="35"/>
      <c r="L8" s="34">
        <v>45979</v>
      </c>
      <c r="M8" s="16"/>
      <c r="N8" s="34"/>
      <c r="O8" s="35"/>
      <c r="P8" s="34"/>
      <c r="Q8" s="46">
        <f t="shared" si="0"/>
        <v>7.5</v>
      </c>
      <c r="R8" s="47">
        <f t="shared" si="1"/>
        <v>0</v>
      </c>
      <c r="S8" s="48" t="s">
        <v>1737</v>
      </c>
    </row>
    <row r="9" s="1" customFormat="1" customHeight="1" spans="1:19">
      <c r="A9" s="14">
        <v>7</v>
      </c>
      <c r="B9" s="20">
        <v>45962</v>
      </c>
      <c r="C9" s="16"/>
      <c r="D9" s="17"/>
      <c r="E9" s="21" t="s">
        <v>1740</v>
      </c>
      <c r="F9" s="19" t="s">
        <v>60</v>
      </c>
      <c r="G9" s="19" t="s">
        <v>1734</v>
      </c>
      <c r="H9" s="16" t="s">
        <v>1735</v>
      </c>
      <c r="I9" s="33">
        <v>98</v>
      </c>
      <c r="J9" s="35">
        <v>98</v>
      </c>
      <c r="K9" s="35"/>
      <c r="L9" s="34">
        <v>45979</v>
      </c>
      <c r="M9" s="16"/>
      <c r="N9" s="34"/>
      <c r="O9" s="35"/>
      <c r="P9" s="34"/>
      <c r="Q9" s="46">
        <f t="shared" si="0"/>
        <v>98</v>
      </c>
      <c r="R9" s="47">
        <f t="shared" si="1"/>
        <v>0</v>
      </c>
      <c r="S9" s="48" t="s">
        <v>1737</v>
      </c>
    </row>
    <row r="10" s="1" customFormat="1" customHeight="1" spans="1:19">
      <c r="A10" s="14">
        <v>8</v>
      </c>
      <c r="B10" s="15">
        <v>45901</v>
      </c>
      <c r="C10" s="24" t="s">
        <v>16</v>
      </c>
      <c r="D10" s="25">
        <v>1008</v>
      </c>
      <c r="E10" s="21" t="s">
        <v>114</v>
      </c>
      <c r="F10" s="19" t="s">
        <v>56</v>
      </c>
      <c r="G10" s="19" t="s">
        <v>1734</v>
      </c>
      <c r="H10" s="24" t="s">
        <v>1735</v>
      </c>
      <c r="I10" s="36">
        <v>21887.59</v>
      </c>
      <c r="J10" s="37">
        <v>21887.59</v>
      </c>
      <c r="K10" s="37"/>
      <c r="L10" s="34">
        <v>45917</v>
      </c>
      <c r="M10" s="16"/>
      <c r="N10" s="34"/>
      <c r="O10" s="16"/>
      <c r="P10" s="16"/>
      <c r="Q10" s="46">
        <f t="shared" si="0"/>
        <v>21887.59</v>
      </c>
      <c r="R10" s="47">
        <f t="shared" si="1"/>
        <v>0</v>
      </c>
      <c r="S10" s="48"/>
    </row>
    <row r="11" s="1" customFormat="1" customHeight="1" spans="1:19">
      <c r="A11" s="14">
        <v>9</v>
      </c>
      <c r="B11" s="15">
        <v>45901</v>
      </c>
      <c r="C11" s="24" t="s">
        <v>16</v>
      </c>
      <c r="D11" s="25">
        <v>1008</v>
      </c>
      <c r="E11" s="21" t="s">
        <v>114</v>
      </c>
      <c r="F11" s="19" t="s">
        <v>56</v>
      </c>
      <c r="G11" s="19" t="s">
        <v>1734</v>
      </c>
      <c r="H11" s="24" t="s">
        <v>1741</v>
      </c>
      <c r="I11" s="38">
        <v>912</v>
      </c>
      <c r="J11" s="36">
        <v>912</v>
      </c>
      <c r="K11" s="36"/>
      <c r="L11" s="34">
        <v>45917</v>
      </c>
      <c r="M11" s="16"/>
      <c r="N11" s="34"/>
      <c r="O11" s="16"/>
      <c r="P11" s="16"/>
      <c r="Q11" s="46">
        <f t="shared" si="0"/>
        <v>912</v>
      </c>
      <c r="R11" s="47">
        <f t="shared" si="1"/>
        <v>0</v>
      </c>
      <c r="S11" s="48"/>
    </row>
    <row r="12" s="1" customFormat="1" customHeight="1" spans="1:19">
      <c r="A12" s="14">
        <v>10</v>
      </c>
      <c r="B12" s="20">
        <v>45870</v>
      </c>
      <c r="C12" s="24" t="s">
        <v>16</v>
      </c>
      <c r="D12" s="25">
        <v>1008</v>
      </c>
      <c r="E12" s="21" t="s">
        <v>114</v>
      </c>
      <c r="F12" s="19" t="s">
        <v>55</v>
      </c>
      <c r="G12" s="19" t="s">
        <v>1734</v>
      </c>
      <c r="H12" s="24" t="s">
        <v>1735</v>
      </c>
      <c r="I12" s="39">
        <v>22634.83</v>
      </c>
      <c r="J12" s="16">
        <v>22634.83</v>
      </c>
      <c r="K12" s="16"/>
      <c r="L12" s="34">
        <v>45903</v>
      </c>
      <c r="M12" s="16"/>
      <c r="N12" s="34"/>
      <c r="O12" s="16"/>
      <c r="P12" s="16"/>
      <c r="Q12" s="46">
        <f t="shared" si="0"/>
        <v>22634.83</v>
      </c>
      <c r="R12" s="47">
        <f t="shared" si="1"/>
        <v>0</v>
      </c>
      <c r="S12" s="48"/>
    </row>
    <row r="13" s="1" customFormat="1" customHeight="1" spans="1:19">
      <c r="A13" s="14">
        <v>11</v>
      </c>
      <c r="B13" s="20">
        <v>45870</v>
      </c>
      <c r="C13" s="24" t="s">
        <v>16</v>
      </c>
      <c r="D13" s="25">
        <v>1008</v>
      </c>
      <c r="E13" s="21" t="s">
        <v>114</v>
      </c>
      <c r="F13" s="19" t="s">
        <v>55</v>
      </c>
      <c r="G13" s="19" t="s">
        <v>1734</v>
      </c>
      <c r="H13" s="24" t="s">
        <v>1741</v>
      </c>
      <c r="I13" s="40">
        <v>796.48</v>
      </c>
      <c r="J13" s="41">
        <v>796.48</v>
      </c>
      <c r="K13" s="41"/>
      <c r="L13" s="34">
        <v>45903</v>
      </c>
      <c r="M13" s="16"/>
      <c r="N13" s="34"/>
      <c r="O13" s="35"/>
      <c r="P13" s="16"/>
      <c r="Q13" s="46">
        <f t="shared" si="0"/>
        <v>796.48</v>
      </c>
      <c r="R13" s="47">
        <f t="shared" si="1"/>
        <v>0</v>
      </c>
      <c r="S13" s="48"/>
    </row>
    <row r="14" s="1" customFormat="1" customHeight="1" spans="1:19">
      <c r="A14" s="14">
        <v>12</v>
      </c>
      <c r="B14" s="15">
        <v>45839</v>
      </c>
      <c r="C14" s="24" t="s">
        <v>16</v>
      </c>
      <c r="D14" s="17">
        <v>1008</v>
      </c>
      <c r="E14" s="18" t="s">
        <v>114</v>
      </c>
      <c r="F14" s="26" t="s">
        <v>102</v>
      </c>
      <c r="G14" s="19" t="s">
        <v>1734</v>
      </c>
      <c r="H14" s="16" t="s">
        <v>1735</v>
      </c>
      <c r="I14" s="35">
        <v>20212.25</v>
      </c>
      <c r="J14" s="35">
        <v>20212.25</v>
      </c>
      <c r="K14" s="35"/>
      <c r="L14" s="34">
        <v>45889</v>
      </c>
      <c r="M14" s="16"/>
      <c r="N14" s="34"/>
      <c r="O14" s="35"/>
      <c r="P14" s="16"/>
      <c r="Q14" s="46">
        <f t="shared" si="0"/>
        <v>20212.25</v>
      </c>
      <c r="R14" s="47">
        <f t="shared" si="1"/>
        <v>0</v>
      </c>
      <c r="S14" s="48"/>
    </row>
    <row r="15" s="1" customFormat="1" customHeight="1" spans="1:19">
      <c r="A15" s="14">
        <v>13</v>
      </c>
      <c r="B15" s="15">
        <v>45839</v>
      </c>
      <c r="C15" s="24" t="s">
        <v>16</v>
      </c>
      <c r="D15" s="17">
        <v>1008</v>
      </c>
      <c r="E15" s="18" t="s">
        <v>114</v>
      </c>
      <c r="F15" s="26" t="s">
        <v>102</v>
      </c>
      <c r="G15" s="19" t="s">
        <v>1734</v>
      </c>
      <c r="H15" s="16" t="s">
        <v>1741</v>
      </c>
      <c r="I15" s="16">
        <v>717.44</v>
      </c>
      <c r="J15" s="16">
        <v>717.44</v>
      </c>
      <c r="K15" s="16"/>
      <c r="L15" s="34">
        <v>45889</v>
      </c>
      <c r="M15" s="16"/>
      <c r="N15" s="34"/>
      <c r="O15" s="35"/>
      <c r="P15" s="16"/>
      <c r="Q15" s="46">
        <f t="shared" si="0"/>
        <v>717.44</v>
      </c>
      <c r="R15" s="47">
        <f t="shared" si="1"/>
        <v>0</v>
      </c>
      <c r="S15" s="48"/>
    </row>
    <row r="16" s="1" customFormat="1" customHeight="1" spans="1:19">
      <c r="A16" s="14">
        <v>14</v>
      </c>
      <c r="B16" s="15">
        <v>45931</v>
      </c>
      <c r="C16" s="24" t="s">
        <v>16</v>
      </c>
      <c r="D16" s="25">
        <v>1008</v>
      </c>
      <c r="E16" s="21" t="s">
        <v>114</v>
      </c>
      <c r="F16" s="26" t="s">
        <v>58</v>
      </c>
      <c r="G16" s="19" t="s">
        <v>1734</v>
      </c>
      <c r="H16" s="24" t="s">
        <v>1741</v>
      </c>
      <c r="I16" s="42">
        <v>595.84</v>
      </c>
      <c r="J16" s="42">
        <v>595.84</v>
      </c>
      <c r="K16" s="42"/>
      <c r="L16" s="34">
        <v>45944</v>
      </c>
      <c r="M16" s="34"/>
      <c r="N16" s="16"/>
      <c r="O16" s="35"/>
      <c r="P16" s="16"/>
      <c r="Q16" s="46">
        <f t="shared" si="0"/>
        <v>595.84</v>
      </c>
      <c r="R16" s="47">
        <f t="shared" si="1"/>
        <v>0</v>
      </c>
      <c r="S16" s="48"/>
    </row>
    <row r="17" s="1" customFormat="1" customHeight="1" spans="1:19">
      <c r="A17" s="14">
        <v>15</v>
      </c>
      <c r="B17" s="15">
        <v>45931</v>
      </c>
      <c r="C17" s="16" t="s">
        <v>16</v>
      </c>
      <c r="D17" s="17">
        <v>1008</v>
      </c>
      <c r="E17" s="18" t="s">
        <v>114</v>
      </c>
      <c r="F17" s="19" t="s">
        <v>58</v>
      </c>
      <c r="G17" s="19" t="s">
        <v>1734</v>
      </c>
      <c r="H17" s="16" t="s">
        <v>1735</v>
      </c>
      <c r="I17" s="33">
        <v>18226.96</v>
      </c>
      <c r="J17" s="33">
        <v>18226.96</v>
      </c>
      <c r="K17" s="33"/>
      <c r="L17" s="34">
        <v>45944</v>
      </c>
      <c r="M17" s="16"/>
      <c r="N17" s="34"/>
      <c r="O17" s="16"/>
      <c r="P17" s="16"/>
      <c r="Q17" s="46">
        <f t="shared" si="0"/>
        <v>18226.96</v>
      </c>
      <c r="R17" s="47">
        <f t="shared" si="1"/>
        <v>0</v>
      </c>
      <c r="S17" s="48"/>
    </row>
    <row r="18" s="1" customFormat="1" customHeight="1" spans="1:19">
      <c r="A18" s="14">
        <v>16</v>
      </c>
      <c r="B18" s="20">
        <v>45962</v>
      </c>
      <c r="C18" s="16" t="s">
        <v>16</v>
      </c>
      <c r="D18" s="17">
        <v>1008</v>
      </c>
      <c r="E18" s="18" t="s">
        <v>114</v>
      </c>
      <c r="F18" s="19" t="s">
        <v>60</v>
      </c>
      <c r="G18" s="19" t="s">
        <v>1734</v>
      </c>
      <c r="H18" s="16" t="s">
        <v>1741</v>
      </c>
      <c r="I18" s="33">
        <v>632.32</v>
      </c>
      <c r="J18" s="35">
        <v>632.32</v>
      </c>
      <c r="K18" s="35"/>
      <c r="L18" s="34">
        <v>45975</v>
      </c>
      <c r="M18" s="16"/>
      <c r="N18" s="34"/>
      <c r="O18" s="16"/>
      <c r="P18" s="34"/>
      <c r="Q18" s="46">
        <f t="shared" si="0"/>
        <v>632.32</v>
      </c>
      <c r="R18" s="47">
        <f t="shared" si="1"/>
        <v>0</v>
      </c>
      <c r="S18" s="48"/>
    </row>
    <row r="19" s="1" customFormat="1" customHeight="1" spans="1:19">
      <c r="A19" s="14">
        <v>17</v>
      </c>
      <c r="B19" s="20">
        <v>45962</v>
      </c>
      <c r="C19" s="16" t="s">
        <v>16</v>
      </c>
      <c r="D19" s="17">
        <v>1008</v>
      </c>
      <c r="E19" s="18" t="s">
        <v>114</v>
      </c>
      <c r="F19" s="19" t="s">
        <v>60</v>
      </c>
      <c r="G19" s="19" t="s">
        <v>1734</v>
      </c>
      <c r="H19" s="16" t="s">
        <v>1735</v>
      </c>
      <c r="I19" s="33">
        <v>18813.34</v>
      </c>
      <c r="J19" s="35">
        <v>18813.34</v>
      </c>
      <c r="K19" s="35"/>
      <c r="L19" s="34">
        <v>45975</v>
      </c>
      <c r="M19" s="16"/>
      <c r="N19" s="34"/>
      <c r="O19" s="16"/>
      <c r="P19" s="34"/>
      <c r="Q19" s="46">
        <f t="shared" si="0"/>
        <v>18813.34</v>
      </c>
      <c r="R19" s="47">
        <f t="shared" si="1"/>
        <v>0</v>
      </c>
      <c r="S19" s="48"/>
    </row>
    <row r="20" s="1" customFormat="1" customHeight="1" spans="1:19">
      <c r="A20" s="14">
        <v>18</v>
      </c>
      <c r="B20" s="20">
        <v>45870</v>
      </c>
      <c r="C20" s="16" t="s">
        <v>679</v>
      </c>
      <c r="D20" s="17">
        <v>5019</v>
      </c>
      <c r="E20" s="18" t="s">
        <v>785</v>
      </c>
      <c r="F20" s="19" t="s">
        <v>55</v>
      </c>
      <c r="G20" s="19" t="s">
        <v>1734</v>
      </c>
      <c r="H20" s="16" t="s">
        <v>1741</v>
      </c>
      <c r="I20" s="16">
        <v>168.96</v>
      </c>
      <c r="J20" s="16">
        <v>168.96</v>
      </c>
      <c r="K20" s="16">
        <v>300</v>
      </c>
      <c r="L20" s="34">
        <v>45894</v>
      </c>
      <c r="M20" s="16">
        <v>168.96</v>
      </c>
      <c r="N20" s="34">
        <v>45895</v>
      </c>
      <c r="O20" s="35"/>
      <c r="P20" s="16"/>
      <c r="Q20" s="46">
        <v>168.96</v>
      </c>
      <c r="R20" s="47">
        <f t="shared" si="1"/>
        <v>0</v>
      </c>
      <c r="S20" s="48"/>
    </row>
    <row r="21" s="1" customFormat="1" customHeight="1" spans="1:19">
      <c r="A21" s="14">
        <v>19</v>
      </c>
      <c r="B21" s="20">
        <v>45962</v>
      </c>
      <c r="C21" s="16" t="s">
        <v>679</v>
      </c>
      <c r="D21" s="17">
        <v>5019</v>
      </c>
      <c r="E21" s="18" t="s">
        <v>785</v>
      </c>
      <c r="F21" s="19" t="s">
        <v>60</v>
      </c>
      <c r="G21" s="19" t="s">
        <v>1734</v>
      </c>
      <c r="H21" s="16" t="s">
        <v>1741</v>
      </c>
      <c r="I21" s="33">
        <v>127.68</v>
      </c>
      <c r="J21" s="35">
        <v>127.68</v>
      </c>
      <c r="K21" s="35">
        <v>72.32</v>
      </c>
      <c r="L21" s="34">
        <v>45971</v>
      </c>
      <c r="M21" s="16"/>
      <c r="N21" s="34"/>
      <c r="O21" s="35"/>
      <c r="P21" s="34"/>
      <c r="Q21" s="46">
        <f t="shared" ref="Q21:Q84" si="2">J21+M21+O21</f>
        <v>127.68</v>
      </c>
      <c r="R21" s="47">
        <f t="shared" si="1"/>
        <v>0</v>
      </c>
      <c r="S21" s="48"/>
    </row>
    <row r="22" s="1" customFormat="1" customHeight="1" spans="1:19">
      <c r="A22" s="14">
        <v>20</v>
      </c>
      <c r="B22" s="20">
        <v>45870</v>
      </c>
      <c r="C22" s="16" t="s">
        <v>679</v>
      </c>
      <c r="D22" s="17">
        <v>5016</v>
      </c>
      <c r="E22" s="27" t="s">
        <v>765</v>
      </c>
      <c r="F22" s="19" t="s">
        <v>55</v>
      </c>
      <c r="G22" s="19" t="s">
        <v>1734</v>
      </c>
      <c r="H22" s="16" t="s">
        <v>1735</v>
      </c>
      <c r="I22" s="16">
        <v>65877.3</v>
      </c>
      <c r="J22" s="16">
        <v>65877.3</v>
      </c>
      <c r="K22" s="16"/>
      <c r="L22" s="34">
        <v>45952</v>
      </c>
      <c r="M22" s="16"/>
      <c r="N22" s="34"/>
      <c r="O22" s="35"/>
      <c r="P22" s="16"/>
      <c r="Q22" s="46">
        <f t="shared" si="2"/>
        <v>65877.3</v>
      </c>
      <c r="R22" s="47">
        <f t="shared" si="1"/>
        <v>0</v>
      </c>
      <c r="S22" s="48"/>
    </row>
    <row r="23" s="1" customFormat="1" customHeight="1" spans="1:19">
      <c r="A23" s="14">
        <v>21</v>
      </c>
      <c r="B23" s="20">
        <v>45870</v>
      </c>
      <c r="C23" s="16" t="s">
        <v>679</v>
      </c>
      <c r="D23" s="17">
        <v>5016</v>
      </c>
      <c r="E23" s="27" t="s">
        <v>765</v>
      </c>
      <c r="F23" s="19" t="s">
        <v>55</v>
      </c>
      <c r="G23" s="19" t="s">
        <v>1734</v>
      </c>
      <c r="H23" s="16" t="s">
        <v>1741</v>
      </c>
      <c r="I23" s="16">
        <v>784.32</v>
      </c>
      <c r="J23" s="16">
        <v>784.32</v>
      </c>
      <c r="K23" s="16"/>
      <c r="L23" s="34">
        <v>45952</v>
      </c>
      <c r="M23" s="16"/>
      <c r="N23" s="34"/>
      <c r="O23" s="35"/>
      <c r="P23" s="16"/>
      <c r="Q23" s="46">
        <f t="shared" si="2"/>
        <v>784.32</v>
      </c>
      <c r="R23" s="47">
        <f t="shared" si="1"/>
        <v>0</v>
      </c>
      <c r="S23" s="48"/>
    </row>
    <row r="24" s="1" customFormat="1" customHeight="1" spans="1:19">
      <c r="A24" s="14">
        <v>22</v>
      </c>
      <c r="B24" s="15">
        <v>45839</v>
      </c>
      <c r="C24" s="16" t="s">
        <v>679</v>
      </c>
      <c r="D24" s="17">
        <v>5016</v>
      </c>
      <c r="E24" s="27" t="s">
        <v>765</v>
      </c>
      <c r="F24" s="26" t="s">
        <v>102</v>
      </c>
      <c r="G24" s="19" t="s">
        <v>1734</v>
      </c>
      <c r="H24" s="16" t="s">
        <v>1741</v>
      </c>
      <c r="I24" s="14">
        <v>808.64</v>
      </c>
      <c r="J24" s="16">
        <v>808.64</v>
      </c>
      <c r="K24" s="16"/>
      <c r="L24" s="34">
        <v>45952</v>
      </c>
      <c r="M24" s="16"/>
      <c r="N24" s="34"/>
      <c r="O24" s="16"/>
      <c r="P24" s="16"/>
      <c r="Q24" s="46">
        <f t="shared" si="2"/>
        <v>808.64</v>
      </c>
      <c r="R24" s="47">
        <f t="shared" si="1"/>
        <v>0</v>
      </c>
      <c r="S24" s="48"/>
    </row>
    <row r="25" s="1" customFormat="1" customHeight="1" spans="1:19">
      <c r="A25" s="14">
        <v>23</v>
      </c>
      <c r="B25" s="15">
        <v>45839</v>
      </c>
      <c r="C25" s="16" t="s">
        <v>679</v>
      </c>
      <c r="D25" s="17">
        <v>5016</v>
      </c>
      <c r="E25" s="27" t="s">
        <v>765</v>
      </c>
      <c r="F25" s="26" t="s">
        <v>102</v>
      </c>
      <c r="G25" s="19" t="s">
        <v>1734</v>
      </c>
      <c r="H25" s="16" t="s">
        <v>1735</v>
      </c>
      <c r="I25" s="14">
        <v>44050.12</v>
      </c>
      <c r="J25" s="16">
        <v>44050.12</v>
      </c>
      <c r="K25" s="16"/>
      <c r="L25" s="34">
        <v>45952</v>
      </c>
      <c r="M25" s="16"/>
      <c r="N25" s="34"/>
      <c r="O25" s="16"/>
      <c r="P25" s="16"/>
      <c r="Q25" s="46">
        <f t="shared" si="2"/>
        <v>44050.12</v>
      </c>
      <c r="R25" s="47">
        <f t="shared" si="1"/>
        <v>0</v>
      </c>
      <c r="S25" s="49" t="s">
        <v>1742</v>
      </c>
    </row>
    <row r="26" s="1" customFormat="1" customHeight="1" spans="1:19">
      <c r="A26" s="14">
        <v>24</v>
      </c>
      <c r="B26" s="15">
        <v>45901</v>
      </c>
      <c r="C26" s="16" t="s">
        <v>679</v>
      </c>
      <c r="D26" s="17">
        <v>5016</v>
      </c>
      <c r="E26" s="27" t="s">
        <v>765</v>
      </c>
      <c r="F26" s="26" t="s">
        <v>56</v>
      </c>
      <c r="G26" s="19" t="s">
        <v>1734</v>
      </c>
      <c r="H26" s="16" t="s">
        <v>1741</v>
      </c>
      <c r="I26" s="43">
        <v>1149.12</v>
      </c>
      <c r="J26" s="16">
        <v>1149.12</v>
      </c>
      <c r="K26" s="16"/>
      <c r="L26" s="34">
        <v>45952</v>
      </c>
      <c r="M26" s="16"/>
      <c r="N26" s="34"/>
      <c r="O26" s="16"/>
      <c r="P26" s="16"/>
      <c r="Q26" s="46">
        <f t="shared" si="2"/>
        <v>1149.12</v>
      </c>
      <c r="R26" s="47">
        <f t="shared" si="1"/>
        <v>0</v>
      </c>
      <c r="S26" s="49"/>
    </row>
    <row r="27" s="1" customFormat="1" customHeight="1" spans="1:19">
      <c r="A27" s="14">
        <v>25</v>
      </c>
      <c r="B27" s="15">
        <v>45901</v>
      </c>
      <c r="C27" s="16" t="s">
        <v>679</v>
      </c>
      <c r="D27" s="17">
        <v>5016</v>
      </c>
      <c r="E27" s="27" t="s">
        <v>765</v>
      </c>
      <c r="F27" s="26" t="s">
        <v>56</v>
      </c>
      <c r="G27" s="19" t="s">
        <v>1734</v>
      </c>
      <c r="H27" s="16" t="s">
        <v>1735</v>
      </c>
      <c r="I27" s="33">
        <v>68636.08</v>
      </c>
      <c r="J27" s="16">
        <v>68636.08</v>
      </c>
      <c r="K27" s="16"/>
      <c r="L27" s="34">
        <v>45952</v>
      </c>
      <c r="M27" s="16"/>
      <c r="N27" s="34"/>
      <c r="O27" s="35"/>
      <c r="P27" s="16"/>
      <c r="Q27" s="46">
        <f t="shared" si="2"/>
        <v>68636.08</v>
      </c>
      <c r="R27" s="47">
        <f t="shared" si="1"/>
        <v>0</v>
      </c>
      <c r="S27" s="48"/>
    </row>
    <row r="28" s="1" customFormat="1" customHeight="1" spans="1:19">
      <c r="A28" s="14">
        <v>26</v>
      </c>
      <c r="B28" s="15">
        <v>45931</v>
      </c>
      <c r="C28" s="16" t="s">
        <v>679</v>
      </c>
      <c r="D28" s="17">
        <v>5016</v>
      </c>
      <c r="E28" s="27" t="s">
        <v>765</v>
      </c>
      <c r="F28" s="26" t="s">
        <v>58</v>
      </c>
      <c r="G28" s="19" t="s">
        <v>1734</v>
      </c>
      <c r="H28" s="16" t="s">
        <v>1741</v>
      </c>
      <c r="I28" s="42">
        <v>449.92</v>
      </c>
      <c r="J28" s="16">
        <v>449.92</v>
      </c>
      <c r="K28" s="16"/>
      <c r="L28" s="34">
        <v>45952</v>
      </c>
      <c r="M28" s="34"/>
      <c r="N28" s="16"/>
      <c r="O28" s="35"/>
      <c r="P28" s="16"/>
      <c r="Q28" s="46">
        <f t="shared" si="2"/>
        <v>449.92</v>
      </c>
      <c r="R28" s="47">
        <f t="shared" si="1"/>
        <v>0</v>
      </c>
      <c r="S28" s="48"/>
    </row>
    <row r="29" s="1" customFormat="1" customHeight="1" spans="1:19">
      <c r="A29" s="14">
        <v>27</v>
      </c>
      <c r="B29" s="15">
        <v>45901</v>
      </c>
      <c r="C29" s="16" t="s">
        <v>1743</v>
      </c>
      <c r="D29" s="17" t="s">
        <v>1744</v>
      </c>
      <c r="E29" s="27" t="s">
        <v>765</v>
      </c>
      <c r="F29" s="26" t="s">
        <v>56</v>
      </c>
      <c r="G29" s="19" t="s">
        <v>1734</v>
      </c>
      <c r="H29" s="16" t="s">
        <v>1735</v>
      </c>
      <c r="I29" s="33">
        <v>97.6</v>
      </c>
      <c r="J29" s="35">
        <v>97.6</v>
      </c>
      <c r="K29" s="35"/>
      <c r="L29" s="34">
        <v>45952</v>
      </c>
      <c r="M29" s="16"/>
      <c r="N29" s="34"/>
      <c r="O29" s="35"/>
      <c r="P29" s="16"/>
      <c r="Q29" s="46">
        <f t="shared" si="2"/>
        <v>97.6</v>
      </c>
      <c r="R29" s="47">
        <f t="shared" si="1"/>
        <v>0</v>
      </c>
      <c r="S29" s="48" t="s">
        <v>1745</v>
      </c>
    </row>
    <row r="30" s="1" customFormat="1" customHeight="1" spans="1:19">
      <c r="A30" s="14">
        <v>28</v>
      </c>
      <c r="B30" s="15">
        <v>45931</v>
      </c>
      <c r="C30" s="16" t="s">
        <v>679</v>
      </c>
      <c r="D30" s="17">
        <v>5016</v>
      </c>
      <c r="E30" s="17" t="s">
        <v>765</v>
      </c>
      <c r="F30" s="19" t="s">
        <v>58</v>
      </c>
      <c r="G30" s="19" t="s">
        <v>1734</v>
      </c>
      <c r="H30" s="16" t="s">
        <v>1735</v>
      </c>
      <c r="I30" s="33">
        <v>54720.8820240001</v>
      </c>
      <c r="J30" s="35">
        <v>54720.8820240001</v>
      </c>
      <c r="K30" s="35"/>
      <c r="L30" s="34">
        <v>45952</v>
      </c>
      <c r="M30" s="16"/>
      <c r="N30" s="34"/>
      <c r="O30" s="35"/>
      <c r="P30" s="16"/>
      <c r="Q30" s="46">
        <f t="shared" si="2"/>
        <v>54720.8820240001</v>
      </c>
      <c r="R30" s="47">
        <f t="shared" si="1"/>
        <v>0</v>
      </c>
      <c r="S30" s="48"/>
    </row>
    <row r="31" s="1" customFormat="1" customHeight="1" spans="1:19">
      <c r="A31" s="14">
        <v>29</v>
      </c>
      <c r="B31" s="15">
        <v>45931</v>
      </c>
      <c r="C31" s="16" t="s">
        <v>1743</v>
      </c>
      <c r="D31" s="17" t="s">
        <v>1744</v>
      </c>
      <c r="E31" s="27" t="s">
        <v>765</v>
      </c>
      <c r="F31" s="19" t="s">
        <v>58</v>
      </c>
      <c r="G31" s="19" t="s">
        <v>1734</v>
      </c>
      <c r="H31" s="16" t="s">
        <v>1735</v>
      </c>
      <c r="I31" s="33">
        <v>91.02</v>
      </c>
      <c r="J31" s="35">
        <v>91.02</v>
      </c>
      <c r="K31" s="35"/>
      <c r="L31" s="34">
        <v>45952</v>
      </c>
      <c r="M31" s="16"/>
      <c r="N31" s="34"/>
      <c r="O31" s="16"/>
      <c r="P31" s="16"/>
      <c r="Q31" s="46">
        <f t="shared" si="2"/>
        <v>91.02</v>
      </c>
      <c r="R31" s="47">
        <f t="shared" si="1"/>
        <v>0</v>
      </c>
      <c r="S31" s="48" t="s">
        <v>1746</v>
      </c>
    </row>
    <row r="32" s="1" customFormat="1" customHeight="1" spans="1:19">
      <c r="A32" s="14">
        <v>30</v>
      </c>
      <c r="B32" s="20">
        <v>45962</v>
      </c>
      <c r="C32" s="16" t="s">
        <v>679</v>
      </c>
      <c r="D32" s="17">
        <v>5016</v>
      </c>
      <c r="E32" s="18" t="s">
        <v>765</v>
      </c>
      <c r="F32" s="19" t="s">
        <v>60</v>
      </c>
      <c r="G32" s="19" t="s">
        <v>1734</v>
      </c>
      <c r="H32" s="16" t="s">
        <v>1741</v>
      </c>
      <c r="I32" s="33">
        <v>656.64</v>
      </c>
      <c r="J32" s="33">
        <v>656.64</v>
      </c>
      <c r="K32" s="33"/>
      <c r="L32" s="34">
        <v>45994</v>
      </c>
      <c r="M32" s="16"/>
      <c r="N32" s="34"/>
      <c r="O32" s="16"/>
      <c r="P32" s="34"/>
      <c r="Q32" s="46">
        <f t="shared" si="2"/>
        <v>656.64</v>
      </c>
      <c r="R32" s="47">
        <f t="shared" si="1"/>
        <v>0</v>
      </c>
      <c r="S32" s="48"/>
    </row>
    <row r="33" s="1" customFormat="1" customHeight="1" spans="1:19">
      <c r="A33" s="14">
        <v>31</v>
      </c>
      <c r="B33" s="20">
        <v>45962</v>
      </c>
      <c r="C33" s="16" t="s">
        <v>679</v>
      </c>
      <c r="D33" s="17">
        <v>5016</v>
      </c>
      <c r="E33" s="18" t="s">
        <v>765</v>
      </c>
      <c r="F33" s="19" t="s">
        <v>60</v>
      </c>
      <c r="G33" s="19" t="s">
        <v>1734</v>
      </c>
      <c r="H33" s="16" t="s">
        <v>1735</v>
      </c>
      <c r="I33" s="33">
        <v>13071.63</v>
      </c>
      <c r="J33" s="33">
        <v>13071.63</v>
      </c>
      <c r="K33" s="33"/>
      <c r="L33" s="34">
        <v>45994</v>
      </c>
      <c r="M33" s="16"/>
      <c r="N33" s="34"/>
      <c r="O33" s="16"/>
      <c r="P33" s="34"/>
      <c r="Q33" s="46">
        <f t="shared" si="2"/>
        <v>13071.63</v>
      </c>
      <c r="R33" s="47">
        <f t="shared" si="1"/>
        <v>0</v>
      </c>
      <c r="S33" s="48"/>
    </row>
    <row r="34" s="1" customFormat="1" customHeight="1" spans="1:19">
      <c r="A34" s="14">
        <v>32</v>
      </c>
      <c r="B34" s="20">
        <v>45962</v>
      </c>
      <c r="C34" s="16" t="s">
        <v>679</v>
      </c>
      <c r="D34" s="17">
        <v>5016</v>
      </c>
      <c r="E34" s="18" t="s">
        <v>765</v>
      </c>
      <c r="F34" s="19" t="s">
        <v>60</v>
      </c>
      <c r="G34" s="19" t="s">
        <v>1734</v>
      </c>
      <c r="H34" s="16" t="s">
        <v>1735</v>
      </c>
      <c r="I34" s="33">
        <v>24297.84</v>
      </c>
      <c r="J34" s="33">
        <v>24297.84</v>
      </c>
      <c r="K34" s="33"/>
      <c r="L34" s="34">
        <v>45994</v>
      </c>
      <c r="M34" s="16"/>
      <c r="N34" s="34"/>
      <c r="O34" s="35"/>
      <c r="P34" s="34"/>
      <c r="Q34" s="46">
        <f t="shared" si="2"/>
        <v>24297.84</v>
      </c>
      <c r="R34" s="47">
        <f t="shared" si="1"/>
        <v>0</v>
      </c>
      <c r="S34" s="48"/>
    </row>
    <row r="35" s="1" customFormat="1" customHeight="1" spans="1:19">
      <c r="A35" s="14">
        <v>33</v>
      </c>
      <c r="B35" s="20">
        <v>45962</v>
      </c>
      <c r="C35" s="16" t="s">
        <v>679</v>
      </c>
      <c r="D35" s="17" t="s">
        <v>1744</v>
      </c>
      <c r="E35" s="18" t="s">
        <v>765</v>
      </c>
      <c r="F35" s="19" t="s">
        <v>60</v>
      </c>
      <c r="G35" s="19" t="s">
        <v>1734</v>
      </c>
      <c r="H35" s="16" t="s">
        <v>1735</v>
      </c>
      <c r="I35" s="33">
        <v>98.28</v>
      </c>
      <c r="J35" s="33">
        <v>98.28</v>
      </c>
      <c r="K35" s="33"/>
      <c r="L35" s="34">
        <v>45994</v>
      </c>
      <c r="M35" s="16"/>
      <c r="N35" s="34"/>
      <c r="O35" s="35"/>
      <c r="P35" s="34"/>
      <c r="Q35" s="46">
        <f t="shared" si="2"/>
        <v>98.28</v>
      </c>
      <c r="R35" s="47">
        <f t="shared" si="1"/>
        <v>0</v>
      </c>
      <c r="S35" s="48"/>
    </row>
    <row r="36" s="1" customFormat="1" customHeight="1" spans="1:19">
      <c r="A36" s="14">
        <v>34</v>
      </c>
      <c r="B36" s="15">
        <v>45901</v>
      </c>
      <c r="C36" s="16" t="s">
        <v>16</v>
      </c>
      <c r="D36" s="17" t="s">
        <v>1747</v>
      </c>
      <c r="E36" s="18" t="s">
        <v>120</v>
      </c>
      <c r="F36" s="19" t="s">
        <v>56</v>
      </c>
      <c r="G36" s="19" t="s">
        <v>1734</v>
      </c>
      <c r="H36" s="16" t="s">
        <v>1741</v>
      </c>
      <c r="I36" s="44">
        <v>1556.48</v>
      </c>
      <c r="J36" s="16">
        <v>1556.48</v>
      </c>
      <c r="K36" s="16"/>
      <c r="L36" s="34">
        <v>45923</v>
      </c>
      <c r="M36" s="16"/>
      <c r="N36" s="34"/>
      <c r="O36" s="35"/>
      <c r="P36" s="16"/>
      <c r="Q36" s="46">
        <f t="shared" si="2"/>
        <v>1556.48</v>
      </c>
      <c r="R36" s="47">
        <f t="shared" si="1"/>
        <v>0</v>
      </c>
      <c r="S36" s="48"/>
    </row>
    <row r="37" s="1" customFormat="1" customHeight="1" spans="1:19">
      <c r="A37" s="14">
        <v>35</v>
      </c>
      <c r="B37" s="15">
        <v>45931</v>
      </c>
      <c r="C37" s="16" t="s">
        <v>16</v>
      </c>
      <c r="D37" s="17" t="s">
        <v>1747</v>
      </c>
      <c r="E37" s="18" t="s">
        <v>120</v>
      </c>
      <c r="F37" s="19" t="s">
        <v>58</v>
      </c>
      <c r="G37" s="19" t="s">
        <v>1734</v>
      </c>
      <c r="H37" s="16" t="s">
        <v>1741</v>
      </c>
      <c r="I37" s="44">
        <v>1155.2</v>
      </c>
      <c r="J37" s="16">
        <v>1155.2</v>
      </c>
      <c r="K37" s="16"/>
      <c r="L37" s="34">
        <v>45944</v>
      </c>
      <c r="M37" s="16"/>
      <c r="N37" s="34"/>
      <c r="O37" s="35"/>
      <c r="P37" s="16"/>
      <c r="Q37" s="46">
        <f t="shared" si="2"/>
        <v>1155.2</v>
      </c>
      <c r="R37" s="47">
        <f t="shared" si="1"/>
        <v>0</v>
      </c>
      <c r="S37" s="48"/>
    </row>
    <row r="38" s="1" customFormat="1" customHeight="1" spans="1:19">
      <c r="A38" s="14">
        <v>36</v>
      </c>
      <c r="B38" s="20">
        <v>45870</v>
      </c>
      <c r="C38" s="16" t="s">
        <v>16</v>
      </c>
      <c r="D38" s="17" t="s">
        <v>1747</v>
      </c>
      <c r="E38" s="18" t="s">
        <v>120</v>
      </c>
      <c r="F38" s="19" t="s">
        <v>55</v>
      </c>
      <c r="G38" s="19" t="s">
        <v>1734</v>
      </c>
      <c r="H38" s="16" t="s">
        <v>1741</v>
      </c>
      <c r="I38" s="16">
        <v>1556.48</v>
      </c>
      <c r="J38" s="16">
        <v>1556.48</v>
      </c>
      <c r="K38" s="16"/>
      <c r="L38" s="34">
        <v>45894</v>
      </c>
      <c r="M38" s="16"/>
      <c r="N38" s="34"/>
      <c r="O38" s="16"/>
      <c r="P38" s="16"/>
      <c r="Q38" s="46">
        <f t="shared" si="2"/>
        <v>1556.48</v>
      </c>
      <c r="R38" s="47">
        <f t="shared" si="1"/>
        <v>0</v>
      </c>
      <c r="S38" s="48"/>
    </row>
    <row r="39" s="1" customFormat="1" customHeight="1" spans="1:19">
      <c r="A39" s="14">
        <v>37</v>
      </c>
      <c r="B39" s="15">
        <v>45839</v>
      </c>
      <c r="C39" s="16" t="s">
        <v>16</v>
      </c>
      <c r="D39" s="17" t="s">
        <v>1747</v>
      </c>
      <c r="E39" s="18" t="s">
        <v>120</v>
      </c>
      <c r="F39" s="26" t="s">
        <v>102</v>
      </c>
      <c r="G39" s="19" t="s">
        <v>1734</v>
      </c>
      <c r="H39" s="16" t="s">
        <v>1735</v>
      </c>
      <c r="I39" s="16">
        <v>34.67</v>
      </c>
      <c r="J39" s="16">
        <v>34.67</v>
      </c>
      <c r="K39" s="16"/>
      <c r="L39" s="34">
        <v>45870</v>
      </c>
      <c r="M39" s="16"/>
      <c r="N39" s="34"/>
      <c r="O39" s="16"/>
      <c r="P39" s="16"/>
      <c r="Q39" s="46">
        <f t="shared" si="2"/>
        <v>34.67</v>
      </c>
      <c r="R39" s="47">
        <f t="shared" si="1"/>
        <v>0</v>
      </c>
      <c r="S39" s="48"/>
    </row>
    <row r="40" s="1" customFormat="1" customHeight="1" spans="1:19">
      <c r="A40" s="14">
        <v>38</v>
      </c>
      <c r="B40" s="15">
        <v>45839</v>
      </c>
      <c r="C40" s="16" t="s">
        <v>16</v>
      </c>
      <c r="D40" s="17" t="s">
        <v>1747</v>
      </c>
      <c r="E40" s="18" t="s">
        <v>120</v>
      </c>
      <c r="F40" s="26" t="s">
        <v>102</v>
      </c>
      <c r="G40" s="19" t="s">
        <v>1734</v>
      </c>
      <c r="H40" s="16" t="s">
        <v>1741</v>
      </c>
      <c r="I40" s="16">
        <v>1380.16</v>
      </c>
      <c r="J40" s="16">
        <v>1380.16</v>
      </c>
      <c r="K40" s="16"/>
      <c r="L40" s="34">
        <v>45870</v>
      </c>
      <c r="M40" s="16"/>
      <c r="N40" s="34"/>
      <c r="O40" s="16"/>
      <c r="P40" s="16"/>
      <c r="Q40" s="46">
        <f t="shared" si="2"/>
        <v>1380.16</v>
      </c>
      <c r="R40" s="47">
        <f t="shared" si="1"/>
        <v>0</v>
      </c>
      <c r="S40" s="48"/>
    </row>
    <row r="41" s="1" customFormat="1" customHeight="1" spans="1:19">
      <c r="A41" s="14">
        <v>39</v>
      </c>
      <c r="B41" s="20">
        <v>45962</v>
      </c>
      <c r="C41" s="16" t="s">
        <v>16</v>
      </c>
      <c r="D41" s="17" t="s">
        <v>1747</v>
      </c>
      <c r="E41" s="18" t="s">
        <v>120</v>
      </c>
      <c r="F41" s="19" t="s">
        <v>60</v>
      </c>
      <c r="G41" s="19" t="s">
        <v>1734</v>
      </c>
      <c r="H41" s="16" t="s">
        <v>1741</v>
      </c>
      <c r="I41" s="33">
        <v>1088.32</v>
      </c>
      <c r="J41" s="35">
        <v>1088.32</v>
      </c>
      <c r="K41" s="35"/>
      <c r="L41" s="34">
        <v>45992</v>
      </c>
      <c r="M41" s="16"/>
      <c r="N41" s="34"/>
      <c r="O41" s="35"/>
      <c r="P41" s="34"/>
      <c r="Q41" s="46">
        <f t="shared" si="2"/>
        <v>1088.32</v>
      </c>
      <c r="R41" s="47">
        <f t="shared" si="1"/>
        <v>0</v>
      </c>
      <c r="S41" s="48"/>
    </row>
    <row r="42" s="1" customFormat="1" customHeight="1" spans="1:19">
      <c r="A42" s="14">
        <v>40</v>
      </c>
      <c r="B42" s="15">
        <v>45931</v>
      </c>
      <c r="C42" s="16" t="s">
        <v>1748</v>
      </c>
      <c r="D42" s="17" t="s">
        <v>935</v>
      </c>
      <c r="E42" s="18" t="s">
        <v>936</v>
      </c>
      <c r="F42" s="19" t="s">
        <v>58</v>
      </c>
      <c r="G42" s="19" t="s">
        <v>1734</v>
      </c>
      <c r="H42" s="16" t="s">
        <v>1741</v>
      </c>
      <c r="I42" s="33">
        <v>133.76</v>
      </c>
      <c r="J42" s="35">
        <v>133.76</v>
      </c>
      <c r="K42" s="35"/>
      <c r="L42" s="34">
        <v>45944</v>
      </c>
      <c r="M42" s="16"/>
      <c r="N42" s="34"/>
      <c r="O42" s="35"/>
      <c r="P42" s="16"/>
      <c r="Q42" s="46">
        <f t="shared" si="2"/>
        <v>133.76</v>
      </c>
      <c r="R42" s="47">
        <f t="shared" si="1"/>
        <v>0</v>
      </c>
      <c r="S42" s="48"/>
    </row>
    <row r="43" s="1" customFormat="1" customHeight="1" spans="1:19">
      <c r="A43" s="14">
        <v>41</v>
      </c>
      <c r="B43" s="20">
        <v>45870</v>
      </c>
      <c r="C43" s="16" t="s">
        <v>1748</v>
      </c>
      <c r="D43" s="17" t="s">
        <v>935</v>
      </c>
      <c r="E43" s="18" t="s">
        <v>936</v>
      </c>
      <c r="F43" s="19" t="s">
        <v>55</v>
      </c>
      <c r="G43" s="19" t="s">
        <v>1734</v>
      </c>
      <c r="H43" s="16" t="s">
        <v>1735</v>
      </c>
      <c r="I43" s="16">
        <v>1579.33</v>
      </c>
      <c r="J43" s="16">
        <v>1579.33</v>
      </c>
      <c r="K43" s="16"/>
      <c r="L43" s="34">
        <v>45894</v>
      </c>
      <c r="M43" s="16"/>
      <c r="N43" s="34"/>
      <c r="O43" s="35"/>
      <c r="P43" s="16"/>
      <c r="Q43" s="46">
        <f t="shared" si="2"/>
        <v>1579.33</v>
      </c>
      <c r="R43" s="47">
        <f t="shared" si="1"/>
        <v>0</v>
      </c>
      <c r="S43" s="49" t="s">
        <v>1749</v>
      </c>
    </row>
    <row r="44" s="1" customFormat="1" customHeight="1" spans="1:19">
      <c r="A44" s="14">
        <v>42</v>
      </c>
      <c r="B44" s="20">
        <v>45870</v>
      </c>
      <c r="C44" s="16" t="s">
        <v>1748</v>
      </c>
      <c r="D44" s="17" t="s">
        <v>935</v>
      </c>
      <c r="E44" s="18" t="s">
        <v>936</v>
      </c>
      <c r="F44" s="19" t="s">
        <v>55</v>
      </c>
      <c r="G44" s="19" t="s">
        <v>1734</v>
      </c>
      <c r="H44" s="16" t="s">
        <v>1741</v>
      </c>
      <c r="I44" s="16">
        <v>176.32</v>
      </c>
      <c r="J44" s="16">
        <v>176.32</v>
      </c>
      <c r="K44" s="16"/>
      <c r="L44" s="34">
        <v>45894</v>
      </c>
      <c r="M44" s="16"/>
      <c r="N44" s="34"/>
      <c r="O44" s="35"/>
      <c r="P44" s="16"/>
      <c r="Q44" s="46">
        <f t="shared" si="2"/>
        <v>176.32</v>
      </c>
      <c r="R44" s="47">
        <f t="shared" si="1"/>
        <v>0</v>
      </c>
      <c r="S44" s="48"/>
    </row>
    <row r="45" s="1" customFormat="1" customHeight="1" spans="1:19">
      <c r="A45" s="14">
        <v>43</v>
      </c>
      <c r="B45" s="15">
        <v>45839</v>
      </c>
      <c r="C45" s="16" t="s">
        <v>1748</v>
      </c>
      <c r="D45" s="17" t="s">
        <v>935</v>
      </c>
      <c r="E45" s="18" t="s">
        <v>936</v>
      </c>
      <c r="F45" s="26" t="s">
        <v>102</v>
      </c>
      <c r="G45" s="19" t="s">
        <v>1734</v>
      </c>
      <c r="H45" s="16" t="s">
        <v>1735</v>
      </c>
      <c r="I45" s="16">
        <v>1181.42</v>
      </c>
      <c r="J45" s="16">
        <v>1181.42</v>
      </c>
      <c r="K45" s="16"/>
      <c r="L45" s="34">
        <v>45862</v>
      </c>
      <c r="M45" s="16"/>
      <c r="N45" s="34"/>
      <c r="O45" s="16"/>
      <c r="P45" s="16"/>
      <c r="Q45" s="46">
        <f t="shared" si="2"/>
        <v>1181.42</v>
      </c>
      <c r="R45" s="47">
        <f t="shared" si="1"/>
        <v>0</v>
      </c>
      <c r="S45" s="48"/>
    </row>
    <row r="46" s="1" customFormat="1" customHeight="1" spans="1:19">
      <c r="A46" s="14">
        <v>44</v>
      </c>
      <c r="B46" s="15">
        <v>45839</v>
      </c>
      <c r="C46" s="16" t="s">
        <v>1748</v>
      </c>
      <c r="D46" s="17" t="s">
        <v>935</v>
      </c>
      <c r="E46" s="18" t="s">
        <v>936</v>
      </c>
      <c r="F46" s="26" t="s">
        <v>102</v>
      </c>
      <c r="G46" s="19" t="s">
        <v>1734</v>
      </c>
      <c r="H46" s="16" t="s">
        <v>1741</v>
      </c>
      <c r="I46" s="16">
        <v>107.36</v>
      </c>
      <c r="J46" s="16">
        <v>107.36</v>
      </c>
      <c r="K46" s="16"/>
      <c r="L46" s="34">
        <v>45862</v>
      </c>
      <c r="M46" s="16"/>
      <c r="N46" s="34"/>
      <c r="O46" s="16"/>
      <c r="P46" s="16"/>
      <c r="Q46" s="46">
        <f t="shared" si="2"/>
        <v>107.36</v>
      </c>
      <c r="R46" s="47">
        <f t="shared" si="1"/>
        <v>0</v>
      </c>
      <c r="S46" s="48"/>
    </row>
    <row r="47" s="1" customFormat="1" customHeight="1" spans="1:19">
      <c r="A47" s="14">
        <v>45</v>
      </c>
      <c r="B47" s="15">
        <v>45901</v>
      </c>
      <c r="C47" s="16" t="s">
        <v>1748</v>
      </c>
      <c r="D47" s="17" t="s">
        <v>935</v>
      </c>
      <c r="E47" s="18" t="s">
        <v>936</v>
      </c>
      <c r="F47" s="26" t="s">
        <v>56</v>
      </c>
      <c r="G47" s="19" t="s">
        <v>1734</v>
      </c>
      <c r="H47" s="16" t="s">
        <v>1735</v>
      </c>
      <c r="I47" s="41">
        <v>1350.83</v>
      </c>
      <c r="J47" s="16">
        <v>1350.83</v>
      </c>
      <c r="K47" s="16"/>
      <c r="L47" s="34">
        <v>45922</v>
      </c>
      <c r="M47" s="16"/>
      <c r="N47" s="34"/>
      <c r="O47" s="16"/>
      <c r="P47" s="16"/>
      <c r="Q47" s="46">
        <f t="shared" si="2"/>
        <v>1350.83</v>
      </c>
      <c r="R47" s="47">
        <f t="shared" si="1"/>
        <v>0</v>
      </c>
      <c r="S47" s="48" t="s">
        <v>1750</v>
      </c>
    </row>
    <row r="48" s="1" customFormat="1" customHeight="1" spans="1:19">
      <c r="A48" s="14">
        <v>46</v>
      </c>
      <c r="B48" s="15">
        <v>45901</v>
      </c>
      <c r="C48" s="16" t="s">
        <v>1748</v>
      </c>
      <c r="D48" s="17" t="s">
        <v>935</v>
      </c>
      <c r="E48" s="18" t="s">
        <v>936</v>
      </c>
      <c r="F48" s="26" t="s">
        <v>56</v>
      </c>
      <c r="G48" s="19" t="s">
        <v>1734</v>
      </c>
      <c r="H48" s="16" t="s">
        <v>1741</v>
      </c>
      <c r="I48" s="33">
        <v>182.4</v>
      </c>
      <c r="J48" s="35">
        <v>182.4</v>
      </c>
      <c r="K48" s="35"/>
      <c r="L48" s="34">
        <v>45922</v>
      </c>
      <c r="M48" s="16"/>
      <c r="N48" s="34"/>
      <c r="O48" s="35"/>
      <c r="P48" s="16"/>
      <c r="Q48" s="46">
        <f t="shared" si="2"/>
        <v>182.4</v>
      </c>
      <c r="R48" s="47">
        <f t="shared" si="1"/>
        <v>0</v>
      </c>
      <c r="S48" s="48"/>
    </row>
    <row r="49" s="1" customFormat="1" customHeight="1" spans="1:19">
      <c r="A49" s="14">
        <v>47</v>
      </c>
      <c r="B49" s="15">
        <v>45931</v>
      </c>
      <c r="C49" s="16" t="s">
        <v>1748</v>
      </c>
      <c r="D49" s="17" t="s">
        <v>935</v>
      </c>
      <c r="E49" s="17" t="s">
        <v>936</v>
      </c>
      <c r="F49" s="19" t="s">
        <v>58</v>
      </c>
      <c r="G49" s="19" t="s">
        <v>1734</v>
      </c>
      <c r="H49" s="16" t="s">
        <v>1735</v>
      </c>
      <c r="I49" s="33">
        <v>1126.0984</v>
      </c>
      <c r="J49" s="35">
        <v>1126.0984</v>
      </c>
      <c r="K49" s="35"/>
      <c r="L49" s="34">
        <v>45944</v>
      </c>
      <c r="M49" s="16"/>
      <c r="N49" s="34"/>
      <c r="O49" s="35"/>
      <c r="P49" s="16"/>
      <c r="Q49" s="46">
        <f t="shared" si="2"/>
        <v>1126.0984</v>
      </c>
      <c r="R49" s="47">
        <f t="shared" si="1"/>
        <v>0</v>
      </c>
      <c r="S49" s="48" t="s">
        <v>1751</v>
      </c>
    </row>
    <row r="50" s="1" customFormat="1" customHeight="1" spans="1:19">
      <c r="A50" s="14">
        <v>48</v>
      </c>
      <c r="B50" s="20">
        <v>45962</v>
      </c>
      <c r="C50" s="16" t="s">
        <v>1748</v>
      </c>
      <c r="D50" s="17" t="s">
        <v>935</v>
      </c>
      <c r="E50" s="18" t="s">
        <v>936</v>
      </c>
      <c r="F50" s="19" t="s">
        <v>60</v>
      </c>
      <c r="G50" s="19" t="s">
        <v>1734</v>
      </c>
      <c r="H50" s="16" t="s">
        <v>1741</v>
      </c>
      <c r="I50" s="33">
        <v>140.07</v>
      </c>
      <c r="J50" s="35">
        <v>140.07</v>
      </c>
      <c r="K50" s="35"/>
      <c r="L50" s="34">
        <v>45971</v>
      </c>
      <c r="M50" s="16"/>
      <c r="N50" s="34"/>
      <c r="O50" s="35"/>
      <c r="P50" s="34"/>
      <c r="Q50" s="46">
        <f t="shared" si="2"/>
        <v>140.07</v>
      </c>
      <c r="R50" s="47">
        <f t="shared" si="1"/>
        <v>0</v>
      </c>
      <c r="S50" s="48" t="s">
        <v>1752</v>
      </c>
    </row>
    <row r="51" s="1" customFormat="1" customHeight="1" spans="1:19">
      <c r="A51" s="14">
        <v>49</v>
      </c>
      <c r="B51" s="20">
        <v>45962</v>
      </c>
      <c r="C51" s="16" t="s">
        <v>1748</v>
      </c>
      <c r="D51" s="17" t="s">
        <v>935</v>
      </c>
      <c r="E51" s="18" t="s">
        <v>936</v>
      </c>
      <c r="F51" s="19" t="s">
        <v>60</v>
      </c>
      <c r="G51" s="19" t="s">
        <v>1734</v>
      </c>
      <c r="H51" s="16" t="s">
        <v>1735</v>
      </c>
      <c r="I51" s="33">
        <v>1236.89</v>
      </c>
      <c r="J51" s="35">
        <v>1236.89</v>
      </c>
      <c r="K51" s="35"/>
      <c r="L51" s="34">
        <v>45971</v>
      </c>
      <c r="M51" s="16"/>
      <c r="N51" s="34"/>
      <c r="O51" s="35"/>
      <c r="P51" s="34"/>
      <c r="Q51" s="46">
        <f t="shared" si="2"/>
        <v>1236.89</v>
      </c>
      <c r="R51" s="47">
        <f t="shared" si="1"/>
        <v>0</v>
      </c>
      <c r="S51" s="48" t="s">
        <v>1753</v>
      </c>
    </row>
    <row r="52" s="1" customFormat="1" customHeight="1" spans="1:19">
      <c r="A52" s="14">
        <v>51</v>
      </c>
      <c r="B52" s="20">
        <v>45870</v>
      </c>
      <c r="C52" s="16" t="s">
        <v>679</v>
      </c>
      <c r="D52" s="17">
        <v>5010</v>
      </c>
      <c r="E52" s="18" t="s">
        <v>729</v>
      </c>
      <c r="F52" s="19" t="s">
        <v>55</v>
      </c>
      <c r="G52" s="19" t="s">
        <v>1734</v>
      </c>
      <c r="H52" s="16" t="s">
        <v>1741</v>
      </c>
      <c r="I52" s="16">
        <v>370.88</v>
      </c>
      <c r="J52" s="16">
        <v>370.88</v>
      </c>
      <c r="K52" s="16"/>
      <c r="L52" s="34">
        <v>45890</v>
      </c>
      <c r="M52" s="16"/>
      <c r="N52" s="34"/>
      <c r="O52" s="16"/>
      <c r="P52" s="16"/>
      <c r="Q52" s="46">
        <f t="shared" si="2"/>
        <v>370.88</v>
      </c>
      <c r="R52" s="47">
        <f t="shared" si="1"/>
        <v>0</v>
      </c>
      <c r="S52" s="48"/>
    </row>
    <row r="53" s="1" customFormat="1" customHeight="1" spans="1:19">
      <c r="A53" s="14">
        <v>52</v>
      </c>
      <c r="B53" s="15">
        <v>45839</v>
      </c>
      <c r="C53" s="16" t="s">
        <v>679</v>
      </c>
      <c r="D53" s="17">
        <v>5010</v>
      </c>
      <c r="E53" s="18" t="s">
        <v>729</v>
      </c>
      <c r="F53" s="26" t="s">
        <v>102</v>
      </c>
      <c r="G53" s="19" t="s">
        <v>1734</v>
      </c>
      <c r="H53" s="16" t="s">
        <v>1741</v>
      </c>
      <c r="I53" s="16">
        <v>340.48</v>
      </c>
      <c r="J53" s="16">
        <v>340.48</v>
      </c>
      <c r="K53" s="16"/>
      <c r="L53" s="34">
        <v>45890</v>
      </c>
      <c r="M53" s="16"/>
      <c r="N53" s="34"/>
      <c r="O53" s="16"/>
      <c r="P53" s="16"/>
      <c r="Q53" s="46">
        <f t="shared" si="2"/>
        <v>340.48</v>
      </c>
      <c r="R53" s="47">
        <f t="shared" si="1"/>
        <v>0</v>
      </c>
      <c r="S53" s="48"/>
    </row>
    <row r="54" s="1" customFormat="1" customHeight="1" spans="1:19">
      <c r="A54" s="14">
        <v>53</v>
      </c>
      <c r="B54" s="15">
        <v>45901</v>
      </c>
      <c r="C54" s="16" t="s">
        <v>679</v>
      </c>
      <c r="D54" s="17">
        <v>5010</v>
      </c>
      <c r="E54" s="18" t="s">
        <v>729</v>
      </c>
      <c r="F54" s="26" t="s">
        <v>56</v>
      </c>
      <c r="G54" s="19" t="s">
        <v>1734</v>
      </c>
      <c r="H54" s="16" t="s">
        <v>1741</v>
      </c>
      <c r="I54" s="41">
        <v>370.88</v>
      </c>
      <c r="J54" s="16">
        <v>370.88</v>
      </c>
      <c r="K54" s="16"/>
      <c r="L54" s="34">
        <v>45949</v>
      </c>
      <c r="M54" s="16"/>
      <c r="N54" s="34"/>
      <c r="O54" s="35"/>
      <c r="P54" s="16"/>
      <c r="Q54" s="46">
        <f t="shared" si="2"/>
        <v>370.88</v>
      </c>
      <c r="R54" s="47">
        <f t="shared" si="1"/>
        <v>0</v>
      </c>
      <c r="S54" s="48"/>
    </row>
    <row r="55" s="1" customFormat="1" customHeight="1" spans="1:19">
      <c r="A55" s="14">
        <v>54</v>
      </c>
      <c r="B55" s="15">
        <v>45931</v>
      </c>
      <c r="C55" s="16" t="s">
        <v>679</v>
      </c>
      <c r="D55" s="25">
        <v>5010</v>
      </c>
      <c r="E55" s="18" t="s">
        <v>729</v>
      </c>
      <c r="F55" s="19" t="s">
        <v>58</v>
      </c>
      <c r="G55" s="19" t="s">
        <v>1734</v>
      </c>
      <c r="H55" s="16" t="s">
        <v>1741</v>
      </c>
      <c r="I55" s="33">
        <v>297.92</v>
      </c>
      <c r="J55" s="35">
        <v>297.92</v>
      </c>
      <c r="K55" s="35"/>
      <c r="L55" s="34">
        <v>45949</v>
      </c>
      <c r="M55" s="16"/>
      <c r="N55" s="34"/>
      <c r="O55" s="35"/>
      <c r="P55" s="16"/>
      <c r="Q55" s="46">
        <f t="shared" si="2"/>
        <v>297.92</v>
      </c>
      <c r="R55" s="47">
        <f t="shared" si="1"/>
        <v>0</v>
      </c>
      <c r="S55" s="48"/>
    </row>
    <row r="56" s="1" customFormat="1" customHeight="1" spans="1:19">
      <c r="A56" s="14">
        <v>55</v>
      </c>
      <c r="B56" s="20">
        <v>45962</v>
      </c>
      <c r="C56" s="16" t="s">
        <v>679</v>
      </c>
      <c r="D56" s="25">
        <v>5010</v>
      </c>
      <c r="E56" s="18" t="s">
        <v>729</v>
      </c>
      <c r="F56" s="19" t="s">
        <v>60</v>
      </c>
      <c r="G56" s="19" t="s">
        <v>1734</v>
      </c>
      <c r="H56" s="16" t="s">
        <v>1741</v>
      </c>
      <c r="I56" s="33">
        <v>547.2</v>
      </c>
      <c r="J56" s="35">
        <v>547.2</v>
      </c>
      <c r="K56" s="35"/>
      <c r="L56" s="34">
        <v>46000</v>
      </c>
      <c r="M56" s="16"/>
      <c r="N56" s="34"/>
      <c r="O56" s="35"/>
      <c r="P56" s="34"/>
      <c r="Q56" s="46">
        <f t="shared" si="2"/>
        <v>547.2</v>
      </c>
      <c r="R56" s="47">
        <f t="shared" si="1"/>
        <v>0</v>
      </c>
      <c r="S56" s="48"/>
    </row>
    <row r="57" s="1" customFormat="1" customHeight="1" spans="1:19">
      <c r="A57" s="14">
        <v>56</v>
      </c>
      <c r="B57" s="20">
        <v>45870</v>
      </c>
      <c r="C57" s="16" t="s">
        <v>1754</v>
      </c>
      <c r="D57" s="17" t="s">
        <v>954</v>
      </c>
      <c r="E57" s="18" t="s">
        <v>956</v>
      </c>
      <c r="F57" s="19" t="s">
        <v>55</v>
      </c>
      <c r="G57" s="19" t="s">
        <v>1734</v>
      </c>
      <c r="H57" s="16" t="s">
        <v>1735</v>
      </c>
      <c r="I57" s="16">
        <v>1253.36</v>
      </c>
      <c r="J57" s="16">
        <v>1253.36</v>
      </c>
      <c r="K57" s="16"/>
      <c r="L57" s="34">
        <v>45897</v>
      </c>
      <c r="M57" s="16"/>
      <c r="N57" s="34"/>
      <c r="O57" s="35"/>
      <c r="P57" s="16"/>
      <c r="Q57" s="46">
        <f t="shared" si="2"/>
        <v>1253.36</v>
      </c>
      <c r="R57" s="47">
        <f t="shared" si="1"/>
        <v>0</v>
      </c>
      <c r="S57" s="48"/>
    </row>
    <row r="58" s="1" customFormat="1" customHeight="1" spans="1:19">
      <c r="A58" s="14">
        <v>57</v>
      </c>
      <c r="B58" s="20">
        <v>45870</v>
      </c>
      <c r="C58" s="16" t="s">
        <v>1754</v>
      </c>
      <c r="D58" s="17" t="s">
        <v>954</v>
      </c>
      <c r="E58" s="18" t="s">
        <v>956</v>
      </c>
      <c r="F58" s="19" t="s">
        <v>55</v>
      </c>
      <c r="G58" s="19" t="s">
        <v>1734</v>
      </c>
      <c r="H58" s="16" t="s">
        <v>1741</v>
      </c>
      <c r="I58" s="16">
        <v>931.5</v>
      </c>
      <c r="J58" s="16">
        <v>931.5</v>
      </c>
      <c r="K58" s="16"/>
      <c r="L58" s="34">
        <v>45897</v>
      </c>
      <c r="M58" s="16"/>
      <c r="N58" s="34"/>
      <c r="O58" s="16"/>
      <c r="P58" s="16"/>
      <c r="Q58" s="46">
        <f t="shared" si="2"/>
        <v>931.5</v>
      </c>
      <c r="R58" s="47">
        <f t="shared" si="1"/>
        <v>0</v>
      </c>
      <c r="S58" s="48"/>
    </row>
    <row r="59" s="1" customFormat="1" customHeight="1" spans="1:19">
      <c r="A59" s="14">
        <v>58</v>
      </c>
      <c r="B59" s="15">
        <v>45839</v>
      </c>
      <c r="C59" s="16" t="s">
        <v>1754</v>
      </c>
      <c r="D59" s="17" t="s">
        <v>954</v>
      </c>
      <c r="E59" s="18" t="s">
        <v>956</v>
      </c>
      <c r="F59" s="26" t="s">
        <v>102</v>
      </c>
      <c r="G59" s="19" t="s">
        <v>1734</v>
      </c>
      <c r="H59" s="16" t="s">
        <v>1735</v>
      </c>
      <c r="I59" s="16">
        <v>2306.37</v>
      </c>
      <c r="J59" s="16">
        <v>2306.37</v>
      </c>
      <c r="K59" s="16"/>
      <c r="L59" s="34">
        <v>45873</v>
      </c>
      <c r="M59" s="16"/>
      <c r="N59" s="34"/>
      <c r="O59" s="16"/>
      <c r="P59" s="16"/>
      <c r="Q59" s="46">
        <f t="shared" si="2"/>
        <v>2306.37</v>
      </c>
      <c r="R59" s="47">
        <f t="shared" si="1"/>
        <v>0</v>
      </c>
      <c r="S59" s="48"/>
    </row>
    <row r="60" s="1" customFormat="1" customHeight="1" spans="1:19">
      <c r="A60" s="14">
        <v>59</v>
      </c>
      <c r="B60" s="15">
        <v>45839</v>
      </c>
      <c r="C60" s="16" t="s">
        <v>1754</v>
      </c>
      <c r="D60" s="17" t="s">
        <v>954</v>
      </c>
      <c r="E60" s="18" t="s">
        <v>956</v>
      </c>
      <c r="F60" s="26" t="s">
        <v>102</v>
      </c>
      <c r="G60" s="19" t="s">
        <v>1734</v>
      </c>
      <c r="H60" s="16" t="s">
        <v>1741</v>
      </c>
      <c r="I60" s="16">
        <v>856.98</v>
      </c>
      <c r="J60" s="16">
        <v>856.98</v>
      </c>
      <c r="K60" s="16"/>
      <c r="L60" s="34">
        <v>45873</v>
      </c>
      <c r="M60" s="16"/>
      <c r="N60" s="34"/>
      <c r="O60" s="16"/>
      <c r="P60" s="16"/>
      <c r="Q60" s="46">
        <f t="shared" si="2"/>
        <v>856.98</v>
      </c>
      <c r="R60" s="47">
        <f t="shared" si="1"/>
        <v>0</v>
      </c>
      <c r="S60" s="48"/>
    </row>
    <row r="61" s="1" customFormat="1" customHeight="1" spans="1:19">
      <c r="A61" s="14">
        <v>60</v>
      </c>
      <c r="B61" s="15">
        <v>45901</v>
      </c>
      <c r="C61" s="16" t="s">
        <v>1754</v>
      </c>
      <c r="D61" s="17" t="s">
        <v>954</v>
      </c>
      <c r="E61" s="18" t="s">
        <v>956</v>
      </c>
      <c r="F61" s="19" t="s">
        <v>56</v>
      </c>
      <c r="G61" s="19" t="s">
        <v>1734</v>
      </c>
      <c r="H61" s="16" t="s">
        <v>1741</v>
      </c>
      <c r="I61" s="41">
        <v>943.92</v>
      </c>
      <c r="J61" s="41">
        <v>943.92</v>
      </c>
      <c r="K61" s="41"/>
      <c r="L61" s="34">
        <v>45917</v>
      </c>
      <c r="M61" s="16"/>
      <c r="N61" s="34"/>
      <c r="O61" s="35"/>
      <c r="P61" s="16"/>
      <c r="Q61" s="46">
        <f t="shared" si="2"/>
        <v>943.92</v>
      </c>
      <c r="R61" s="47">
        <f t="shared" si="1"/>
        <v>0</v>
      </c>
      <c r="S61" s="48"/>
    </row>
    <row r="62" s="1" customFormat="1" customHeight="1" spans="1:19">
      <c r="A62" s="14">
        <v>61</v>
      </c>
      <c r="B62" s="15">
        <v>45901</v>
      </c>
      <c r="C62" s="16" t="s">
        <v>1754</v>
      </c>
      <c r="D62" s="17" t="s">
        <v>954</v>
      </c>
      <c r="E62" s="18" t="s">
        <v>956</v>
      </c>
      <c r="F62" s="19" t="s">
        <v>56</v>
      </c>
      <c r="G62" s="19" t="s">
        <v>1734</v>
      </c>
      <c r="H62" s="16" t="s">
        <v>1735</v>
      </c>
      <c r="I62" s="41">
        <v>1152.58</v>
      </c>
      <c r="J62" s="16">
        <v>1152.58</v>
      </c>
      <c r="K62" s="16"/>
      <c r="L62" s="34">
        <v>45917</v>
      </c>
      <c r="M62" s="16"/>
      <c r="N62" s="34"/>
      <c r="O62" s="35"/>
      <c r="P62" s="16"/>
      <c r="Q62" s="46">
        <f t="shared" si="2"/>
        <v>1152.58</v>
      </c>
      <c r="R62" s="47">
        <f t="shared" si="1"/>
        <v>0</v>
      </c>
      <c r="S62" s="48"/>
    </row>
    <row r="63" s="1" customFormat="1" customHeight="1" spans="1:19">
      <c r="A63" s="14">
        <v>62</v>
      </c>
      <c r="B63" s="15">
        <v>45931</v>
      </c>
      <c r="C63" s="16" t="s">
        <v>1754</v>
      </c>
      <c r="D63" s="17" t="s">
        <v>954</v>
      </c>
      <c r="E63" s="18" t="s">
        <v>956</v>
      </c>
      <c r="F63" s="19" t="s">
        <v>58</v>
      </c>
      <c r="G63" s="19" t="s">
        <v>1734</v>
      </c>
      <c r="H63" s="16" t="s">
        <v>1741</v>
      </c>
      <c r="I63" s="42">
        <v>732.78</v>
      </c>
      <c r="J63" s="16">
        <v>732.78</v>
      </c>
      <c r="K63" s="16"/>
      <c r="L63" s="34">
        <v>45957</v>
      </c>
      <c r="M63" s="34"/>
      <c r="N63" s="16"/>
      <c r="O63" s="35"/>
      <c r="P63" s="16"/>
      <c r="Q63" s="46">
        <f t="shared" si="2"/>
        <v>732.78</v>
      </c>
      <c r="R63" s="47">
        <f t="shared" si="1"/>
        <v>0</v>
      </c>
      <c r="S63" s="48"/>
    </row>
    <row r="64" s="1" customFormat="1" customHeight="1" spans="1:19">
      <c r="A64" s="14">
        <v>63</v>
      </c>
      <c r="B64" s="15">
        <v>45931</v>
      </c>
      <c r="C64" s="16" t="s">
        <v>1754</v>
      </c>
      <c r="D64" s="17" t="s">
        <v>954</v>
      </c>
      <c r="E64" s="18" t="s">
        <v>956</v>
      </c>
      <c r="F64" s="19" t="s">
        <v>58</v>
      </c>
      <c r="G64" s="19" t="s">
        <v>1734</v>
      </c>
      <c r="H64" s="16" t="s">
        <v>1735</v>
      </c>
      <c r="I64" s="40">
        <v>1007.99</v>
      </c>
      <c r="J64" s="35">
        <v>1007.99</v>
      </c>
      <c r="K64" s="35"/>
      <c r="L64" s="34">
        <v>45957</v>
      </c>
      <c r="M64" s="16"/>
      <c r="N64" s="34"/>
      <c r="O64" s="35"/>
      <c r="P64" s="16"/>
      <c r="Q64" s="46">
        <f t="shared" si="2"/>
        <v>1007.99</v>
      </c>
      <c r="R64" s="47">
        <f t="shared" si="1"/>
        <v>0</v>
      </c>
      <c r="S64" s="48"/>
    </row>
    <row r="65" s="1" customFormat="1" customHeight="1" spans="1:19">
      <c r="A65" s="14">
        <v>64</v>
      </c>
      <c r="B65" s="20">
        <v>45962</v>
      </c>
      <c r="C65" s="16" t="s">
        <v>1754</v>
      </c>
      <c r="D65" s="17" t="s">
        <v>954</v>
      </c>
      <c r="E65" s="18" t="s">
        <v>956</v>
      </c>
      <c r="F65" s="19" t="s">
        <v>60</v>
      </c>
      <c r="G65" s="19" t="s">
        <v>1734</v>
      </c>
      <c r="H65" s="16" t="s">
        <v>1741</v>
      </c>
      <c r="I65" s="33">
        <v>335.34</v>
      </c>
      <c r="J65" s="33">
        <v>335.34</v>
      </c>
      <c r="K65" s="33"/>
      <c r="L65" s="34">
        <v>45982</v>
      </c>
      <c r="M65" s="16"/>
      <c r="N65" s="34"/>
      <c r="O65" s="16"/>
      <c r="P65" s="34"/>
      <c r="Q65" s="46">
        <f t="shared" si="2"/>
        <v>335.34</v>
      </c>
      <c r="R65" s="47">
        <f t="shared" si="1"/>
        <v>0</v>
      </c>
      <c r="S65" s="48"/>
    </row>
    <row r="66" s="1" customFormat="1" customHeight="1" spans="1:19">
      <c r="A66" s="14">
        <v>65</v>
      </c>
      <c r="B66" s="20">
        <v>45962</v>
      </c>
      <c r="C66" s="16" t="s">
        <v>1754</v>
      </c>
      <c r="D66" s="17" t="s">
        <v>954</v>
      </c>
      <c r="E66" s="18" t="s">
        <v>956</v>
      </c>
      <c r="F66" s="19" t="s">
        <v>60</v>
      </c>
      <c r="G66" s="19" t="s">
        <v>1734</v>
      </c>
      <c r="H66" s="16" t="s">
        <v>1741</v>
      </c>
      <c r="I66" s="33">
        <v>558.9</v>
      </c>
      <c r="J66" s="33">
        <v>558.9</v>
      </c>
      <c r="K66" s="33"/>
      <c r="L66" s="34">
        <v>45982</v>
      </c>
      <c r="M66" s="16"/>
      <c r="N66" s="34"/>
      <c r="O66" s="16"/>
      <c r="P66" s="34"/>
      <c r="Q66" s="46">
        <f t="shared" si="2"/>
        <v>558.9</v>
      </c>
      <c r="R66" s="47">
        <f t="shared" si="1"/>
        <v>0</v>
      </c>
      <c r="S66" s="48"/>
    </row>
    <row r="67" s="1" customFormat="1" customHeight="1" spans="1:19">
      <c r="A67" s="14">
        <v>66</v>
      </c>
      <c r="B67" s="20">
        <v>45962</v>
      </c>
      <c r="C67" s="16" t="s">
        <v>1754</v>
      </c>
      <c r="D67" s="17" t="s">
        <v>954</v>
      </c>
      <c r="E67" s="18" t="s">
        <v>956</v>
      </c>
      <c r="F67" s="19" t="s">
        <v>60</v>
      </c>
      <c r="G67" s="19" t="s">
        <v>1734</v>
      </c>
      <c r="H67" s="16" t="s">
        <v>1735</v>
      </c>
      <c r="I67" s="33">
        <v>1198.26</v>
      </c>
      <c r="J67" s="33">
        <v>1198.26</v>
      </c>
      <c r="K67" s="35"/>
      <c r="L67" s="34">
        <v>45982</v>
      </c>
      <c r="M67" s="16"/>
      <c r="N67" s="34"/>
      <c r="O67" s="16"/>
      <c r="P67" s="34"/>
      <c r="Q67" s="46">
        <f t="shared" si="2"/>
        <v>1198.26</v>
      </c>
      <c r="R67" s="47">
        <f t="shared" ref="R67:R130" si="3">I67-Q67</f>
        <v>0</v>
      </c>
      <c r="S67" s="48"/>
    </row>
    <row r="68" s="1" customFormat="1" customHeight="1" spans="1:19">
      <c r="A68" s="14">
        <v>67</v>
      </c>
      <c r="B68" s="15">
        <v>45901</v>
      </c>
      <c r="C68" s="16" t="s">
        <v>679</v>
      </c>
      <c r="D68" s="17" t="s">
        <v>1755</v>
      </c>
      <c r="E68" s="18" t="s">
        <v>686</v>
      </c>
      <c r="F68" s="19" t="s">
        <v>56</v>
      </c>
      <c r="G68" s="19" t="s">
        <v>1734</v>
      </c>
      <c r="H68" s="16" t="s">
        <v>1741</v>
      </c>
      <c r="I68" s="41">
        <v>267.52</v>
      </c>
      <c r="J68" s="16">
        <v>267.52</v>
      </c>
      <c r="K68" s="16"/>
      <c r="L68" s="34">
        <v>45949</v>
      </c>
      <c r="M68" s="16"/>
      <c r="N68" s="34"/>
      <c r="O68" s="35"/>
      <c r="P68" s="16"/>
      <c r="Q68" s="46">
        <f t="shared" si="2"/>
        <v>267.52</v>
      </c>
      <c r="R68" s="47">
        <f t="shared" si="3"/>
        <v>0</v>
      </c>
      <c r="S68" s="48"/>
    </row>
    <row r="69" s="1" customFormat="1" customHeight="1" spans="1:19">
      <c r="A69" s="14">
        <v>68</v>
      </c>
      <c r="B69" s="15">
        <v>45931</v>
      </c>
      <c r="C69" s="16" t="s">
        <v>679</v>
      </c>
      <c r="D69" s="17" t="s">
        <v>1755</v>
      </c>
      <c r="E69" s="18" t="s">
        <v>686</v>
      </c>
      <c r="F69" s="26" t="s">
        <v>58</v>
      </c>
      <c r="G69" s="19" t="s">
        <v>1734</v>
      </c>
      <c r="H69" s="16" t="s">
        <v>1741</v>
      </c>
      <c r="I69" s="41">
        <v>194.56</v>
      </c>
      <c r="J69" s="16">
        <v>194.56</v>
      </c>
      <c r="K69" s="16"/>
      <c r="L69" s="34">
        <v>45949</v>
      </c>
      <c r="M69" s="16"/>
      <c r="N69" s="34"/>
      <c r="O69" s="35"/>
      <c r="P69" s="16"/>
      <c r="Q69" s="46">
        <f t="shared" si="2"/>
        <v>194.56</v>
      </c>
      <c r="R69" s="47">
        <f t="shared" si="3"/>
        <v>0</v>
      </c>
      <c r="S69" s="48"/>
    </row>
    <row r="70" s="1" customFormat="1" customHeight="1" spans="1:19">
      <c r="A70" s="14">
        <v>69</v>
      </c>
      <c r="B70" s="20">
        <v>45870</v>
      </c>
      <c r="C70" s="16" t="s">
        <v>679</v>
      </c>
      <c r="D70" s="17" t="s">
        <v>1755</v>
      </c>
      <c r="E70" s="18" t="s">
        <v>686</v>
      </c>
      <c r="F70" s="19" t="s">
        <v>55</v>
      </c>
      <c r="G70" s="19" t="s">
        <v>1734</v>
      </c>
      <c r="H70" s="16" t="s">
        <v>1741</v>
      </c>
      <c r="I70" s="16">
        <v>113.28</v>
      </c>
      <c r="J70" s="16">
        <v>113.28</v>
      </c>
      <c r="K70" s="16"/>
      <c r="L70" s="34">
        <v>45949</v>
      </c>
      <c r="M70" s="16"/>
      <c r="N70" s="34"/>
      <c r="O70" s="35"/>
      <c r="P70" s="16"/>
      <c r="Q70" s="46">
        <f t="shared" si="2"/>
        <v>113.28</v>
      </c>
      <c r="R70" s="47">
        <f t="shared" si="3"/>
        <v>0</v>
      </c>
      <c r="S70" s="48"/>
    </row>
    <row r="71" s="1" customFormat="1" customHeight="1" spans="1:19">
      <c r="A71" s="14">
        <v>70</v>
      </c>
      <c r="B71" s="20">
        <v>45962</v>
      </c>
      <c r="C71" s="16" t="s">
        <v>679</v>
      </c>
      <c r="D71" s="17" t="s">
        <v>1755</v>
      </c>
      <c r="E71" s="18" t="s">
        <v>686</v>
      </c>
      <c r="F71" s="19" t="s">
        <v>60</v>
      </c>
      <c r="G71" s="19" t="s">
        <v>1734</v>
      </c>
      <c r="H71" s="16" t="s">
        <v>1741</v>
      </c>
      <c r="I71" s="33">
        <v>152</v>
      </c>
      <c r="J71" s="35">
        <v>152</v>
      </c>
      <c r="K71" s="35"/>
      <c r="L71" s="34">
        <v>46113</v>
      </c>
      <c r="M71" s="16"/>
      <c r="N71" s="34"/>
      <c r="O71" s="35"/>
      <c r="P71" s="34"/>
      <c r="Q71" s="46">
        <f t="shared" si="2"/>
        <v>152</v>
      </c>
      <c r="R71" s="47">
        <f t="shared" si="3"/>
        <v>0</v>
      </c>
      <c r="S71" s="48"/>
    </row>
    <row r="72" s="1" customFormat="1" customHeight="1" spans="1:19">
      <c r="A72" s="14">
        <v>71</v>
      </c>
      <c r="B72" s="20">
        <v>45870</v>
      </c>
      <c r="C72" s="16" t="s">
        <v>285</v>
      </c>
      <c r="D72" s="17" t="s">
        <v>1756</v>
      </c>
      <c r="E72" s="18" t="s">
        <v>338</v>
      </c>
      <c r="F72" s="19" t="s">
        <v>55</v>
      </c>
      <c r="G72" s="19" t="s">
        <v>1734</v>
      </c>
      <c r="H72" s="16" t="s">
        <v>1741</v>
      </c>
      <c r="I72" s="35">
        <v>50.64</v>
      </c>
      <c r="J72" s="16">
        <v>50.64</v>
      </c>
      <c r="K72" s="16"/>
      <c r="L72" s="34">
        <v>45889</v>
      </c>
      <c r="M72" s="16"/>
      <c r="N72" s="34"/>
      <c r="O72" s="16"/>
      <c r="P72" s="16"/>
      <c r="Q72" s="46">
        <f t="shared" si="2"/>
        <v>50.64</v>
      </c>
      <c r="R72" s="47">
        <f t="shared" si="3"/>
        <v>0</v>
      </c>
      <c r="S72" s="48"/>
    </row>
    <row r="73" s="1" customFormat="1" customHeight="1" spans="1:19">
      <c r="A73" s="14">
        <v>72</v>
      </c>
      <c r="B73" s="15">
        <v>45839</v>
      </c>
      <c r="C73" s="16" t="s">
        <v>285</v>
      </c>
      <c r="D73" s="17" t="s">
        <v>1756</v>
      </c>
      <c r="E73" s="18" t="s">
        <v>338</v>
      </c>
      <c r="F73" s="26" t="s">
        <v>102</v>
      </c>
      <c r="G73" s="19" t="s">
        <v>1734</v>
      </c>
      <c r="H73" s="16" t="s">
        <v>1741</v>
      </c>
      <c r="I73" s="35">
        <v>26.32</v>
      </c>
      <c r="J73" s="16">
        <v>26.32</v>
      </c>
      <c r="K73" s="16"/>
      <c r="L73" s="34">
        <v>45873</v>
      </c>
      <c r="M73" s="16"/>
      <c r="N73" s="34"/>
      <c r="O73" s="16"/>
      <c r="P73" s="16"/>
      <c r="Q73" s="46">
        <f t="shared" si="2"/>
        <v>26.32</v>
      </c>
      <c r="R73" s="47">
        <f t="shared" si="3"/>
        <v>0</v>
      </c>
      <c r="S73" s="48"/>
    </row>
    <row r="74" s="1" customFormat="1" customHeight="1" spans="1:19">
      <c r="A74" s="14">
        <v>73</v>
      </c>
      <c r="B74" s="15">
        <v>45931</v>
      </c>
      <c r="C74" s="24" t="s">
        <v>285</v>
      </c>
      <c r="D74" s="17" t="s">
        <v>1756</v>
      </c>
      <c r="E74" s="18" t="s">
        <v>338</v>
      </c>
      <c r="F74" s="26" t="s">
        <v>58</v>
      </c>
      <c r="G74" s="19" t="s">
        <v>1734</v>
      </c>
      <c r="H74" s="16" t="s">
        <v>1741</v>
      </c>
      <c r="I74" s="54">
        <v>36.48</v>
      </c>
      <c r="J74" s="16">
        <v>36.48</v>
      </c>
      <c r="K74" s="16"/>
      <c r="L74" s="34">
        <v>45949</v>
      </c>
      <c r="M74" s="34"/>
      <c r="N74" s="16"/>
      <c r="O74" s="16"/>
      <c r="P74" s="16"/>
      <c r="Q74" s="46">
        <f t="shared" si="2"/>
        <v>36.48</v>
      </c>
      <c r="R74" s="47">
        <f t="shared" si="3"/>
        <v>0</v>
      </c>
      <c r="S74" s="48"/>
    </row>
    <row r="75" s="1" customFormat="1" customHeight="1" spans="1:19">
      <c r="A75" s="14">
        <v>74</v>
      </c>
      <c r="B75" s="20">
        <v>45962</v>
      </c>
      <c r="C75" s="24" t="s">
        <v>285</v>
      </c>
      <c r="D75" s="17" t="s">
        <v>1756</v>
      </c>
      <c r="E75" s="18" t="s">
        <v>338</v>
      </c>
      <c r="F75" s="19" t="s">
        <v>60</v>
      </c>
      <c r="G75" s="19" t="s">
        <v>1734</v>
      </c>
      <c r="H75" s="16" t="s">
        <v>1741</v>
      </c>
      <c r="I75" s="33">
        <v>9.44</v>
      </c>
      <c r="J75" s="35">
        <v>9.44</v>
      </c>
      <c r="K75" s="35"/>
      <c r="L75" s="34">
        <v>46043</v>
      </c>
      <c r="M75" s="16"/>
      <c r="N75" s="34"/>
      <c r="O75" s="35"/>
      <c r="P75" s="34"/>
      <c r="Q75" s="46">
        <f t="shared" si="2"/>
        <v>9.44</v>
      </c>
      <c r="R75" s="47">
        <f t="shared" si="3"/>
        <v>0</v>
      </c>
      <c r="S75" s="48"/>
    </row>
    <row r="76" s="1" customFormat="1" customHeight="1" spans="1:19">
      <c r="A76" s="14">
        <v>75</v>
      </c>
      <c r="B76" s="20">
        <v>45870</v>
      </c>
      <c r="C76" s="16" t="s">
        <v>630</v>
      </c>
      <c r="D76" s="17">
        <v>4027</v>
      </c>
      <c r="E76" s="18" t="s">
        <v>1757</v>
      </c>
      <c r="F76" s="19" t="s">
        <v>55</v>
      </c>
      <c r="G76" s="19" t="s">
        <v>1734</v>
      </c>
      <c r="H76" s="16" t="s">
        <v>1741</v>
      </c>
      <c r="I76" s="16">
        <v>6.08</v>
      </c>
      <c r="J76" s="16">
        <v>6.08</v>
      </c>
      <c r="K76" s="16"/>
      <c r="L76" s="34">
        <v>45895</v>
      </c>
      <c r="M76" s="16"/>
      <c r="N76" s="34"/>
      <c r="O76" s="35"/>
      <c r="P76" s="16"/>
      <c r="Q76" s="46">
        <f t="shared" si="2"/>
        <v>6.08</v>
      </c>
      <c r="R76" s="47">
        <f t="shared" si="3"/>
        <v>0</v>
      </c>
      <c r="S76" s="48"/>
    </row>
    <row r="77" s="1" customFormat="1" customHeight="1" spans="1:19">
      <c r="A77" s="14">
        <v>76</v>
      </c>
      <c r="B77" s="15">
        <v>45901</v>
      </c>
      <c r="C77" s="16" t="s">
        <v>630</v>
      </c>
      <c r="D77" s="17">
        <v>4027</v>
      </c>
      <c r="E77" s="18" t="s">
        <v>1757</v>
      </c>
      <c r="F77" s="19" t="s">
        <v>56</v>
      </c>
      <c r="G77" s="19" t="s">
        <v>1734</v>
      </c>
      <c r="H77" s="16" t="s">
        <v>1741</v>
      </c>
      <c r="I77" s="41">
        <v>6.08</v>
      </c>
      <c r="J77" s="41">
        <v>6.08</v>
      </c>
      <c r="K77" s="41"/>
      <c r="L77" s="34">
        <v>45967</v>
      </c>
      <c r="M77" s="16"/>
      <c r="N77" s="34"/>
      <c r="O77" s="35"/>
      <c r="P77" s="16"/>
      <c r="Q77" s="46">
        <f t="shared" si="2"/>
        <v>6.08</v>
      </c>
      <c r="R77" s="47">
        <f t="shared" si="3"/>
        <v>0</v>
      </c>
      <c r="S77" s="48"/>
    </row>
    <row r="78" s="1" customFormat="1" customHeight="1" spans="1:19">
      <c r="A78" s="14">
        <v>77</v>
      </c>
      <c r="B78" s="15">
        <v>45931</v>
      </c>
      <c r="C78" s="16" t="s">
        <v>630</v>
      </c>
      <c r="D78" s="17">
        <v>4027</v>
      </c>
      <c r="E78" s="18" t="s">
        <v>1757</v>
      </c>
      <c r="F78" s="19" t="s">
        <v>58</v>
      </c>
      <c r="G78" s="19" t="s">
        <v>1734</v>
      </c>
      <c r="H78" s="16" t="s">
        <v>1741</v>
      </c>
      <c r="I78" s="41">
        <v>6.08</v>
      </c>
      <c r="J78" s="41">
        <v>6.08</v>
      </c>
      <c r="K78" s="41"/>
      <c r="L78" s="34">
        <v>45967</v>
      </c>
      <c r="M78" s="16"/>
      <c r="N78" s="34"/>
      <c r="O78" s="35"/>
      <c r="P78" s="16"/>
      <c r="Q78" s="46">
        <f t="shared" si="2"/>
        <v>6.08</v>
      </c>
      <c r="R78" s="47">
        <f t="shared" si="3"/>
        <v>0</v>
      </c>
      <c r="S78" s="48"/>
    </row>
    <row r="79" s="1" customFormat="1" customHeight="1" spans="1:19">
      <c r="A79" s="14">
        <v>78</v>
      </c>
      <c r="B79" s="15">
        <v>45839</v>
      </c>
      <c r="C79" s="16" t="s">
        <v>630</v>
      </c>
      <c r="D79" s="17">
        <v>4027</v>
      </c>
      <c r="E79" s="18" t="s">
        <v>1757</v>
      </c>
      <c r="F79" s="26" t="s">
        <v>102</v>
      </c>
      <c r="G79" s="19" t="s">
        <v>1734</v>
      </c>
      <c r="H79" s="16" t="s">
        <v>1741</v>
      </c>
      <c r="I79" s="16">
        <v>2.56</v>
      </c>
      <c r="J79" s="16">
        <v>2.56</v>
      </c>
      <c r="K79" s="16"/>
      <c r="L79" s="34">
        <v>45895</v>
      </c>
      <c r="M79" s="16"/>
      <c r="N79" s="34"/>
      <c r="O79" s="16"/>
      <c r="P79" s="16"/>
      <c r="Q79" s="46">
        <f t="shared" si="2"/>
        <v>2.56</v>
      </c>
      <c r="R79" s="47">
        <f t="shared" si="3"/>
        <v>0</v>
      </c>
      <c r="S79" s="48"/>
    </row>
    <row r="80" s="1" customFormat="1" customHeight="1" spans="1:19">
      <c r="A80" s="14">
        <v>79</v>
      </c>
      <c r="B80" s="20">
        <v>45962</v>
      </c>
      <c r="C80" s="16" t="s">
        <v>630</v>
      </c>
      <c r="D80" s="17">
        <v>4027</v>
      </c>
      <c r="E80" s="18" t="s">
        <v>1757</v>
      </c>
      <c r="F80" s="19" t="s">
        <v>60</v>
      </c>
      <c r="G80" s="19" t="s">
        <v>1734</v>
      </c>
      <c r="H80" s="16" t="s">
        <v>1741</v>
      </c>
      <c r="I80" s="33">
        <v>6.08</v>
      </c>
      <c r="J80" s="33">
        <v>6.08</v>
      </c>
      <c r="K80" s="33"/>
      <c r="L80" s="34">
        <v>45967</v>
      </c>
      <c r="M80" s="16"/>
      <c r="N80" s="34"/>
      <c r="O80" s="16"/>
      <c r="P80" s="34"/>
      <c r="Q80" s="46">
        <f t="shared" si="2"/>
        <v>6.08</v>
      </c>
      <c r="R80" s="47">
        <f t="shared" si="3"/>
        <v>0</v>
      </c>
      <c r="S80" s="48"/>
    </row>
    <row r="81" s="1" customFormat="1" customHeight="1" spans="1:19">
      <c r="A81" s="14">
        <v>80</v>
      </c>
      <c r="B81" s="15">
        <v>45901</v>
      </c>
      <c r="C81" s="16" t="s">
        <v>630</v>
      </c>
      <c r="D81" s="17" t="s">
        <v>1105</v>
      </c>
      <c r="E81" s="18" t="s">
        <v>1106</v>
      </c>
      <c r="F81" s="19" t="s">
        <v>56</v>
      </c>
      <c r="G81" s="19" t="s">
        <v>1734</v>
      </c>
      <c r="H81" s="16" t="s">
        <v>1741</v>
      </c>
      <c r="I81" s="41">
        <v>273.24</v>
      </c>
      <c r="J81" s="41">
        <v>273.24</v>
      </c>
      <c r="K81" s="41"/>
      <c r="L81" s="34">
        <v>45916</v>
      </c>
      <c r="M81" s="16"/>
      <c r="N81" s="34"/>
      <c r="O81" s="16"/>
      <c r="P81" s="16"/>
      <c r="Q81" s="46">
        <f t="shared" si="2"/>
        <v>273.24</v>
      </c>
      <c r="R81" s="47">
        <f t="shared" si="3"/>
        <v>0</v>
      </c>
      <c r="S81" s="48"/>
    </row>
    <row r="82" s="1" customFormat="1" customHeight="1" spans="1:19">
      <c r="A82" s="14">
        <v>81</v>
      </c>
      <c r="B82" s="15">
        <v>45901</v>
      </c>
      <c r="C82" s="16" t="s">
        <v>630</v>
      </c>
      <c r="D82" s="17" t="s">
        <v>1105</v>
      </c>
      <c r="E82" s="18" t="s">
        <v>1106</v>
      </c>
      <c r="F82" s="19" t="s">
        <v>56</v>
      </c>
      <c r="G82" s="19" t="s">
        <v>1734</v>
      </c>
      <c r="H82" s="16" t="s">
        <v>1735</v>
      </c>
      <c r="I82" s="41">
        <v>295.58</v>
      </c>
      <c r="J82" s="16">
        <v>295.58</v>
      </c>
      <c r="K82" s="16"/>
      <c r="L82" s="34">
        <v>45920</v>
      </c>
      <c r="M82" s="16"/>
      <c r="N82" s="34"/>
      <c r="O82" s="35"/>
      <c r="P82" s="16"/>
      <c r="Q82" s="46">
        <f t="shared" si="2"/>
        <v>295.58</v>
      </c>
      <c r="R82" s="47">
        <f t="shared" si="3"/>
        <v>0</v>
      </c>
      <c r="S82" s="48"/>
    </row>
    <row r="83" s="1" customFormat="1" customHeight="1" spans="1:19">
      <c r="A83" s="14">
        <v>82</v>
      </c>
      <c r="B83" s="15">
        <v>45931</v>
      </c>
      <c r="C83" s="16" t="s">
        <v>630</v>
      </c>
      <c r="D83" s="17" t="s">
        <v>1105</v>
      </c>
      <c r="E83" s="18" t="s">
        <v>1106</v>
      </c>
      <c r="F83" s="26" t="s">
        <v>58</v>
      </c>
      <c r="G83" s="19" t="s">
        <v>1734</v>
      </c>
      <c r="H83" s="16" t="s">
        <v>1741</v>
      </c>
      <c r="I83" s="16">
        <v>235.98</v>
      </c>
      <c r="J83" s="16">
        <v>235.98</v>
      </c>
      <c r="K83" s="16"/>
      <c r="L83" s="34">
        <v>45944</v>
      </c>
      <c r="M83" s="16"/>
      <c r="N83" s="34"/>
      <c r="O83" s="35"/>
      <c r="P83" s="16"/>
      <c r="Q83" s="46">
        <f t="shared" si="2"/>
        <v>235.98</v>
      </c>
      <c r="R83" s="47">
        <f t="shared" si="3"/>
        <v>0</v>
      </c>
      <c r="S83" s="48"/>
    </row>
    <row r="84" s="1" customFormat="1" customHeight="1" spans="1:19">
      <c r="A84" s="14">
        <v>83</v>
      </c>
      <c r="B84" s="15">
        <v>45931</v>
      </c>
      <c r="C84" s="16" t="s">
        <v>630</v>
      </c>
      <c r="D84" s="17" t="s">
        <v>1105</v>
      </c>
      <c r="E84" s="18" t="s">
        <v>1106</v>
      </c>
      <c r="F84" s="26" t="s">
        <v>58</v>
      </c>
      <c r="G84" s="19" t="s">
        <v>1734</v>
      </c>
      <c r="H84" s="16" t="s">
        <v>1735</v>
      </c>
      <c r="I84" s="35">
        <v>461.6192</v>
      </c>
      <c r="J84" s="35">
        <v>461.6192</v>
      </c>
      <c r="K84" s="35"/>
      <c r="L84" s="34">
        <v>45944</v>
      </c>
      <c r="M84" s="35"/>
      <c r="N84" s="35"/>
      <c r="O84" s="35"/>
      <c r="P84" s="16"/>
      <c r="Q84" s="46">
        <f t="shared" si="2"/>
        <v>461.6192</v>
      </c>
      <c r="R84" s="47">
        <f t="shared" si="3"/>
        <v>0</v>
      </c>
      <c r="S84" s="48"/>
    </row>
    <row r="85" s="1" customFormat="1" customHeight="1" spans="1:19">
      <c r="A85" s="14">
        <v>84</v>
      </c>
      <c r="B85" s="20">
        <v>45870</v>
      </c>
      <c r="C85" s="16" t="s">
        <v>630</v>
      </c>
      <c r="D85" s="17" t="s">
        <v>1105</v>
      </c>
      <c r="E85" s="18" t="s">
        <v>1106</v>
      </c>
      <c r="F85" s="19" t="s">
        <v>55</v>
      </c>
      <c r="G85" s="19" t="s">
        <v>1734</v>
      </c>
      <c r="H85" s="16" t="s">
        <v>1741</v>
      </c>
      <c r="I85" s="16">
        <v>322.92</v>
      </c>
      <c r="J85" s="16">
        <v>322.92</v>
      </c>
      <c r="K85" s="16"/>
      <c r="L85" s="34">
        <v>45890</v>
      </c>
      <c r="M85" s="16"/>
      <c r="N85" s="34"/>
      <c r="O85" s="35"/>
      <c r="P85" s="16"/>
      <c r="Q85" s="46">
        <f t="shared" ref="Q85:Q148" si="4">J85+M85+O85</f>
        <v>322.92</v>
      </c>
      <c r="R85" s="47">
        <f t="shared" si="3"/>
        <v>0</v>
      </c>
      <c r="S85" s="48"/>
    </row>
    <row r="86" s="1" customFormat="1" customHeight="1" spans="1:19">
      <c r="A86" s="14">
        <v>85</v>
      </c>
      <c r="B86" s="20">
        <v>45870</v>
      </c>
      <c r="C86" s="16" t="s">
        <v>630</v>
      </c>
      <c r="D86" s="17" t="s">
        <v>1105</v>
      </c>
      <c r="E86" s="18" t="s">
        <v>1106</v>
      </c>
      <c r="F86" s="19" t="s">
        <v>55</v>
      </c>
      <c r="G86" s="19" t="s">
        <v>1734</v>
      </c>
      <c r="H86" s="16" t="s">
        <v>1735</v>
      </c>
      <c r="I86" s="16">
        <v>407.22</v>
      </c>
      <c r="J86" s="16">
        <v>407.22</v>
      </c>
      <c r="K86" s="16"/>
      <c r="L86" s="34">
        <v>45890</v>
      </c>
      <c r="M86" s="16"/>
      <c r="N86" s="34"/>
      <c r="O86" s="16"/>
      <c r="P86" s="16"/>
      <c r="Q86" s="46">
        <f t="shared" si="4"/>
        <v>407.22</v>
      </c>
      <c r="R86" s="47">
        <f t="shared" si="3"/>
        <v>0</v>
      </c>
      <c r="S86" s="48"/>
    </row>
    <row r="87" s="1" customFormat="1" customHeight="1" spans="1:19">
      <c r="A87" s="14">
        <v>86</v>
      </c>
      <c r="B87" s="15">
        <v>45839</v>
      </c>
      <c r="C87" s="16" t="s">
        <v>630</v>
      </c>
      <c r="D87" s="17" t="s">
        <v>1105</v>
      </c>
      <c r="E87" s="18" t="s">
        <v>1106</v>
      </c>
      <c r="F87" s="26" t="s">
        <v>102</v>
      </c>
      <c r="G87" s="19" t="s">
        <v>1734</v>
      </c>
      <c r="H87" s="16" t="s">
        <v>1735</v>
      </c>
      <c r="I87" s="16">
        <v>378.6</v>
      </c>
      <c r="J87" s="16">
        <v>378.6</v>
      </c>
      <c r="K87" s="16"/>
      <c r="L87" s="34">
        <v>45862</v>
      </c>
      <c r="M87" s="16"/>
      <c r="N87" s="34"/>
      <c r="O87" s="16"/>
      <c r="P87" s="16"/>
      <c r="Q87" s="46">
        <f t="shared" si="4"/>
        <v>378.6</v>
      </c>
      <c r="R87" s="47">
        <f t="shared" si="3"/>
        <v>0</v>
      </c>
      <c r="S87" s="48"/>
    </row>
    <row r="88" s="1" customFormat="1" customHeight="1" spans="1:19">
      <c r="A88" s="14">
        <v>87</v>
      </c>
      <c r="B88" s="15">
        <v>45839</v>
      </c>
      <c r="C88" s="16" t="s">
        <v>630</v>
      </c>
      <c r="D88" s="17" t="s">
        <v>1105</v>
      </c>
      <c r="E88" s="18" t="s">
        <v>1106</v>
      </c>
      <c r="F88" s="26" t="s">
        <v>102</v>
      </c>
      <c r="G88" s="19" t="s">
        <v>1734</v>
      </c>
      <c r="H88" s="16" t="s">
        <v>1741</v>
      </c>
      <c r="I88" s="16">
        <v>360.18</v>
      </c>
      <c r="J88" s="16">
        <v>360.18</v>
      </c>
      <c r="K88" s="16"/>
      <c r="L88" s="34">
        <v>45862</v>
      </c>
      <c r="M88" s="16"/>
      <c r="N88" s="34"/>
      <c r="O88" s="16"/>
      <c r="P88" s="16"/>
      <c r="Q88" s="46">
        <f t="shared" si="4"/>
        <v>360.18</v>
      </c>
      <c r="R88" s="47">
        <f t="shared" si="3"/>
        <v>0</v>
      </c>
      <c r="S88" s="48"/>
    </row>
    <row r="89" s="1" customFormat="1" customHeight="1" spans="1:19">
      <c r="A89" s="14">
        <v>88</v>
      </c>
      <c r="B89" s="20">
        <v>45962</v>
      </c>
      <c r="C89" s="16" t="s">
        <v>630</v>
      </c>
      <c r="D89" s="17" t="s">
        <v>1105</v>
      </c>
      <c r="E89" s="18" t="s">
        <v>1106</v>
      </c>
      <c r="F89" s="19" t="s">
        <v>60</v>
      </c>
      <c r="G89" s="19" t="s">
        <v>1734</v>
      </c>
      <c r="H89" s="16" t="s">
        <v>1741</v>
      </c>
      <c r="I89" s="33">
        <v>248.4</v>
      </c>
      <c r="J89" s="33">
        <v>248.4</v>
      </c>
      <c r="K89" s="33"/>
      <c r="L89" s="34">
        <v>45967</v>
      </c>
      <c r="M89" s="16"/>
      <c r="N89" s="34"/>
      <c r="O89" s="35"/>
      <c r="P89" s="34"/>
      <c r="Q89" s="46">
        <f t="shared" si="4"/>
        <v>248.4</v>
      </c>
      <c r="R89" s="47">
        <f t="shared" si="3"/>
        <v>0</v>
      </c>
      <c r="S89" s="48"/>
    </row>
    <row r="90" s="1" customFormat="1" customHeight="1" spans="1:19">
      <c r="A90" s="14">
        <v>89</v>
      </c>
      <c r="B90" s="20">
        <v>45962</v>
      </c>
      <c r="C90" s="16" t="s">
        <v>630</v>
      </c>
      <c r="D90" s="17" t="s">
        <v>1105</v>
      </c>
      <c r="E90" s="18" t="s">
        <v>1106</v>
      </c>
      <c r="F90" s="19" t="s">
        <v>60</v>
      </c>
      <c r="G90" s="19" t="s">
        <v>1734</v>
      </c>
      <c r="H90" s="16" t="s">
        <v>1741</v>
      </c>
      <c r="I90" s="33">
        <v>12.42</v>
      </c>
      <c r="J90" s="33">
        <v>12.42</v>
      </c>
      <c r="K90" s="33"/>
      <c r="L90" s="34">
        <v>45967</v>
      </c>
      <c r="M90" s="16"/>
      <c r="N90" s="34"/>
      <c r="O90" s="35"/>
      <c r="P90" s="34"/>
      <c r="Q90" s="46">
        <f t="shared" si="4"/>
        <v>12.42</v>
      </c>
      <c r="R90" s="47">
        <f t="shared" si="3"/>
        <v>0</v>
      </c>
      <c r="S90" s="48"/>
    </row>
    <row r="91" s="1" customFormat="1" customHeight="1" spans="1:19">
      <c r="A91" s="14">
        <v>90</v>
      </c>
      <c r="B91" s="20">
        <v>45962</v>
      </c>
      <c r="C91" s="16" t="s">
        <v>630</v>
      </c>
      <c r="D91" s="17" t="s">
        <v>1758</v>
      </c>
      <c r="E91" s="18" t="s">
        <v>1106</v>
      </c>
      <c r="F91" s="19" t="s">
        <v>60</v>
      </c>
      <c r="G91" s="19" t="s">
        <v>1734</v>
      </c>
      <c r="H91" s="16" t="s">
        <v>1735</v>
      </c>
      <c r="I91" s="33">
        <v>90.72</v>
      </c>
      <c r="J91" s="35">
        <v>90.72</v>
      </c>
      <c r="K91" s="35"/>
      <c r="L91" s="34">
        <v>46005</v>
      </c>
      <c r="M91" s="16"/>
      <c r="N91" s="34"/>
      <c r="O91" s="35"/>
      <c r="P91" s="34"/>
      <c r="Q91" s="46">
        <f t="shared" si="4"/>
        <v>90.72</v>
      </c>
      <c r="R91" s="47">
        <f t="shared" si="3"/>
        <v>0</v>
      </c>
      <c r="S91" s="48"/>
    </row>
    <row r="92" s="1" customFormat="1" customHeight="1" spans="1:19">
      <c r="A92" s="14">
        <v>91</v>
      </c>
      <c r="B92" s="20">
        <v>45962</v>
      </c>
      <c r="C92" s="16" t="s">
        <v>630</v>
      </c>
      <c r="D92" s="17" t="s">
        <v>1105</v>
      </c>
      <c r="E92" s="18" t="s">
        <v>1106</v>
      </c>
      <c r="F92" s="19" t="s">
        <v>60</v>
      </c>
      <c r="G92" s="19" t="s">
        <v>1734</v>
      </c>
      <c r="H92" s="16" t="s">
        <v>1735</v>
      </c>
      <c r="I92" s="33">
        <v>427.14</v>
      </c>
      <c r="J92" s="33">
        <v>427.14</v>
      </c>
      <c r="K92" s="33"/>
      <c r="L92" s="34">
        <v>45967</v>
      </c>
      <c r="M92" s="16"/>
      <c r="N92" s="34"/>
      <c r="O92" s="35"/>
      <c r="P92" s="34"/>
      <c r="Q92" s="46">
        <f t="shared" si="4"/>
        <v>427.14</v>
      </c>
      <c r="R92" s="47">
        <f t="shared" si="3"/>
        <v>0</v>
      </c>
      <c r="S92" s="48"/>
    </row>
    <row r="93" s="1" customFormat="1" customHeight="1" spans="1:19">
      <c r="A93" s="14">
        <v>92</v>
      </c>
      <c r="B93" s="20">
        <v>45962</v>
      </c>
      <c r="C93" s="24" t="s">
        <v>16</v>
      </c>
      <c r="D93" s="17">
        <v>1003</v>
      </c>
      <c r="E93" s="18" t="s">
        <v>79</v>
      </c>
      <c r="F93" s="19" t="s">
        <v>60</v>
      </c>
      <c r="G93" s="19" t="s">
        <v>1734</v>
      </c>
      <c r="H93" s="16" t="s">
        <v>1741</v>
      </c>
      <c r="I93" s="33">
        <v>12.16</v>
      </c>
      <c r="J93" s="35">
        <v>12.16</v>
      </c>
      <c r="K93" s="35"/>
      <c r="L93" s="34">
        <v>45974</v>
      </c>
      <c r="M93" s="16"/>
      <c r="N93" s="34"/>
      <c r="O93" s="16"/>
      <c r="P93" s="34"/>
      <c r="Q93" s="46">
        <f t="shared" si="4"/>
        <v>12.16</v>
      </c>
      <c r="R93" s="47">
        <f t="shared" si="3"/>
        <v>0</v>
      </c>
      <c r="S93" s="48"/>
    </row>
    <row r="94" s="1" customFormat="1" customHeight="1" spans="1:19">
      <c r="A94" s="14">
        <v>93</v>
      </c>
      <c r="B94" s="20">
        <v>45870</v>
      </c>
      <c r="C94" s="24" t="s">
        <v>16</v>
      </c>
      <c r="D94" s="17">
        <v>1003</v>
      </c>
      <c r="E94" s="18" t="s">
        <v>79</v>
      </c>
      <c r="F94" s="19" t="s">
        <v>55</v>
      </c>
      <c r="G94" s="19" t="s">
        <v>1734</v>
      </c>
      <c r="H94" s="16" t="s">
        <v>1741</v>
      </c>
      <c r="I94" s="16">
        <v>12.16</v>
      </c>
      <c r="J94" s="16">
        <v>12.16</v>
      </c>
      <c r="K94" s="16"/>
      <c r="L94" s="34">
        <v>45974</v>
      </c>
      <c r="M94" s="16"/>
      <c r="N94" s="34"/>
      <c r="O94" s="16"/>
      <c r="P94" s="16"/>
      <c r="Q94" s="46">
        <f t="shared" si="4"/>
        <v>12.16</v>
      </c>
      <c r="R94" s="47">
        <f t="shared" si="3"/>
        <v>0</v>
      </c>
      <c r="S94" s="48"/>
    </row>
    <row r="95" s="1" customFormat="1" customHeight="1" spans="1:19">
      <c r="A95" s="14">
        <v>94</v>
      </c>
      <c r="B95" s="15">
        <v>45839</v>
      </c>
      <c r="C95" s="24" t="s">
        <v>16</v>
      </c>
      <c r="D95" s="17">
        <v>1003</v>
      </c>
      <c r="E95" s="18" t="s">
        <v>79</v>
      </c>
      <c r="F95" s="26" t="s">
        <v>102</v>
      </c>
      <c r="G95" s="19" t="s">
        <v>1734</v>
      </c>
      <c r="H95" s="16" t="s">
        <v>1741</v>
      </c>
      <c r="I95" s="16">
        <v>2.86</v>
      </c>
      <c r="J95" s="16">
        <v>2.86</v>
      </c>
      <c r="K95" s="16"/>
      <c r="L95" s="34">
        <v>45974</v>
      </c>
      <c r="M95" s="16"/>
      <c r="N95" s="34"/>
      <c r="O95" s="16"/>
      <c r="P95" s="16"/>
      <c r="Q95" s="46">
        <f t="shared" si="4"/>
        <v>2.86</v>
      </c>
      <c r="R95" s="47">
        <f t="shared" si="3"/>
        <v>0</v>
      </c>
      <c r="S95" s="48"/>
    </row>
    <row r="96" s="1" customFormat="1" customHeight="1" spans="1:19">
      <c r="A96" s="14">
        <v>95</v>
      </c>
      <c r="B96" s="15">
        <v>45901</v>
      </c>
      <c r="C96" s="50" t="s">
        <v>16</v>
      </c>
      <c r="D96" s="51">
        <v>1003</v>
      </c>
      <c r="E96" s="27" t="s">
        <v>79</v>
      </c>
      <c r="F96" s="52" t="s">
        <v>56</v>
      </c>
      <c r="G96" s="19" t="s">
        <v>1734</v>
      </c>
      <c r="H96" s="41" t="s">
        <v>1741</v>
      </c>
      <c r="I96" s="41">
        <v>6.08</v>
      </c>
      <c r="J96" s="41">
        <v>6.08</v>
      </c>
      <c r="K96" s="41"/>
      <c r="L96" s="34">
        <v>45974</v>
      </c>
      <c r="M96" s="41"/>
      <c r="N96" s="55"/>
      <c r="O96" s="35"/>
      <c r="P96" s="16"/>
      <c r="Q96" s="46">
        <f t="shared" si="4"/>
        <v>6.08</v>
      </c>
      <c r="R96" s="47">
        <f t="shared" si="3"/>
        <v>0</v>
      </c>
      <c r="S96" s="56"/>
    </row>
    <row r="97" s="1" customFormat="1" customHeight="1" spans="1:19">
      <c r="A97" s="14">
        <v>96</v>
      </c>
      <c r="B97" s="15">
        <v>45931</v>
      </c>
      <c r="C97" s="24" t="s">
        <v>16</v>
      </c>
      <c r="D97" s="17">
        <v>1003</v>
      </c>
      <c r="E97" s="18" t="s">
        <v>79</v>
      </c>
      <c r="F97" s="26" t="s">
        <v>58</v>
      </c>
      <c r="G97" s="19" t="s">
        <v>1734</v>
      </c>
      <c r="H97" s="41" t="s">
        <v>1741</v>
      </c>
      <c r="I97" s="41">
        <v>12.16</v>
      </c>
      <c r="J97" s="16">
        <v>12.16</v>
      </c>
      <c r="K97" s="16"/>
      <c r="L97" s="34">
        <v>45974</v>
      </c>
      <c r="M97" s="16"/>
      <c r="N97" s="34"/>
      <c r="O97" s="35"/>
      <c r="P97" s="16"/>
      <c r="Q97" s="46">
        <f t="shared" si="4"/>
        <v>12.16</v>
      </c>
      <c r="R97" s="47">
        <f t="shared" si="3"/>
        <v>0</v>
      </c>
      <c r="S97" s="48"/>
    </row>
    <row r="98" s="1" customFormat="1" customHeight="1" spans="1:19">
      <c r="A98" s="14">
        <v>97</v>
      </c>
      <c r="B98" s="20">
        <v>45962</v>
      </c>
      <c r="C98" s="16" t="s">
        <v>1737</v>
      </c>
      <c r="D98" s="17" t="s">
        <v>1759</v>
      </c>
      <c r="E98" s="18" t="s">
        <v>1760</v>
      </c>
      <c r="F98" s="19" t="s">
        <v>60</v>
      </c>
      <c r="G98" s="19" t="s">
        <v>1734</v>
      </c>
      <c r="H98" s="16" t="s">
        <v>1735</v>
      </c>
      <c r="I98" s="33">
        <v>55</v>
      </c>
      <c r="J98" s="35">
        <v>55</v>
      </c>
      <c r="K98" s="35"/>
      <c r="L98" s="34">
        <v>45979</v>
      </c>
      <c r="M98" s="16"/>
      <c r="N98" s="34"/>
      <c r="O98" s="35"/>
      <c r="P98" s="34"/>
      <c r="Q98" s="46">
        <f t="shared" si="4"/>
        <v>55</v>
      </c>
      <c r="R98" s="47">
        <f t="shared" si="3"/>
        <v>0</v>
      </c>
      <c r="S98" s="48" t="s">
        <v>1737</v>
      </c>
    </row>
    <row r="99" s="1" customFormat="1" customHeight="1" spans="1:19">
      <c r="A99" s="14">
        <v>98</v>
      </c>
      <c r="B99" s="20">
        <v>45962</v>
      </c>
      <c r="C99" s="16" t="s">
        <v>909</v>
      </c>
      <c r="D99" s="17" t="s">
        <v>1003</v>
      </c>
      <c r="E99" s="18" t="s">
        <v>1005</v>
      </c>
      <c r="F99" s="19" t="s">
        <v>60</v>
      </c>
      <c r="G99" s="19" t="s">
        <v>1734</v>
      </c>
      <c r="H99" s="16" t="s">
        <v>1735</v>
      </c>
      <c r="I99" s="33">
        <v>59.53</v>
      </c>
      <c r="J99" s="35">
        <v>59.53</v>
      </c>
      <c r="K99" s="35"/>
      <c r="L99" s="34">
        <v>46004</v>
      </c>
      <c r="M99" s="16"/>
      <c r="N99" s="34"/>
      <c r="O99" s="35"/>
      <c r="P99" s="34"/>
      <c r="Q99" s="46">
        <f t="shared" si="4"/>
        <v>59.53</v>
      </c>
      <c r="R99" s="47">
        <f t="shared" si="3"/>
        <v>0</v>
      </c>
      <c r="S99" s="48"/>
    </row>
    <row r="100" s="1" customFormat="1" customHeight="1" spans="1:19">
      <c r="A100" s="14">
        <v>99</v>
      </c>
      <c r="B100" s="20">
        <v>45870</v>
      </c>
      <c r="C100" s="16" t="s">
        <v>909</v>
      </c>
      <c r="D100" s="17" t="s">
        <v>1003</v>
      </c>
      <c r="E100" s="18" t="s">
        <v>1005</v>
      </c>
      <c r="F100" s="19" t="s">
        <v>55</v>
      </c>
      <c r="G100" s="19" t="s">
        <v>1734</v>
      </c>
      <c r="H100" s="16" t="s">
        <v>1735</v>
      </c>
      <c r="I100" s="16">
        <v>86.2</v>
      </c>
      <c r="J100" s="16">
        <v>86.2</v>
      </c>
      <c r="K100" s="16"/>
      <c r="L100" s="34">
        <v>45889</v>
      </c>
      <c r="M100" s="16"/>
      <c r="N100" s="34"/>
      <c r="O100" s="16"/>
      <c r="P100" s="16"/>
      <c r="Q100" s="46">
        <f t="shared" si="4"/>
        <v>86.2</v>
      </c>
      <c r="R100" s="47">
        <f t="shared" si="3"/>
        <v>0</v>
      </c>
      <c r="S100" s="48"/>
    </row>
    <row r="101" s="1" customFormat="1" customHeight="1" spans="1:19">
      <c r="A101" s="14">
        <v>100</v>
      </c>
      <c r="B101" s="15">
        <v>45901</v>
      </c>
      <c r="C101" s="16" t="s">
        <v>909</v>
      </c>
      <c r="D101" s="17" t="s">
        <v>1003</v>
      </c>
      <c r="E101" s="18" t="s">
        <v>1005</v>
      </c>
      <c r="F101" s="19" t="s">
        <v>56</v>
      </c>
      <c r="G101" s="19" t="s">
        <v>1734</v>
      </c>
      <c r="H101" s="16" t="s">
        <v>1735</v>
      </c>
      <c r="I101" s="44">
        <v>76.22</v>
      </c>
      <c r="J101" s="16">
        <v>76.22</v>
      </c>
      <c r="K101" s="16"/>
      <c r="L101" s="34">
        <v>45940</v>
      </c>
      <c r="M101" s="16"/>
      <c r="N101" s="34"/>
      <c r="O101" s="16"/>
      <c r="P101" s="16"/>
      <c r="Q101" s="46">
        <f t="shared" si="4"/>
        <v>76.22</v>
      </c>
      <c r="R101" s="47">
        <f t="shared" si="3"/>
        <v>0</v>
      </c>
      <c r="S101" s="48"/>
    </row>
    <row r="102" s="1" customFormat="1" customHeight="1" spans="1:19">
      <c r="A102" s="14">
        <v>101</v>
      </c>
      <c r="B102" s="15">
        <v>45839</v>
      </c>
      <c r="C102" s="16" t="s">
        <v>909</v>
      </c>
      <c r="D102" s="17" t="s">
        <v>1003</v>
      </c>
      <c r="E102" s="18" t="s">
        <v>1005</v>
      </c>
      <c r="F102" s="26" t="s">
        <v>102</v>
      </c>
      <c r="G102" s="19" t="s">
        <v>1734</v>
      </c>
      <c r="H102" s="16" t="s">
        <v>1735</v>
      </c>
      <c r="I102" s="16">
        <v>48.66</v>
      </c>
      <c r="J102" s="16">
        <v>48.66</v>
      </c>
      <c r="K102" s="16"/>
      <c r="L102" s="34">
        <v>45863</v>
      </c>
      <c r="M102" s="16"/>
      <c r="N102" s="34"/>
      <c r="O102" s="16"/>
      <c r="P102" s="16"/>
      <c r="Q102" s="46">
        <f t="shared" si="4"/>
        <v>48.66</v>
      </c>
      <c r="R102" s="47">
        <f t="shared" si="3"/>
        <v>0</v>
      </c>
      <c r="S102" s="48"/>
    </row>
    <row r="103" s="1" customFormat="1" customHeight="1" spans="1:19">
      <c r="A103" s="14">
        <v>102</v>
      </c>
      <c r="B103" s="15">
        <v>45931</v>
      </c>
      <c r="C103" s="16" t="s">
        <v>909</v>
      </c>
      <c r="D103" s="17" t="s">
        <v>1003</v>
      </c>
      <c r="E103" s="18" t="s">
        <v>1005</v>
      </c>
      <c r="F103" s="26" t="s">
        <v>58</v>
      </c>
      <c r="G103" s="19" t="s">
        <v>1734</v>
      </c>
      <c r="H103" s="16" t="s">
        <v>1735</v>
      </c>
      <c r="I103" s="44">
        <v>43.28</v>
      </c>
      <c r="J103" s="35">
        <v>43.28</v>
      </c>
      <c r="K103" s="35"/>
      <c r="L103" s="34">
        <v>45940</v>
      </c>
      <c r="M103" s="16"/>
      <c r="N103" s="34"/>
      <c r="O103" s="35"/>
      <c r="P103" s="16"/>
      <c r="Q103" s="46">
        <f t="shared" si="4"/>
        <v>43.28</v>
      </c>
      <c r="R103" s="47">
        <f t="shared" si="3"/>
        <v>0</v>
      </c>
      <c r="S103" s="48"/>
    </row>
    <row r="104" s="1" customFormat="1" customHeight="1" spans="1:19">
      <c r="A104" s="14">
        <v>103</v>
      </c>
      <c r="B104" s="20">
        <v>45870</v>
      </c>
      <c r="C104" s="24" t="s">
        <v>285</v>
      </c>
      <c r="D104" s="17">
        <v>2001</v>
      </c>
      <c r="E104" s="18" t="s">
        <v>288</v>
      </c>
      <c r="F104" s="19" t="s">
        <v>55</v>
      </c>
      <c r="G104" s="19" t="s">
        <v>1734</v>
      </c>
      <c r="H104" s="16" t="s">
        <v>1741</v>
      </c>
      <c r="I104" s="35">
        <v>1209.92</v>
      </c>
      <c r="J104" s="35">
        <v>1209.92</v>
      </c>
      <c r="K104" s="35"/>
      <c r="L104" s="34">
        <v>45896</v>
      </c>
      <c r="M104" s="16"/>
      <c r="N104" s="34"/>
      <c r="O104" s="35"/>
      <c r="P104" s="16"/>
      <c r="Q104" s="46">
        <f t="shared" si="4"/>
        <v>1209.92</v>
      </c>
      <c r="R104" s="47">
        <f t="shared" si="3"/>
        <v>0</v>
      </c>
      <c r="S104" s="48"/>
    </row>
    <row r="105" s="1" customFormat="1" customHeight="1" spans="1:19">
      <c r="A105" s="14">
        <v>104</v>
      </c>
      <c r="B105" s="15">
        <v>45839</v>
      </c>
      <c r="C105" s="24" t="s">
        <v>285</v>
      </c>
      <c r="D105" s="17">
        <v>2001</v>
      </c>
      <c r="E105" s="18" t="s">
        <v>288</v>
      </c>
      <c r="F105" s="26" t="s">
        <v>102</v>
      </c>
      <c r="G105" s="19" t="s">
        <v>1734</v>
      </c>
      <c r="H105" s="16" t="s">
        <v>1741</v>
      </c>
      <c r="I105" s="35">
        <v>1234.24</v>
      </c>
      <c r="J105" s="16">
        <v>1234.24</v>
      </c>
      <c r="K105" s="16"/>
      <c r="L105" s="34">
        <v>45862</v>
      </c>
      <c r="M105" s="16"/>
      <c r="N105" s="34"/>
      <c r="O105" s="35"/>
      <c r="P105" s="16"/>
      <c r="Q105" s="46">
        <f t="shared" si="4"/>
        <v>1234.24</v>
      </c>
      <c r="R105" s="47">
        <f t="shared" si="3"/>
        <v>0</v>
      </c>
      <c r="S105" s="48"/>
    </row>
    <row r="106" s="1" customFormat="1" customHeight="1" spans="1:19">
      <c r="A106" s="14">
        <v>105</v>
      </c>
      <c r="B106" s="15">
        <v>45901</v>
      </c>
      <c r="C106" s="24" t="s">
        <v>285</v>
      </c>
      <c r="D106" s="25">
        <v>2001</v>
      </c>
      <c r="E106" s="21" t="s">
        <v>288</v>
      </c>
      <c r="F106" s="26" t="s">
        <v>56</v>
      </c>
      <c r="G106" s="19" t="s">
        <v>1734</v>
      </c>
      <c r="H106" s="16" t="s">
        <v>1741</v>
      </c>
      <c r="I106" s="33">
        <v>1264.64</v>
      </c>
      <c r="J106" s="16">
        <v>1264.64</v>
      </c>
      <c r="K106" s="16"/>
      <c r="L106" s="34">
        <v>45946</v>
      </c>
      <c r="M106" s="16"/>
      <c r="N106" s="34"/>
      <c r="O106" s="35"/>
      <c r="P106" s="16"/>
      <c r="Q106" s="46">
        <f t="shared" si="4"/>
        <v>1264.64</v>
      </c>
      <c r="R106" s="47">
        <f t="shared" si="3"/>
        <v>0</v>
      </c>
      <c r="S106" s="48"/>
    </row>
    <row r="107" s="1" customFormat="1" customHeight="1" spans="1:19">
      <c r="A107" s="14">
        <v>106</v>
      </c>
      <c r="B107" s="15">
        <v>45931</v>
      </c>
      <c r="C107" s="24" t="s">
        <v>285</v>
      </c>
      <c r="D107" s="25">
        <v>2001</v>
      </c>
      <c r="E107" s="21" t="s">
        <v>288</v>
      </c>
      <c r="F107" s="19" t="s">
        <v>58</v>
      </c>
      <c r="G107" s="19" t="s">
        <v>1734</v>
      </c>
      <c r="H107" s="16" t="s">
        <v>1741</v>
      </c>
      <c r="I107" s="41">
        <v>1434.88</v>
      </c>
      <c r="J107" s="16">
        <v>1434.88</v>
      </c>
      <c r="K107" s="16"/>
      <c r="L107" s="34">
        <v>45946</v>
      </c>
      <c r="M107" s="16"/>
      <c r="N107" s="34"/>
      <c r="O107" s="16"/>
      <c r="P107" s="16"/>
      <c r="Q107" s="46">
        <f t="shared" si="4"/>
        <v>1434.88</v>
      </c>
      <c r="R107" s="47">
        <f t="shared" si="3"/>
        <v>0</v>
      </c>
      <c r="S107" s="48"/>
    </row>
    <row r="108" s="1" customFormat="1" customHeight="1" spans="1:19">
      <c r="A108" s="14">
        <v>107</v>
      </c>
      <c r="B108" s="20">
        <v>45962</v>
      </c>
      <c r="C108" s="24" t="s">
        <v>285</v>
      </c>
      <c r="D108" s="25">
        <v>2001</v>
      </c>
      <c r="E108" s="18" t="s">
        <v>288</v>
      </c>
      <c r="F108" s="19" t="s">
        <v>60</v>
      </c>
      <c r="G108" s="19" t="s">
        <v>1734</v>
      </c>
      <c r="H108" s="16" t="s">
        <v>1741</v>
      </c>
      <c r="I108" s="33">
        <v>1325.44</v>
      </c>
      <c r="J108" s="35">
        <v>1325.44</v>
      </c>
      <c r="K108" s="35"/>
      <c r="L108" s="34">
        <v>45974</v>
      </c>
      <c r="M108" s="16"/>
      <c r="N108" s="34"/>
      <c r="O108" s="16"/>
      <c r="P108" s="34"/>
      <c r="Q108" s="46">
        <f t="shared" si="4"/>
        <v>1325.44</v>
      </c>
      <c r="R108" s="47">
        <f t="shared" si="3"/>
        <v>0</v>
      </c>
      <c r="S108" s="48"/>
    </row>
    <row r="109" s="1" customFormat="1" customHeight="1" spans="1:19">
      <c r="A109" s="14">
        <v>109</v>
      </c>
      <c r="B109" s="15">
        <v>45901</v>
      </c>
      <c r="C109" s="16" t="s">
        <v>909</v>
      </c>
      <c r="D109" s="17" t="s">
        <v>915</v>
      </c>
      <c r="E109" s="18" t="s">
        <v>917</v>
      </c>
      <c r="F109" s="19" t="s">
        <v>56</v>
      </c>
      <c r="G109" s="19" t="s">
        <v>1734</v>
      </c>
      <c r="H109" s="16" t="s">
        <v>1735</v>
      </c>
      <c r="I109" s="44">
        <v>258.4</v>
      </c>
      <c r="J109" s="16">
        <v>258.4</v>
      </c>
      <c r="K109" s="16"/>
      <c r="L109" s="34">
        <v>45910</v>
      </c>
      <c r="M109" s="16"/>
      <c r="N109" s="34"/>
      <c r="O109" s="35"/>
      <c r="P109" s="16"/>
      <c r="Q109" s="46">
        <f t="shared" si="4"/>
        <v>258.4</v>
      </c>
      <c r="R109" s="47">
        <f t="shared" si="3"/>
        <v>0</v>
      </c>
      <c r="S109" s="48"/>
    </row>
    <row r="110" s="1" customFormat="1" customHeight="1" spans="1:19">
      <c r="A110" s="14">
        <v>110</v>
      </c>
      <c r="B110" s="20">
        <v>45870</v>
      </c>
      <c r="C110" s="16" t="s">
        <v>909</v>
      </c>
      <c r="D110" s="17" t="s">
        <v>915</v>
      </c>
      <c r="E110" s="18" t="s">
        <v>917</v>
      </c>
      <c r="F110" s="19" t="s">
        <v>55</v>
      </c>
      <c r="G110" s="19" t="s">
        <v>1734</v>
      </c>
      <c r="H110" s="16" t="s">
        <v>1735</v>
      </c>
      <c r="I110" s="16">
        <v>201.33</v>
      </c>
      <c r="J110" s="16">
        <v>201.33</v>
      </c>
      <c r="K110" s="16"/>
      <c r="L110" s="34">
        <v>45889</v>
      </c>
      <c r="M110" s="16"/>
      <c r="N110" s="34"/>
      <c r="O110" s="35"/>
      <c r="P110" s="16"/>
      <c r="Q110" s="46">
        <f t="shared" si="4"/>
        <v>201.33</v>
      </c>
      <c r="R110" s="47">
        <f t="shared" si="3"/>
        <v>0</v>
      </c>
      <c r="S110" s="48"/>
    </row>
    <row r="111" s="1" customFormat="1" customHeight="1" spans="1:19">
      <c r="A111" s="14">
        <v>113</v>
      </c>
      <c r="B111" s="20">
        <v>45962</v>
      </c>
      <c r="C111" s="16"/>
      <c r="D111" s="334" t="s">
        <v>1761</v>
      </c>
      <c r="E111" s="18" t="s">
        <v>1762</v>
      </c>
      <c r="F111" s="19" t="s">
        <v>60</v>
      </c>
      <c r="G111" s="19" t="s">
        <v>1734</v>
      </c>
      <c r="H111" s="16" t="s">
        <v>1735</v>
      </c>
      <c r="I111" s="33">
        <v>123</v>
      </c>
      <c r="J111" s="35">
        <v>123</v>
      </c>
      <c r="K111" s="35"/>
      <c r="L111" s="34">
        <v>45979</v>
      </c>
      <c r="M111" s="16"/>
      <c r="N111" s="34"/>
      <c r="O111" s="16"/>
      <c r="P111" s="34"/>
      <c r="Q111" s="46">
        <f t="shared" si="4"/>
        <v>123</v>
      </c>
      <c r="R111" s="47">
        <f t="shared" si="3"/>
        <v>0</v>
      </c>
      <c r="S111" s="48" t="s">
        <v>1737</v>
      </c>
    </row>
    <row r="112" s="1" customFormat="1" customHeight="1" spans="1:19">
      <c r="A112" s="14">
        <v>114</v>
      </c>
      <c r="B112" s="20">
        <v>45962</v>
      </c>
      <c r="C112" s="16"/>
      <c r="D112" s="17">
        <v>13</v>
      </c>
      <c r="E112" s="18" t="s">
        <v>1763</v>
      </c>
      <c r="F112" s="19" t="s">
        <v>60</v>
      </c>
      <c r="G112" s="19" t="s">
        <v>1734</v>
      </c>
      <c r="H112" s="16" t="s">
        <v>1735</v>
      </c>
      <c r="I112" s="33">
        <v>127</v>
      </c>
      <c r="J112" s="35">
        <v>127</v>
      </c>
      <c r="K112" s="35"/>
      <c r="L112" s="34">
        <v>45979</v>
      </c>
      <c r="M112" s="16"/>
      <c r="N112" s="34"/>
      <c r="O112" s="16"/>
      <c r="P112" s="34"/>
      <c r="Q112" s="46">
        <f t="shared" si="4"/>
        <v>127</v>
      </c>
      <c r="R112" s="47">
        <f t="shared" si="3"/>
        <v>0</v>
      </c>
      <c r="S112" s="48" t="s">
        <v>1737</v>
      </c>
    </row>
    <row r="113" s="1" customFormat="1" customHeight="1" spans="1:19">
      <c r="A113" s="14">
        <v>118</v>
      </c>
      <c r="B113" s="20">
        <v>45962</v>
      </c>
      <c r="C113" s="16"/>
      <c r="D113" s="334" t="s">
        <v>1764</v>
      </c>
      <c r="E113" s="18" t="s">
        <v>1765</v>
      </c>
      <c r="F113" s="19" t="s">
        <v>60</v>
      </c>
      <c r="G113" s="19" t="s">
        <v>1734</v>
      </c>
      <c r="H113" s="16" t="s">
        <v>1735</v>
      </c>
      <c r="I113" s="33">
        <v>155</v>
      </c>
      <c r="J113" s="35">
        <v>155</v>
      </c>
      <c r="K113" s="35"/>
      <c r="L113" s="34">
        <v>45979</v>
      </c>
      <c r="M113" s="16"/>
      <c r="N113" s="34"/>
      <c r="O113" s="35"/>
      <c r="P113" s="34"/>
      <c r="Q113" s="46">
        <f t="shared" si="4"/>
        <v>155</v>
      </c>
      <c r="R113" s="47">
        <f t="shared" si="3"/>
        <v>0</v>
      </c>
      <c r="S113" s="48" t="s">
        <v>1737</v>
      </c>
    </row>
    <row r="114" s="1" customFormat="1" customHeight="1" spans="1:19">
      <c r="A114" s="14">
        <v>119</v>
      </c>
      <c r="B114" s="20">
        <v>45962</v>
      </c>
      <c r="C114" s="16"/>
      <c r="D114" s="17"/>
      <c r="E114" s="18" t="s">
        <v>1766</v>
      </c>
      <c r="F114" s="19" t="s">
        <v>60</v>
      </c>
      <c r="G114" s="19" t="s">
        <v>1734</v>
      </c>
      <c r="H114" s="16" t="s">
        <v>1735</v>
      </c>
      <c r="I114" s="33">
        <v>3</v>
      </c>
      <c r="J114" s="35">
        <v>3</v>
      </c>
      <c r="K114" s="35"/>
      <c r="L114" s="34">
        <v>45979</v>
      </c>
      <c r="M114" s="16"/>
      <c r="N114" s="34"/>
      <c r="O114" s="35"/>
      <c r="P114" s="34"/>
      <c r="Q114" s="46">
        <f t="shared" si="4"/>
        <v>3</v>
      </c>
      <c r="R114" s="47">
        <f t="shared" si="3"/>
        <v>0</v>
      </c>
      <c r="S114" s="48" t="s">
        <v>1737</v>
      </c>
    </row>
    <row r="115" s="1" customFormat="1" customHeight="1" spans="1:19">
      <c r="A115" s="14">
        <v>120</v>
      </c>
      <c r="B115" s="15">
        <v>45901</v>
      </c>
      <c r="C115" s="16" t="s">
        <v>16</v>
      </c>
      <c r="D115" s="25" t="s">
        <v>1767</v>
      </c>
      <c r="E115" s="18" t="s">
        <v>1768</v>
      </c>
      <c r="F115" s="26" t="s">
        <v>56</v>
      </c>
      <c r="G115" s="19" t="s">
        <v>1734</v>
      </c>
      <c r="H115" s="24" t="s">
        <v>1735</v>
      </c>
      <c r="I115" s="41">
        <v>21714.54</v>
      </c>
      <c r="J115" s="16">
        <v>21714.54</v>
      </c>
      <c r="K115" s="16"/>
      <c r="L115" s="34">
        <v>45917</v>
      </c>
      <c r="M115" s="16"/>
      <c r="N115" s="34"/>
      <c r="O115" s="16"/>
      <c r="P115" s="16"/>
      <c r="Q115" s="46">
        <f t="shared" si="4"/>
        <v>21714.54</v>
      </c>
      <c r="R115" s="47">
        <f t="shared" si="3"/>
        <v>0</v>
      </c>
      <c r="S115" s="48"/>
    </row>
    <row r="116" s="1" customFormat="1" customHeight="1" spans="1:19">
      <c r="A116" s="14">
        <v>121</v>
      </c>
      <c r="B116" s="15">
        <v>45901</v>
      </c>
      <c r="C116" s="16" t="s">
        <v>16</v>
      </c>
      <c r="D116" s="25" t="s">
        <v>1767</v>
      </c>
      <c r="E116" s="18" t="s">
        <v>1768</v>
      </c>
      <c r="F116" s="26" t="s">
        <v>56</v>
      </c>
      <c r="G116" s="19" t="s">
        <v>1734</v>
      </c>
      <c r="H116" s="24" t="s">
        <v>1741</v>
      </c>
      <c r="I116" s="41">
        <v>1410.56</v>
      </c>
      <c r="J116" s="41">
        <v>1410.56</v>
      </c>
      <c r="K116" s="41"/>
      <c r="L116" s="34">
        <v>45917</v>
      </c>
      <c r="M116" s="16"/>
      <c r="N116" s="34"/>
      <c r="O116" s="16"/>
      <c r="P116" s="16"/>
      <c r="Q116" s="46">
        <f t="shared" si="4"/>
        <v>1410.56</v>
      </c>
      <c r="R116" s="47">
        <f t="shared" si="3"/>
        <v>0</v>
      </c>
      <c r="S116" s="48"/>
    </row>
    <row r="117" s="1" customFormat="1" customHeight="1" spans="1:19">
      <c r="A117" s="14">
        <v>122</v>
      </c>
      <c r="B117" s="20">
        <v>45870</v>
      </c>
      <c r="C117" s="16" t="s">
        <v>16</v>
      </c>
      <c r="D117" s="25" t="s">
        <v>1767</v>
      </c>
      <c r="E117" s="21" t="s">
        <v>1768</v>
      </c>
      <c r="F117" s="19" t="s">
        <v>55</v>
      </c>
      <c r="G117" s="19" t="s">
        <v>1734</v>
      </c>
      <c r="H117" s="24" t="s">
        <v>1735</v>
      </c>
      <c r="I117" s="39">
        <v>23497.1</v>
      </c>
      <c r="J117" s="16">
        <v>23497.1</v>
      </c>
      <c r="K117" s="16"/>
      <c r="L117" s="34">
        <v>45895</v>
      </c>
      <c r="M117" s="16"/>
      <c r="N117" s="34"/>
      <c r="O117" s="16"/>
      <c r="P117" s="16"/>
      <c r="Q117" s="46">
        <f t="shared" si="4"/>
        <v>23497.1</v>
      </c>
      <c r="R117" s="47">
        <f t="shared" si="3"/>
        <v>0</v>
      </c>
      <c r="S117" s="48"/>
    </row>
    <row r="118" s="1" customFormat="1" customHeight="1" spans="1:19">
      <c r="A118" s="14">
        <v>123</v>
      </c>
      <c r="B118" s="20">
        <v>45870</v>
      </c>
      <c r="C118" s="16" t="s">
        <v>16</v>
      </c>
      <c r="D118" s="25" t="s">
        <v>1767</v>
      </c>
      <c r="E118" s="21" t="s">
        <v>1768</v>
      </c>
      <c r="F118" s="19" t="s">
        <v>55</v>
      </c>
      <c r="G118" s="19" t="s">
        <v>1734</v>
      </c>
      <c r="H118" s="24" t="s">
        <v>1741</v>
      </c>
      <c r="I118" s="40">
        <v>1404.48</v>
      </c>
      <c r="J118" s="16">
        <v>1404.48</v>
      </c>
      <c r="K118" s="16"/>
      <c r="L118" s="34">
        <v>45895</v>
      </c>
      <c r="M118" s="16"/>
      <c r="N118" s="34"/>
      <c r="O118" s="35"/>
      <c r="P118" s="16"/>
      <c r="Q118" s="46">
        <f t="shared" si="4"/>
        <v>1404.48</v>
      </c>
      <c r="R118" s="47">
        <f t="shared" si="3"/>
        <v>0</v>
      </c>
      <c r="S118" s="48"/>
    </row>
    <row r="119" s="1" customFormat="1" customHeight="1" spans="1:19">
      <c r="A119" s="14">
        <v>124</v>
      </c>
      <c r="B119" s="15">
        <v>45839</v>
      </c>
      <c r="C119" s="16" t="s">
        <v>16</v>
      </c>
      <c r="D119" s="25" t="s">
        <v>1767</v>
      </c>
      <c r="E119" s="18" t="s">
        <v>1768</v>
      </c>
      <c r="F119" s="26" t="s">
        <v>102</v>
      </c>
      <c r="G119" s="19" t="s">
        <v>1734</v>
      </c>
      <c r="H119" s="16" t="s">
        <v>1735</v>
      </c>
      <c r="I119" s="16">
        <v>18508.97</v>
      </c>
      <c r="J119" s="16">
        <v>18508.97</v>
      </c>
      <c r="K119" s="16"/>
      <c r="L119" s="34">
        <v>45888</v>
      </c>
      <c r="M119" s="16"/>
      <c r="N119" s="34"/>
      <c r="O119" s="35"/>
      <c r="P119" s="16"/>
      <c r="Q119" s="46">
        <f t="shared" si="4"/>
        <v>18508.97</v>
      </c>
      <c r="R119" s="47">
        <f t="shared" si="3"/>
        <v>0</v>
      </c>
      <c r="S119" s="48"/>
    </row>
    <row r="120" s="1" customFormat="1" customHeight="1" spans="1:19">
      <c r="A120" s="14">
        <v>125</v>
      </c>
      <c r="B120" s="15">
        <v>45839</v>
      </c>
      <c r="C120" s="16" t="s">
        <v>16</v>
      </c>
      <c r="D120" s="25" t="s">
        <v>1767</v>
      </c>
      <c r="E120" s="18" t="s">
        <v>1768</v>
      </c>
      <c r="F120" s="26" t="s">
        <v>102</v>
      </c>
      <c r="G120" s="19" t="s">
        <v>1734</v>
      </c>
      <c r="H120" s="16" t="s">
        <v>1741</v>
      </c>
      <c r="I120" s="16">
        <v>1191.68</v>
      </c>
      <c r="J120" s="16">
        <v>1191.68</v>
      </c>
      <c r="K120" s="16"/>
      <c r="L120" s="34">
        <v>45888</v>
      </c>
      <c r="M120" s="16"/>
      <c r="N120" s="34"/>
      <c r="O120" s="35"/>
      <c r="P120" s="16"/>
      <c r="Q120" s="46">
        <f t="shared" si="4"/>
        <v>1191.68</v>
      </c>
      <c r="R120" s="47">
        <f t="shared" si="3"/>
        <v>0</v>
      </c>
      <c r="S120" s="48"/>
    </row>
    <row r="121" s="1" customFormat="1" customHeight="1" spans="1:19">
      <c r="A121" s="14">
        <v>126</v>
      </c>
      <c r="B121" s="15">
        <v>45931</v>
      </c>
      <c r="C121" s="16" t="s">
        <v>16</v>
      </c>
      <c r="D121" s="25" t="s">
        <v>1767</v>
      </c>
      <c r="E121" s="18" t="s">
        <v>1768</v>
      </c>
      <c r="F121" s="26" t="s">
        <v>58</v>
      </c>
      <c r="G121" s="19" t="s">
        <v>1734</v>
      </c>
      <c r="H121" s="16" t="s">
        <v>1741</v>
      </c>
      <c r="I121" s="42">
        <v>595.84</v>
      </c>
      <c r="J121" s="16">
        <v>595.84</v>
      </c>
      <c r="K121" s="16"/>
      <c r="L121" s="34">
        <v>45980</v>
      </c>
      <c r="M121" s="34"/>
      <c r="N121" s="16"/>
      <c r="O121" s="35"/>
      <c r="P121" s="16"/>
      <c r="Q121" s="46">
        <f t="shared" si="4"/>
        <v>595.84</v>
      </c>
      <c r="R121" s="47">
        <f t="shared" si="3"/>
        <v>0</v>
      </c>
      <c r="S121" s="48"/>
    </row>
    <row r="122" s="1" customFormat="1" customHeight="1" spans="1:19">
      <c r="A122" s="14">
        <v>127</v>
      </c>
      <c r="B122" s="15">
        <v>45931</v>
      </c>
      <c r="C122" s="16" t="s">
        <v>16</v>
      </c>
      <c r="D122" s="25" t="s">
        <v>1767</v>
      </c>
      <c r="E122" s="18" t="s">
        <v>1768</v>
      </c>
      <c r="F122" s="19" t="s">
        <v>58</v>
      </c>
      <c r="G122" s="19" t="s">
        <v>1734</v>
      </c>
      <c r="H122" s="16" t="s">
        <v>1735</v>
      </c>
      <c r="I122" s="33">
        <v>17867.54</v>
      </c>
      <c r="J122" s="35">
        <v>17867.54</v>
      </c>
      <c r="K122" s="35"/>
      <c r="L122" s="34">
        <v>45980</v>
      </c>
      <c r="M122" s="16"/>
      <c r="N122" s="34"/>
      <c r="O122" s="16"/>
      <c r="P122" s="16"/>
      <c r="Q122" s="46">
        <f t="shared" si="4"/>
        <v>17867.54</v>
      </c>
      <c r="R122" s="47">
        <f t="shared" si="3"/>
        <v>0</v>
      </c>
      <c r="S122" s="48"/>
    </row>
    <row r="123" s="1" customFormat="1" customHeight="1" spans="1:19">
      <c r="A123" s="14">
        <v>128</v>
      </c>
      <c r="B123" s="20">
        <v>45962</v>
      </c>
      <c r="C123" s="16" t="s">
        <v>16</v>
      </c>
      <c r="D123" s="25" t="s">
        <v>1767</v>
      </c>
      <c r="E123" s="18" t="s">
        <v>1768</v>
      </c>
      <c r="F123" s="19" t="s">
        <v>60</v>
      </c>
      <c r="G123" s="19" t="s">
        <v>1734</v>
      </c>
      <c r="H123" s="16" t="s">
        <v>1741</v>
      </c>
      <c r="I123" s="33">
        <v>1757.12</v>
      </c>
      <c r="J123" s="35">
        <v>1757.12</v>
      </c>
      <c r="K123" s="35"/>
      <c r="L123" s="34">
        <v>45975</v>
      </c>
      <c r="M123" s="16"/>
      <c r="N123" s="34"/>
      <c r="O123" s="16"/>
      <c r="P123" s="34"/>
      <c r="Q123" s="46">
        <f t="shared" si="4"/>
        <v>1757.12</v>
      </c>
      <c r="R123" s="47">
        <f t="shared" si="3"/>
        <v>0</v>
      </c>
      <c r="S123" s="48"/>
    </row>
    <row r="124" s="1" customFormat="1" customHeight="1" spans="1:19">
      <c r="A124" s="14">
        <v>129</v>
      </c>
      <c r="B124" s="20">
        <v>45962</v>
      </c>
      <c r="C124" s="16" t="s">
        <v>16</v>
      </c>
      <c r="D124" s="25" t="s">
        <v>1767</v>
      </c>
      <c r="E124" s="18" t="s">
        <v>1768</v>
      </c>
      <c r="F124" s="19" t="s">
        <v>60</v>
      </c>
      <c r="G124" s="19" t="s">
        <v>1734</v>
      </c>
      <c r="H124" s="16" t="s">
        <v>1735</v>
      </c>
      <c r="I124" s="33">
        <v>17911.11</v>
      </c>
      <c r="J124" s="33">
        <v>17911.11</v>
      </c>
      <c r="K124" s="33"/>
      <c r="L124" s="34">
        <v>45975</v>
      </c>
      <c r="M124" s="16"/>
      <c r="N124" s="34"/>
      <c r="O124" s="16"/>
      <c r="P124" s="34"/>
      <c r="Q124" s="46">
        <f t="shared" si="4"/>
        <v>17911.11</v>
      </c>
      <c r="R124" s="47">
        <f t="shared" si="3"/>
        <v>0</v>
      </c>
      <c r="S124" s="48"/>
    </row>
    <row r="125" s="1" customFormat="1" customHeight="1" spans="1:20">
      <c r="A125" s="14">
        <v>130</v>
      </c>
      <c r="B125" s="15">
        <v>45931</v>
      </c>
      <c r="C125" s="16" t="s">
        <v>491</v>
      </c>
      <c r="D125" s="53" t="s">
        <v>1769</v>
      </c>
      <c r="E125" s="18" t="s">
        <v>494</v>
      </c>
      <c r="F125" s="19" t="s">
        <v>58</v>
      </c>
      <c r="G125" s="19" t="s">
        <v>1734</v>
      </c>
      <c r="H125" s="16" t="s">
        <v>1741</v>
      </c>
      <c r="I125" s="16">
        <v>54.72</v>
      </c>
      <c r="J125" s="16">
        <v>54.72</v>
      </c>
      <c r="K125" s="16"/>
      <c r="L125" s="34">
        <v>45953</v>
      </c>
      <c r="M125" s="16"/>
      <c r="N125" s="34"/>
      <c r="O125" s="35"/>
      <c r="P125" s="16"/>
      <c r="Q125" s="46">
        <f t="shared" si="4"/>
        <v>54.72</v>
      </c>
      <c r="R125" s="47">
        <f t="shared" si="3"/>
        <v>0</v>
      </c>
      <c r="S125" s="48"/>
      <c r="T125" s="9"/>
    </row>
    <row r="126" s="1" customFormat="1" customHeight="1" spans="1:20">
      <c r="A126" s="14">
        <v>131</v>
      </c>
      <c r="B126" s="15">
        <v>45901</v>
      </c>
      <c r="C126" s="16" t="s">
        <v>491</v>
      </c>
      <c r="D126" s="53" t="s">
        <v>1769</v>
      </c>
      <c r="E126" s="18" t="s">
        <v>494</v>
      </c>
      <c r="F126" s="19" t="s">
        <v>56</v>
      </c>
      <c r="G126" s="19" t="s">
        <v>1734</v>
      </c>
      <c r="H126" s="16" t="s">
        <v>1741</v>
      </c>
      <c r="I126" s="41">
        <v>109.44</v>
      </c>
      <c r="J126" s="16">
        <v>109.44</v>
      </c>
      <c r="K126" s="16"/>
      <c r="L126" s="34">
        <v>45953</v>
      </c>
      <c r="M126" s="16"/>
      <c r="N126" s="34"/>
      <c r="O126" s="35"/>
      <c r="P126" s="16"/>
      <c r="Q126" s="46">
        <f t="shared" si="4"/>
        <v>109.44</v>
      </c>
      <c r="R126" s="47">
        <f t="shared" si="3"/>
        <v>0</v>
      </c>
      <c r="S126" s="48"/>
      <c r="T126" s="9"/>
    </row>
    <row r="127" s="1" customFormat="1" customHeight="1" spans="1:19">
      <c r="A127" s="14">
        <v>132</v>
      </c>
      <c r="B127" s="20">
        <v>45870</v>
      </c>
      <c r="C127" s="16" t="s">
        <v>491</v>
      </c>
      <c r="D127" s="53" t="s">
        <v>1769</v>
      </c>
      <c r="E127" s="18" t="s">
        <v>494</v>
      </c>
      <c r="F127" s="19" t="s">
        <v>55</v>
      </c>
      <c r="G127" s="19" t="s">
        <v>1734</v>
      </c>
      <c r="H127" s="16" t="s">
        <v>1741</v>
      </c>
      <c r="I127" s="16">
        <v>75.66</v>
      </c>
      <c r="J127" s="16">
        <v>75.66</v>
      </c>
      <c r="K127" s="16"/>
      <c r="L127" s="34">
        <v>45898</v>
      </c>
      <c r="M127" s="16"/>
      <c r="N127" s="34"/>
      <c r="O127" s="35"/>
      <c r="P127" s="16"/>
      <c r="Q127" s="46">
        <f t="shared" si="4"/>
        <v>75.66</v>
      </c>
      <c r="R127" s="47">
        <f t="shared" si="3"/>
        <v>0</v>
      </c>
      <c r="S127" s="48"/>
    </row>
    <row r="128" s="1" customFormat="1" customHeight="1" spans="1:19">
      <c r="A128" s="14">
        <v>133</v>
      </c>
      <c r="B128" s="20">
        <v>45962</v>
      </c>
      <c r="C128" s="16" t="s">
        <v>491</v>
      </c>
      <c r="D128" s="53" t="s">
        <v>1769</v>
      </c>
      <c r="E128" s="18" t="s">
        <v>494</v>
      </c>
      <c r="F128" s="19" t="s">
        <v>60</v>
      </c>
      <c r="G128" s="19" t="s">
        <v>1734</v>
      </c>
      <c r="H128" s="16" t="s">
        <v>1741</v>
      </c>
      <c r="I128" s="33">
        <v>152</v>
      </c>
      <c r="J128" s="35">
        <v>152</v>
      </c>
      <c r="K128" s="35"/>
      <c r="L128" s="34">
        <v>46016</v>
      </c>
      <c r="M128" s="16"/>
      <c r="N128" s="34"/>
      <c r="O128" s="35"/>
      <c r="P128" s="34"/>
      <c r="Q128" s="46">
        <f t="shared" si="4"/>
        <v>152</v>
      </c>
      <c r="R128" s="47">
        <f t="shared" si="3"/>
        <v>0</v>
      </c>
      <c r="S128" s="48" t="s">
        <v>1770</v>
      </c>
    </row>
    <row r="129" s="1" customFormat="1" customHeight="1" spans="1:19">
      <c r="A129" s="14">
        <v>134</v>
      </c>
      <c r="B129" s="20">
        <v>45962</v>
      </c>
      <c r="C129" s="16"/>
      <c r="D129" s="17"/>
      <c r="E129" s="18" t="s">
        <v>1124</v>
      </c>
      <c r="F129" s="19" t="s">
        <v>60</v>
      </c>
      <c r="G129" s="19" t="s">
        <v>1734</v>
      </c>
      <c r="H129" s="16" t="s">
        <v>1741</v>
      </c>
      <c r="I129" s="33">
        <v>419.52</v>
      </c>
      <c r="J129" s="33">
        <v>419.52</v>
      </c>
      <c r="K129" s="33"/>
      <c r="L129" s="34">
        <v>45971</v>
      </c>
      <c r="M129" s="16"/>
      <c r="N129" s="34"/>
      <c r="O129" s="35"/>
      <c r="P129" s="34"/>
      <c r="Q129" s="46">
        <f t="shared" si="4"/>
        <v>419.52</v>
      </c>
      <c r="R129" s="47">
        <f t="shared" si="3"/>
        <v>0</v>
      </c>
      <c r="S129" s="48"/>
    </row>
    <row r="130" s="1" customFormat="1" customHeight="1" spans="1:19">
      <c r="A130" s="14">
        <v>135</v>
      </c>
      <c r="B130" s="20">
        <v>45870</v>
      </c>
      <c r="C130" s="16" t="s">
        <v>816</v>
      </c>
      <c r="D130" s="17" t="s">
        <v>1771</v>
      </c>
      <c r="E130" s="18" t="s">
        <v>819</v>
      </c>
      <c r="F130" s="19" t="s">
        <v>55</v>
      </c>
      <c r="G130" s="19" t="s">
        <v>1734</v>
      </c>
      <c r="H130" s="16" t="s">
        <v>1741</v>
      </c>
      <c r="I130" s="16">
        <v>1216</v>
      </c>
      <c r="J130" s="16">
        <v>1216</v>
      </c>
      <c r="K130" s="16"/>
      <c r="L130" s="34">
        <v>46053</v>
      </c>
      <c r="M130" s="16"/>
      <c r="N130" s="34"/>
      <c r="O130" s="35"/>
      <c r="P130" s="16"/>
      <c r="Q130" s="46">
        <f t="shared" si="4"/>
        <v>1216</v>
      </c>
      <c r="R130" s="47">
        <f t="shared" si="3"/>
        <v>0</v>
      </c>
      <c r="S130" s="48"/>
    </row>
    <row r="131" s="1" customFormat="1" customHeight="1" spans="1:19">
      <c r="A131" s="14">
        <v>136</v>
      </c>
      <c r="B131" s="20">
        <v>45870</v>
      </c>
      <c r="C131" s="16" t="s">
        <v>816</v>
      </c>
      <c r="D131" s="17" t="s">
        <v>1771</v>
      </c>
      <c r="E131" s="18" t="s">
        <v>819</v>
      </c>
      <c r="F131" s="19" t="s">
        <v>55</v>
      </c>
      <c r="G131" s="19" t="s">
        <v>1734</v>
      </c>
      <c r="H131" s="16" t="s">
        <v>1735</v>
      </c>
      <c r="I131" s="16">
        <v>162.49</v>
      </c>
      <c r="J131" s="16">
        <v>162.49</v>
      </c>
      <c r="K131" s="16"/>
      <c r="L131" s="34">
        <v>46053</v>
      </c>
      <c r="M131" s="16"/>
      <c r="N131" s="34"/>
      <c r="O131" s="16"/>
      <c r="P131" s="16"/>
      <c r="Q131" s="46">
        <f t="shared" si="4"/>
        <v>162.49</v>
      </c>
      <c r="R131" s="47">
        <f t="shared" ref="R131:R194" si="5">I131-Q131</f>
        <v>0</v>
      </c>
      <c r="S131" s="48"/>
    </row>
    <row r="132" s="1" customFormat="1" customHeight="1" spans="1:19">
      <c r="A132" s="14">
        <v>137</v>
      </c>
      <c r="B132" s="15">
        <v>45839</v>
      </c>
      <c r="C132" s="16" t="s">
        <v>816</v>
      </c>
      <c r="D132" s="17" t="s">
        <v>1771</v>
      </c>
      <c r="E132" s="18" t="s">
        <v>819</v>
      </c>
      <c r="F132" s="26" t="s">
        <v>102</v>
      </c>
      <c r="G132" s="19" t="s">
        <v>1734</v>
      </c>
      <c r="H132" s="16" t="s">
        <v>1735</v>
      </c>
      <c r="I132" s="16">
        <v>131.08</v>
      </c>
      <c r="J132" s="16">
        <v>131.08</v>
      </c>
      <c r="K132" s="16"/>
      <c r="L132" s="34">
        <v>46053</v>
      </c>
      <c r="M132" s="16"/>
      <c r="N132" s="34"/>
      <c r="O132" s="16"/>
      <c r="P132" s="16"/>
      <c r="Q132" s="46">
        <f t="shared" si="4"/>
        <v>131.08</v>
      </c>
      <c r="R132" s="47">
        <f t="shared" si="5"/>
        <v>0</v>
      </c>
      <c r="S132" s="48"/>
    </row>
    <row r="133" s="1" customFormat="1" customHeight="1" spans="1:19">
      <c r="A133" s="14">
        <v>138</v>
      </c>
      <c r="B133" s="15">
        <v>45901</v>
      </c>
      <c r="C133" s="16" t="s">
        <v>816</v>
      </c>
      <c r="D133" s="25" t="s">
        <v>1771</v>
      </c>
      <c r="E133" s="21" t="s">
        <v>819</v>
      </c>
      <c r="F133" s="19" t="s">
        <v>56</v>
      </c>
      <c r="G133" s="19" t="s">
        <v>1734</v>
      </c>
      <c r="H133" s="16" t="s">
        <v>1741</v>
      </c>
      <c r="I133" s="41">
        <v>711.36</v>
      </c>
      <c r="J133" s="16">
        <v>711.36</v>
      </c>
      <c r="K133" s="16"/>
      <c r="L133" s="34">
        <v>46053</v>
      </c>
      <c r="M133" s="16"/>
      <c r="N133" s="34"/>
      <c r="O133" s="16"/>
      <c r="P133" s="16"/>
      <c r="Q133" s="46">
        <f t="shared" si="4"/>
        <v>711.36</v>
      </c>
      <c r="R133" s="47">
        <f t="shared" si="5"/>
        <v>0</v>
      </c>
      <c r="S133" s="48"/>
    </row>
    <row r="134" s="1" customFormat="1" customHeight="1" spans="1:19">
      <c r="A134" s="14">
        <v>139</v>
      </c>
      <c r="B134" s="15">
        <v>45901</v>
      </c>
      <c r="C134" s="16" t="s">
        <v>816</v>
      </c>
      <c r="D134" s="25" t="s">
        <v>1772</v>
      </c>
      <c r="E134" s="21" t="s">
        <v>819</v>
      </c>
      <c r="F134" s="19" t="s">
        <v>56</v>
      </c>
      <c r="G134" s="19" t="s">
        <v>1734</v>
      </c>
      <c r="H134" s="16" t="s">
        <v>1735</v>
      </c>
      <c r="I134" s="33">
        <v>224.94</v>
      </c>
      <c r="J134" s="16">
        <v>224.94</v>
      </c>
      <c r="K134" s="16"/>
      <c r="L134" s="34">
        <v>46053</v>
      </c>
      <c r="M134" s="16"/>
      <c r="N134" s="34"/>
      <c r="O134" s="35"/>
      <c r="P134" s="16"/>
      <c r="Q134" s="46">
        <f t="shared" si="4"/>
        <v>224.94</v>
      </c>
      <c r="R134" s="47">
        <f t="shared" si="5"/>
        <v>0</v>
      </c>
      <c r="S134" s="48"/>
    </row>
    <row r="135" s="1" customFormat="1" customHeight="1" spans="1:19">
      <c r="A135" s="14">
        <v>140</v>
      </c>
      <c r="B135" s="15">
        <v>45931</v>
      </c>
      <c r="C135" s="16" t="s">
        <v>816</v>
      </c>
      <c r="D135" s="25" t="s">
        <v>1771</v>
      </c>
      <c r="E135" s="18" t="s">
        <v>819</v>
      </c>
      <c r="F135" s="19" t="s">
        <v>58</v>
      </c>
      <c r="G135" s="19" t="s">
        <v>1734</v>
      </c>
      <c r="H135" s="16" t="s">
        <v>1741</v>
      </c>
      <c r="I135" s="33">
        <v>717.44</v>
      </c>
      <c r="J135" s="35">
        <v>717.44</v>
      </c>
      <c r="K135" s="35"/>
      <c r="L135" s="34">
        <v>46053</v>
      </c>
      <c r="M135" s="16"/>
      <c r="N135" s="34"/>
      <c r="O135" s="35"/>
      <c r="P135" s="16"/>
      <c r="Q135" s="46">
        <f t="shared" si="4"/>
        <v>717.44</v>
      </c>
      <c r="R135" s="47">
        <f t="shared" si="5"/>
        <v>0</v>
      </c>
      <c r="S135" s="48"/>
    </row>
    <row r="136" s="1" customFormat="1" customHeight="1" spans="1:19">
      <c r="A136" s="14">
        <v>141</v>
      </c>
      <c r="B136" s="15">
        <v>45931</v>
      </c>
      <c r="C136" s="16" t="s">
        <v>816</v>
      </c>
      <c r="D136" s="17" t="s">
        <v>1772</v>
      </c>
      <c r="E136" s="17" t="s">
        <v>819</v>
      </c>
      <c r="F136" s="19" t="s">
        <v>58</v>
      </c>
      <c r="G136" s="19" t="s">
        <v>1734</v>
      </c>
      <c r="H136" s="16" t="s">
        <v>1735</v>
      </c>
      <c r="I136" s="33">
        <v>341.71</v>
      </c>
      <c r="J136" s="35">
        <v>341.71</v>
      </c>
      <c r="K136" s="35"/>
      <c r="L136" s="34">
        <v>46053</v>
      </c>
      <c r="M136" s="16"/>
      <c r="N136" s="34"/>
      <c r="O136" s="35"/>
      <c r="P136" s="16"/>
      <c r="Q136" s="46">
        <f t="shared" si="4"/>
        <v>341.71</v>
      </c>
      <c r="R136" s="47">
        <f t="shared" si="5"/>
        <v>0</v>
      </c>
      <c r="S136" s="48"/>
    </row>
    <row r="137" s="1" customFormat="1" customHeight="1" spans="1:19">
      <c r="A137" s="14">
        <v>142</v>
      </c>
      <c r="B137" s="20">
        <v>45962</v>
      </c>
      <c r="C137" s="16" t="s">
        <v>816</v>
      </c>
      <c r="D137" s="25" t="s">
        <v>1771</v>
      </c>
      <c r="E137" s="18" t="s">
        <v>819</v>
      </c>
      <c r="F137" s="19" t="s">
        <v>60</v>
      </c>
      <c r="G137" s="19" t="s">
        <v>1734</v>
      </c>
      <c r="H137" s="16" t="s">
        <v>1741</v>
      </c>
      <c r="I137" s="33">
        <v>839.04</v>
      </c>
      <c r="J137" s="35">
        <v>839.04</v>
      </c>
      <c r="K137" s="35"/>
      <c r="L137" s="34">
        <v>46053</v>
      </c>
      <c r="M137" s="16"/>
      <c r="N137" s="34"/>
      <c r="O137" s="35"/>
      <c r="P137" s="34"/>
      <c r="Q137" s="46">
        <f t="shared" si="4"/>
        <v>839.04</v>
      </c>
      <c r="R137" s="47">
        <f t="shared" si="5"/>
        <v>0</v>
      </c>
      <c r="S137" s="48"/>
    </row>
    <row r="138" s="1" customFormat="1" customHeight="1" spans="1:19">
      <c r="A138" s="14">
        <v>143</v>
      </c>
      <c r="B138" s="20">
        <v>45962</v>
      </c>
      <c r="C138" s="16" t="s">
        <v>816</v>
      </c>
      <c r="D138" s="17" t="s">
        <v>1772</v>
      </c>
      <c r="E138" s="18" t="s">
        <v>819</v>
      </c>
      <c r="F138" s="19" t="s">
        <v>60</v>
      </c>
      <c r="G138" s="19" t="s">
        <v>1734</v>
      </c>
      <c r="H138" s="16" t="s">
        <v>1735</v>
      </c>
      <c r="I138" s="33">
        <v>471.56</v>
      </c>
      <c r="J138" s="35">
        <v>471.56</v>
      </c>
      <c r="K138" s="35"/>
      <c r="L138" s="34">
        <v>46053</v>
      </c>
      <c r="M138" s="16"/>
      <c r="N138" s="34"/>
      <c r="O138" s="16"/>
      <c r="P138" s="34"/>
      <c r="Q138" s="46">
        <f t="shared" si="4"/>
        <v>471.56</v>
      </c>
      <c r="R138" s="47">
        <f t="shared" si="5"/>
        <v>0</v>
      </c>
      <c r="S138" s="48"/>
    </row>
    <row r="139" s="1" customFormat="1" customHeight="1" spans="1:19">
      <c r="A139" s="14">
        <v>144</v>
      </c>
      <c r="B139" s="20">
        <v>45870</v>
      </c>
      <c r="C139" s="16" t="s">
        <v>679</v>
      </c>
      <c r="D139" s="17">
        <v>5005</v>
      </c>
      <c r="E139" s="18" t="s">
        <v>702</v>
      </c>
      <c r="F139" s="19" t="s">
        <v>55</v>
      </c>
      <c r="G139" s="19" t="s">
        <v>1734</v>
      </c>
      <c r="H139" s="16" t="s">
        <v>1741</v>
      </c>
      <c r="I139" s="16">
        <v>176.32</v>
      </c>
      <c r="J139" s="16">
        <v>176.32</v>
      </c>
      <c r="K139" s="16"/>
      <c r="L139" s="34">
        <v>45862</v>
      </c>
      <c r="M139" s="16"/>
      <c r="N139" s="34"/>
      <c r="O139" s="16"/>
      <c r="P139" s="16"/>
      <c r="Q139" s="46">
        <f t="shared" si="4"/>
        <v>176.32</v>
      </c>
      <c r="R139" s="47">
        <f t="shared" si="5"/>
        <v>0</v>
      </c>
      <c r="S139" s="48"/>
    </row>
    <row r="140" s="1" customFormat="1" customHeight="1" spans="1:19">
      <c r="A140" s="14">
        <v>145</v>
      </c>
      <c r="B140" s="15">
        <v>45839</v>
      </c>
      <c r="C140" s="16" t="s">
        <v>679</v>
      </c>
      <c r="D140" s="17">
        <v>5005</v>
      </c>
      <c r="E140" s="18" t="s">
        <v>702</v>
      </c>
      <c r="F140" s="26" t="s">
        <v>102</v>
      </c>
      <c r="G140" s="19" t="s">
        <v>1734</v>
      </c>
      <c r="H140" s="16" t="s">
        <v>1741</v>
      </c>
      <c r="I140" s="16">
        <v>25.22</v>
      </c>
      <c r="J140" s="16">
        <v>25.22</v>
      </c>
      <c r="K140" s="16"/>
      <c r="L140" s="34">
        <v>45862</v>
      </c>
      <c r="M140" s="16"/>
      <c r="N140" s="34"/>
      <c r="O140" s="16"/>
      <c r="P140" s="16"/>
      <c r="Q140" s="46">
        <f t="shared" si="4"/>
        <v>25.22</v>
      </c>
      <c r="R140" s="47">
        <f t="shared" si="5"/>
        <v>0</v>
      </c>
      <c r="S140" s="48"/>
    </row>
    <row r="141" s="1" customFormat="1" customHeight="1" spans="1:19">
      <c r="A141" s="14">
        <v>146</v>
      </c>
      <c r="B141" s="15">
        <v>45901</v>
      </c>
      <c r="C141" s="16" t="s">
        <v>679</v>
      </c>
      <c r="D141" s="17">
        <v>5005</v>
      </c>
      <c r="E141" s="18" t="s">
        <v>702</v>
      </c>
      <c r="F141" s="19" t="s">
        <v>56</v>
      </c>
      <c r="G141" s="19" t="s">
        <v>1734</v>
      </c>
      <c r="H141" s="16" t="s">
        <v>1741</v>
      </c>
      <c r="I141" s="41">
        <v>133.76</v>
      </c>
      <c r="J141" s="16">
        <v>133.76</v>
      </c>
      <c r="K141" s="16"/>
      <c r="L141" s="34">
        <v>45921</v>
      </c>
      <c r="M141" s="16"/>
      <c r="N141" s="34"/>
      <c r="O141" s="35"/>
      <c r="P141" s="16"/>
      <c r="Q141" s="46">
        <f t="shared" si="4"/>
        <v>133.76</v>
      </c>
      <c r="R141" s="47">
        <f t="shared" si="5"/>
        <v>0</v>
      </c>
      <c r="S141" s="48"/>
    </row>
    <row r="142" s="1" customFormat="1" customHeight="1" spans="1:19">
      <c r="A142" s="14">
        <v>147</v>
      </c>
      <c r="B142" s="15">
        <v>45931</v>
      </c>
      <c r="C142" s="16" t="s">
        <v>679</v>
      </c>
      <c r="D142" s="17">
        <v>5005</v>
      </c>
      <c r="E142" s="18" t="s">
        <v>702</v>
      </c>
      <c r="F142" s="19" t="s">
        <v>58</v>
      </c>
      <c r="G142" s="19" t="s">
        <v>1734</v>
      </c>
      <c r="H142" s="16" t="s">
        <v>1741</v>
      </c>
      <c r="I142" s="41">
        <v>97.28</v>
      </c>
      <c r="J142" s="41">
        <v>97.28</v>
      </c>
      <c r="K142" s="41"/>
      <c r="L142" s="34">
        <v>45971</v>
      </c>
      <c r="M142" s="16"/>
      <c r="N142" s="34"/>
      <c r="O142" s="35"/>
      <c r="P142" s="16"/>
      <c r="Q142" s="46">
        <f t="shared" si="4"/>
        <v>97.28</v>
      </c>
      <c r="R142" s="47">
        <f t="shared" si="5"/>
        <v>0</v>
      </c>
      <c r="S142" s="48"/>
    </row>
    <row r="143" s="1" customFormat="1" customHeight="1" spans="1:19">
      <c r="A143" s="14">
        <v>148</v>
      </c>
      <c r="B143" s="20">
        <v>45962</v>
      </c>
      <c r="C143" s="16" t="s">
        <v>679</v>
      </c>
      <c r="D143" s="17">
        <v>5005</v>
      </c>
      <c r="E143" s="18" t="s">
        <v>702</v>
      </c>
      <c r="F143" s="19" t="s">
        <v>60</v>
      </c>
      <c r="G143" s="19" t="s">
        <v>1734</v>
      </c>
      <c r="H143" s="16" t="s">
        <v>1741</v>
      </c>
      <c r="I143" s="33">
        <v>103.36</v>
      </c>
      <c r="J143" s="33">
        <v>103.36</v>
      </c>
      <c r="K143" s="33"/>
      <c r="L143" s="34">
        <v>45971</v>
      </c>
      <c r="M143" s="16"/>
      <c r="N143" s="34"/>
      <c r="O143" s="35"/>
      <c r="P143" s="34"/>
      <c r="Q143" s="46">
        <f t="shared" si="4"/>
        <v>103.36</v>
      </c>
      <c r="R143" s="47">
        <f t="shared" si="5"/>
        <v>0</v>
      </c>
      <c r="S143" s="48"/>
    </row>
    <row r="144" s="1" customFormat="1" customHeight="1" spans="1:19">
      <c r="A144" s="14">
        <v>149</v>
      </c>
      <c r="B144" s="20">
        <v>45962</v>
      </c>
      <c r="C144" s="16"/>
      <c r="D144" s="17"/>
      <c r="E144" s="18" t="s">
        <v>1773</v>
      </c>
      <c r="F144" s="19" t="s">
        <v>60</v>
      </c>
      <c r="G144" s="19" t="s">
        <v>1734</v>
      </c>
      <c r="H144" s="16" t="s">
        <v>1735</v>
      </c>
      <c r="I144" s="33">
        <v>34</v>
      </c>
      <c r="J144" s="33">
        <v>34</v>
      </c>
      <c r="K144" s="35"/>
      <c r="L144" s="34">
        <v>45980</v>
      </c>
      <c r="M144" s="16"/>
      <c r="N144" s="34"/>
      <c r="O144" s="35"/>
      <c r="P144" s="34"/>
      <c r="Q144" s="46">
        <f t="shared" si="4"/>
        <v>34</v>
      </c>
      <c r="R144" s="47">
        <f t="shared" si="5"/>
        <v>0</v>
      </c>
      <c r="S144" s="48" t="s">
        <v>1737</v>
      </c>
    </row>
    <row r="145" s="1" customFormat="1" customHeight="1" spans="1:19">
      <c r="A145" s="14">
        <v>150</v>
      </c>
      <c r="B145" s="20">
        <v>45962</v>
      </c>
      <c r="C145" s="16"/>
      <c r="D145" s="17"/>
      <c r="E145" s="23" t="s">
        <v>1774</v>
      </c>
      <c r="F145" s="19" t="s">
        <v>60</v>
      </c>
      <c r="G145" s="19" t="s">
        <v>1734</v>
      </c>
      <c r="H145" s="16" t="s">
        <v>1735</v>
      </c>
      <c r="I145" s="33">
        <v>8</v>
      </c>
      <c r="J145" s="33">
        <v>8</v>
      </c>
      <c r="K145" s="35"/>
      <c r="L145" s="34">
        <v>45980</v>
      </c>
      <c r="M145" s="16"/>
      <c r="N145" s="34"/>
      <c r="O145" s="16"/>
      <c r="P145" s="34"/>
      <c r="Q145" s="46">
        <f t="shared" si="4"/>
        <v>8</v>
      </c>
      <c r="R145" s="47">
        <f t="shared" si="5"/>
        <v>0</v>
      </c>
      <c r="S145" s="48" t="s">
        <v>1737</v>
      </c>
    </row>
    <row r="146" s="1" customFormat="1" customHeight="1" spans="1:19">
      <c r="A146" s="14">
        <v>151</v>
      </c>
      <c r="B146" s="15">
        <v>45839</v>
      </c>
      <c r="C146" s="16" t="s">
        <v>679</v>
      </c>
      <c r="D146" s="17" t="s">
        <v>1775</v>
      </c>
      <c r="E146" s="18" t="s">
        <v>1776</v>
      </c>
      <c r="F146" s="26" t="s">
        <v>1777</v>
      </c>
      <c r="G146" s="19" t="s">
        <v>1734</v>
      </c>
      <c r="H146" s="16" t="s">
        <v>1735</v>
      </c>
      <c r="I146" s="16">
        <v>2500</v>
      </c>
      <c r="J146" s="16">
        <v>2500</v>
      </c>
      <c r="K146" s="16"/>
      <c r="L146" s="34">
        <v>45885</v>
      </c>
      <c r="M146" s="16"/>
      <c r="N146" s="34"/>
      <c r="O146" s="16"/>
      <c r="P146" s="16"/>
      <c r="Q146" s="46">
        <f t="shared" si="4"/>
        <v>2500</v>
      </c>
      <c r="R146" s="47">
        <f t="shared" si="5"/>
        <v>0</v>
      </c>
      <c r="S146" s="48"/>
    </row>
    <row r="147" s="1" customFormat="1" customHeight="1" spans="1:19">
      <c r="A147" s="14">
        <v>152</v>
      </c>
      <c r="B147" s="20">
        <v>45870</v>
      </c>
      <c r="C147" s="16" t="s">
        <v>1748</v>
      </c>
      <c r="D147" s="17" t="s">
        <v>1778</v>
      </c>
      <c r="E147" s="18" t="s">
        <v>1779</v>
      </c>
      <c r="F147" s="19" t="s">
        <v>55</v>
      </c>
      <c r="G147" s="19" t="s">
        <v>1734</v>
      </c>
      <c r="H147" s="16" t="s">
        <v>1735</v>
      </c>
      <c r="I147" s="35">
        <v>195.19</v>
      </c>
      <c r="J147" s="16">
        <v>195.19</v>
      </c>
      <c r="K147" s="16"/>
      <c r="L147" s="34">
        <v>45890</v>
      </c>
      <c r="M147" s="16"/>
      <c r="N147" s="34"/>
      <c r="O147" s="16"/>
      <c r="P147" s="16"/>
      <c r="Q147" s="46">
        <f t="shared" si="4"/>
        <v>195.19</v>
      </c>
      <c r="R147" s="47">
        <f t="shared" si="5"/>
        <v>0</v>
      </c>
      <c r="S147" s="48"/>
    </row>
    <row r="148" s="1" customFormat="1" customHeight="1" spans="1:19">
      <c r="A148" s="14">
        <v>153</v>
      </c>
      <c r="B148" s="15">
        <v>45839</v>
      </c>
      <c r="C148" s="16" t="s">
        <v>1748</v>
      </c>
      <c r="D148" s="17" t="s">
        <v>1778</v>
      </c>
      <c r="E148" s="18" t="s">
        <v>1779</v>
      </c>
      <c r="F148" s="26" t="s">
        <v>102</v>
      </c>
      <c r="G148" s="19" t="s">
        <v>1734</v>
      </c>
      <c r="H148" s="16" t="s">
        <v>1735</v>
      </c>
      <c r="I148" s="16">
        <v>179.72</v>
      </c>
      <c r="J148" s="16">
        <v>179.72</v>
      </c>
      <c r="K148" s="16"/>
      <c r="L148" s="34">
        <v>45890</v>
      </c>
      <c r="M148" s="16"/>
      <c r="N148" s="34"/>
      <c r="O148" s="35"/>
      <c r="P148" s="16"/>
      <c r="Q148" s="46">
        <f t="shared" si="4"/>
        <v>179.72</v>
      </c>
      <c r="R148" s="47">
        <f t="shared" si="5"/>
        <v>0</v>
      </c>
      <c r="S148" s="48"/>
    </row>
    <row r="149" s="1" customFormat="1" customHeight="1" spans="1:19">
      <c r="A149" s="14">
        <v>154</v>
      </c>
      <c r="B149" s="15">
        <v>45901</v>
      </c>
      <c r="C149" s="16" t="s">
        <v>1748</v>
      </c>
      <c r="D149" s="17" t="s">
        <v>1778</v>
      </c>
      <c r="E149" s="18" t="s">
        <v>1779</v>
      </c>
      <c r="F149" s="19" t="s">
        <v>56</v>
      </c>
      <c r="G149" s="19" t="s">
        <v>1734</v>
      </c>
      <c r="H149" s="16" t="s">
        <v>1735</v>
      </c>
      <c r="I149" s="33">
        <v>185.9</v>
      </c>
      <c r="J149" s="16">
        <v>185.9</v>
      </c>
      <c r="K149" s="16"/>
      <c r="L149" s="34">
        <v>45921</v>
      </c>
      <c r="M149" s="16"/>
      <c r="N149" s="34"/>
      <c r="O149" s="35"/>
      <c r="P149" s="16"/>
      <c r="Q149" s="46">
        <f t="shared" ref="Q149:Q212" si="6">J149+M149+O149</f>
        <v>185.9</v>
      </c>
      <c r="R149" s="47">
        <f t="shared" si="5"/>
        <v>0</v>
      </c>
      <c r="S149" s="48"/>
    </row>
    <row r="150" s="1" customFormat="1" customHeight="1" spans="1:19">
      <c r="A150" s="14">
        <v>155</v>
      </c>
      <c r="B150" s="20">
        <v>45962</v>
      </c>
      <c r="C150" s="16"/>
      <c r="D150" s="17" t="s">
        <v>881</v>
      </c>
      <c r="E150" s="18" t="s">
        <v>1780</v>
      </c>
      <c r="F150" s="19" t="s">
        <v>60</v>
      </c>
      <c r="G150" s="19" t="s">
        <v>1734</v>
      </c>
      <c r="H150" s="16" t="s">
        <v>1735</v>
      </c>
      <c r="I150" s="33">
        <v>1082.03</v>
      </c>
      <c r="J150" s="35">
        <v>1082.03</v>
      </c>
      <c r="K150" s="35"/>
      <c r="L150" s="34">
        <v>45974</v>
      </c>
      <c r="M150" s="16"/>
      <c r="N150" s="34"/>
      <c r="O150" s="16"/>
      <c r="P150" s="34"/>
      <c r="Q150" s="46">
        <f t="shared" si="6"/>
        <v>1082.03</v>
      </c>
      <c r="R150" s="47">
        <f t="shared" si="5"/>
        <v>0</v>
      </c>
      <c r="S150" s="48"/>
    </row>
    <row r="151" s="1" customFormat="1" customHeight="1" spans="1:19">
      <c r="A151" s="14">
        <v>156</v>
      </c>
      <c r="B151" s="20">
        <v>45962</v>
      </c>
      <c r="C151" s="57" t="s">
        <v>16</v>
      </c>
      <c r="D151" s="58" t="s">
        <v>1781</v>
      </c>
      <c r="E151" s="18" t="s">
        <v>1782</v>
      </c>
      <c r="F151" s="19" t="s">
        <v>60</v>
      </c>
      <c r="G151" s="19" t="s">
        <v>1734</v>
      </c>
      <c r="H151" s="16" t="s">
        <v>1741</v>
      </c>
      <c r="I151" s="33">
        <v>10.08</v>
      </c>
      <c r="J151" s="35">
        <v>10.08</v>
      </c>
      <c r="K151" s="35"/>
      <c r="L151" s="34">
        <v>45999</v>
      </c>
      <c r="M151" s="16"/>
      <c r="N151" s="34"/>
      <c r="O151" s="16"/>
      <c r="P151" s="34"/>
      <c r="Q151" s="46">
        <f t="shared" si="6"/>
        <v>10.08</v>
      </c>
      <c r="R151" s="47">
        <f t="shared" si="5"/>
        <v>0</v>
      </c>
      <c r="S151" s="48"/>
    </row>
    <row r="152" s="1" customFormat="1" customHeight="1" spans="1:19">
      <c r="A152" s="14">
        <v>157</v>
      </c>
      <c r="B152" s="15">
        <v>45839</v>
      </c>
      <c r="C152" s="24" t="s">
        <v>16</v>
      </c>
      <c r="D152" s="17">
        <v>1059</v>
      </c>
      <c r="E152" s="18" t="s">
        <v>281</v>
      </c>
      <c r="F152" s="26" t="s">
        <v>102</v>
      </c>
      <c r="G152" s="19" t="s">
        <v>1734</v>
      </c>
      <c r="H152" s="16" t="s">
        <v>1735</v>
      </c>
      <c r="I152" s="16">
        <v>1.37</v>
      </c>
      <c r="J152" s="16">
        <v>1.37</v>
      </c>
      <c r="K152" s="16"/>
      <c r="L152" s="34">
        <v>45889</v>
      </c>
      <c r="M152" s="16"/>
      <c r="N152" s="34"/>
      <c r="O152" s="16"/>
      <c r="P152" s="16"/>
      <c r="Q152" s="46">
        <f t="shared" si="6"/>
        <v>1.37</v>
      </c>
      <c r="R152" s="47">
        <f t="shared" si="5"/>
        <v>0</v>
      </c>
      <c r="S152" s="48"/>
    </row>
    <row r="153" s="1" customFormat="1" customHeight="1" spans="1:19">
      <c r="A153" s="14">
        <v>158</v>
      </c>
      <c r="B153" s="15">
        <v>45901</v>
      </c>
      <c r="C153" s="16" t="s">
        <v>1783</v>
      </c>
      <c r="D153" s="21" t="s">
        <v>925</v>
      </c>
      <c r="E153" s="21" t="s">
        <v>1784</v>
      </c>
      <c r="F153" s="19" t="s">
        <v>56</v>
      </c>
      <c r="G153" s="19" t="s">
        <v>1734</v>
      </c>
      <c r="H153" s="16" t="s">
        <v>1735</v>
      </c>
      <c r="I153" s="33">
        <v>0</v>
      </c>
      <c r="J153" s="35"/>
      <c r="K153" s="35"/>
      <c r="L153" s="35"/>
      <c r="M153" s="35"/>
      <c r="N153" s="35"/>
      <c r="O153" s="35"/>
      <c r="P153" s="16"/>
      <c r="Q153" s="46">
        <f t="shared" si="6"/>
        <v>0</v>
      </c>
      <c r="R153" s="47">
        <f t="shared" si="5"/>
        <v>0</v>
      </c>
      <c r="S153" s="48"/>
    </row>
    <row r="154" s="1" customFormat="1" customHeight="1" spans="1:19">
      <c r="A154" s="14">
        <v>159</v>
      </c>
      <c r="B154" s="15">
        <v>45839</v>
      </c>
      <c r="C154" s="16" t="s">
        <v>1783</v>
      </c>
      <c r="D154" s="18" t="s">
        <v>925</v>
      </c>
      <c r="E154" s="18" t="s">
        <v>1784</v>
      </c>
      <c r="F154" s="26" t="s">
        <v>102</v>
      </c>
      <c r="G154" s="19" t="s">
        <v>1734</v>
      </c>
      <c r="H154" s="16" t="s">
        <v>1735</v>
      </c>
      <c r="I154" s="16">
        <v>26.45</v>
      </c>
      <c r="J154" s="16">
        <v>26.45</v>
      </c>
      <c r="K154" s="16"/>
      <c r="L154" s="34">
        <v>45875</v>
      </c>
      <c r="M154" s="16"/>
      <c r="N154" s="34"/>
      <c r="O154" s="35"/>
      <c r="P154" s="16"/>
      <c r="Q154" s="46">
        <f t="shared" si="6"/>
        <v>26.45</v>
      </c>
      <c r="R154" s="47">
        <f t="shared" si="5"/>
        <v>0</v>
      </c>
      <c r="S154" s="48"/>
    </row>
    <row r="155" s="1" customFormat="1" customHeight="1" spans="1:19">
      <c r="A155" s="14">
        <v>160</v>
      </c>
      <c r="B155" s="15">
        <v>45931</v>
      </c>
      <c r="C155" s="16" t="s">
        <v>1783</v>
      </c>
      <c r="D155" s="21" t="s">
        <v>925</v>
      </c>
      <c r="E155" s="18" t="s">
        <v>1784</v>
      </c>
      <c r="F155" s="19" t="s">
        <v>1785</v>
      </c>
      <c r="G155" s="19" t="s">
        <v>1734</v>
      </c>
      <c r="H155" s="16" t="s">
        <v>1735</v>
      </c>
      <c r="I155" s="35">
        <v>0</v>
      </c>
      <c r="J155" s="16"/>
      <c r="K155" s="16"/>
      <c r="L155" s="34"/>
      <c r="M155" s="16"/>
      <c r="N155" s="34"/>
      <c r="O155" s="35"/>
      <c r="P155" s="16"/>
      <c r="Q155" s="46">
        <f t="shared" si="6"/>
        <v>0</v>
      </c>
      <c r="R155" s="47">
        <f t="shared" si="5"/>
        <v>0</v>
      </c>
      <c r="S155" s="48"/>
    </row>
    <row r="156" s="1" customFormat="1" customHeight="1" spans="1:19">
      <c r="A156" s="14">
        <v>161</v>
      </c>
      <c r="B156" s="20">
        <v>45870</v>
      </c>
      <c r="C156" s="16" t="s">
        <v>1783</v>
      </c>
      <c r="D156" s="17" t="s">
        <v>1786</v>
      </c>
      <c r="E156" s="18" t="s">
        <v>1787</v>
      </c>
      <c r="F156" s="19" t="s">
        <v>55</v>
      </c>
      <c r="G156" s="19" t="s">
        <v>1734</v>
      </c>
      <c r="H156" s="16" t="s">
        <v>1735</v>
      </c>
      <c r="I156" s="16">
        <v>17.83</v>
      </c>
      <c r="J156" s="16">
        <v>17.83</v>
      </c>
      <c r="K156" s="16"/>
      <c r="L156" s="34">
        <v>45897</v>
      </c>
      <c r="M156" s="16"/>
      <c r="N156" s="34"/>
      <c r="O156" s="35"/>
      <c r="P156" s="16"/>
      <c r="Q156" s="46">
        <f t="shared" si="6"/>
        <v>17.83</v>
      </c>
      <c r="R156" s="47">
        <f t="shared" si="5"/>
        <v>0</v>
      </c>
      <c r="S156" s="48"/>
    </row>
    <row r="157" s="1" customFormat="1" customHeight="1" spans="1:19">
      <c r="A157" s="14">
        <v>162</v>
      </c>
      <c r="B157" s="20">
        <v>45870</v>
      </c>
      <c r="C157" s="16" t="s">
        <v>1783</v>
      </c>
      <c r="D157" s="17" t="s">
        <v>1788</v>
      </c>
      <c r="E157" s="18" t="s">
        <v>1789</v>
      </c>
      <c r="F157" s="19" t="s">
        <v>55</v>
      </c>
      <c r="G157" s="19" t="s">
        <v>1734</v>
      </c>
      <c r="H157" s="16" t="s">
        <v>1735</v>
      </c>
      <c r="I157" s="16">
        <v>6.94</v>
      </c>
      <c r="J157" s="16">
        <v>6.94</v>
      </c>
      <c r="K157" s="16"/>
      <c r="L157" s="34">
        <v>45897</v>
      </c>
      <c r="M157" s="16"/>
      <c r="N157" s="34"/>
      <c r="O157" s="16"/>
      <c r="P157" s="16"/>
      <c r="Q157" s="46">
        <f t="shared" si="6"/>
        <v>6.94</v>
      </c>
      <c r="R157" s="47">
        <f t="shared" si="5"/>
        <v>0</v>
      </c>
      <c r="S157" s="48"/>
    </row>
    <row r="158" s="1" customFormat="1" customHeight="1" spans="1:19">
      <c r="A158" s="14">
        <v>165</v>
      </c>
      <c r="B158" s="20">
        <v>45870</v>
      </c>
      <c r="C158" s="16" t="s">
        <v>1783</v>
      </c>
      <c r="D158" s="17" t="s">
        <v>1790</v>
      </c>
      <c r="E158" s="18" t="s">
        <v>1791</v>
      </c>
      <c r="F158" s="19" t="s">
        <v>55</v>
      </c>
      <c r="G158" s="19" t="s">
        <v>1734</v>
      </c>
      <c r="H158" s="16" t="s">
        <v>1735</v>
      </c>
      <c r="I158" s="16">
        <v>7.93</v>
      </c>
      <c r="J158" s="16">
        <v>7.93</v>
      </c>
      <c r="K158" s="16"/>
      <c r="L158" s="34">
        <v>45897</v>
      </c>
      <c r="M158" s="16"/>
      <c r="N158" s="34"/>
      <c r="O158" s="35"/>
      <c r="P158" s="16"/>
      <c r="Q158" s="46">
        <f t="shared" si="6"/>
        <v>7.93</v>
      </c>
      <c r="R158" s="47">
        <f t="shared" si="5"/>
        <v>0</v>
      </c>
      <c r="S158" s="48"/>
    </row>
    <row r="159" s="1" customFormat="1" customHeight="1" spans="1:19">
      <c r="A159" s="14">
        <v>167</v>
      </c>
      <c r="B159" s="20">
        <v>45870</v>
      </c>
      <c r="C159" s="16" t="s">
        <v>679</v>
      </c>
      <c r="D159" s="17">
        <v>5020</v>
      </c>
      <c r="E159" s="18" t="s">
        <v>791</v>
      </c>
      <c r="F159" s="19" t="s">
        <v>55</v>
      </c>
      <c r="G159" s="19" t="s">
        <v>1734</v>
      </c>
      <c r="H159" s="16" t="s">
        <v>1741</v>
      </c>
      <c r="I159" s="16">
        <v>101.16</v>
      </c>
      <c r="J159" s="16">
        <v>101.16</v>
      </c>
      <c r="K159" s="16"/>
      <c r="L159" s="34">
        <v>45833</v>
      </c>
      <c r="M159" s="16"/>
      <c r="N159" s="34"/>
      <c r="O159" s="35"/>
      <c r="P159" s="16"/>
      <c r="Q159" s="46">
        <f t="shared" si="6"/>
        <v>101.16</v>
      </c>
      <c r="R159" s="47">
        <f t="shared" si="5"/>
        <v>0</v>
      </c>
      <c r="S159" s="48" t="s">
        <v>1792</v>
      </c>
    </row>
    <row r="160" s="1" customFormat="1" customHeight="1" spans="1:19">
      <c r="A160" s="14">
        <v>168</v>
      </c>
      <c r="B160" s="15">
        <v>45839</v>
      </c>
      <c r="C160" s="16" t="s">
        <v>679</v>
      </c>
      <c r="D160" s="17">
        <v>5020</v>
      </c>
      <c r="E160" s="18" t="s">
        <v>791</v>
      </c>
      <c r="F160" s="26" t="s">
        <v>102</v>
      </c>
      <c r="G160" s="19" t="s">
        <v>1734</v>
      </c>
      <c r="H160" s="16" t="s">
        <v>1741</v>
      </c>
      <c r="I160" s="16">
        <v>254.6</v>
      </c>
      <c r="J160" s="16">
        <v>254.6</v>
      </c>
      <c r="K160" s="16"/>
      <c r="L160" s="34">
        <v>45833</v>
      </c>
      <c r="M160" s="16"/>
      <c r="N160" s="34"/>
      <c r="O160" s="35"/>
      <c r="P160" s="16"/>
      <c r="Q160" s="46">
        <f t="shared" si="6"/>
        <v>254.6</v>
      </c>
      <c r="R160" s="47">
        <f t="shared" si="5"/>
        <v>0</v>
      </c>
      <c r="S160" s="48"/>
    </row>
    <row r="161" s="1" customFormat="1" customHeight="1" spans="1:19">
      <c r="A161" s="14">
        <v>169</v>
      </c>
      <c r="B161" s="15">
        <v>45901</v>
      </c>
      <c r="C161" s="16" t="s">
        <v>679</v>
      </c>
      <c r="D161" s="17">
        <v>5020</v>
      </c>
      <c r="E161" s="18" t="s">
        <v>791</v>
      </c>
      <c r="F161" s="19" t="s">
        <v>56</v>
      </c>
      <c r="G161" s="19" t="s">
        <v>1734</v>
      </c>
      <c r="H161" s="16" t="s">
        <v>1741</v>
      </c>
      <c r="I161" s="41">
        <v>310.08</v>
      </c>
      <c r="J161" s="16">
        <v>310.08</v>
      </c>
      <c r="K161" s="16"/>
      <c r="L161" s="34">
        <v>45867</v>
      </c>
      <c r="M161" s="16"/>
      <c r="N161" s="34"/>
      <c r="O161" s="16"/>
      <c r="P161" s="16"/>
      <c r="Q161" s="46">
        <f t="shared" si="6"/>
        <v>310.08</v>
      </c>
      <c r="R161" s="47">
        <f t="shared" si="5"/>
        <v>0</v>
      </c>
      <c r="S161" s="48" t="s">
        <v>1793</v>
      </c>
    </row>
    <row r="162" s="1" customFormat="1" customHeight="1" spans="1:19">
      <c r="A162" s="14">
        <v>170</v>
      </c>
      <c r="B162" s="20">
        <v>45870</v>
      </c>
      <c r="C162" s="16" t="s">
        <v>909</v>
      </c>
      <c r="D162" s="17" t="s">
        <v>1794</v>
      </c>
      <c r="E162" s="18" t="s">
        <v>1795</v>
      </c>
      <c r="F162" s="19" t="s">
        <v>55</v>
      </c>
      <c r="G162" s="19" t="s">
        <v>1734</v>
      </c>
      <c r="H162" s="16" t="s">
        <v>1741</v>
      </c>
      <c r="I162" s="16">
        <v>20.52</v>
      </c>
      <c r="J162" s="16">
        <v>20.52</v>
      </c>
      <c r="K162" s="16"/>
      <c r="L162" s="34">
        <v>45889</v>
      </c>
      <c r="M162" s="16"/>
      <c r="N162" s="34"/>
      <c r="O162" s="16"/>
      <c r="P162" s="16"/>
      <c r="Q162" s="46">
        <f t="shared" si="6"/>
        <v>20.52</v>
      </c>
      <c r="R162" s="47">
        <f t="shared" si="5"/>
        <v>0</v>
      </c>
      <c r="S162" s="48"/>
    </row>
    <row r="163" s="1" customFormat="1" customHeight="1" spans="1:19">
      <c r="A163" s="14">
        <v>171</v>
      </c>
      <c r="B163" s="15">
        <v>45931</v>
      </c>
      <c r="C163" s="16" t="s">
        <v>679</v>
      </c>
      <c r="D163" s="25">
        <v>5012</v>
      </c>
      <c r="E163" s="18" t="s">
        <v>1796</v>
      </c>
      <c r="F163" s="19" t="s">
        <v>58</v>
      </c>
      <c r="G163" s="19" t="s">
        <v>1734</v>
      </c>
      <c r="H163" s="16" t="s">
        <v>1741</v>
      </c>
      <c r="I163" s="33">
        <v>425.6</v>
      </c>
      <c r="J163" s="35">
        <v>425.6</v>
      </c>
      <c r="K163" s="35"/>
      <c r="L163" s="34">
        <v>45944</v>
      </c>
      <c r="M163" s="16"/>
      <c r="N163" s="34"/>
      <c r="O163" s="16"/>
      <c r="P163" s="16"/>
      <c r="Q163" s="46">
        <f t="shared" si="6"/>
        <v>425.6</v>
      </c>
      <c r="R163" s="47">
        <f t="shared" si="5"/>
        <v>0</v>
      </c>
      <c r="S163" s="48"/>
    </row>
    <row r="164" s="1" customFormat="1" customHeight="1" spans="1:19">
      <c r="A164" s="14">
        <v>172</v>
      </c>
      <c r="B164" s="20">
        <v>45962</v>
      </c>
      <c r="C164" s="16" t="s">
        <v>679</v>
      </c>
      <c r="D164" s="25">
        <v>5012</v>
      </c>
      <c r="E164" s="18" t="s">
        <v>1796</v>
      </c>
      <c r="F164" s="19" t="s">
        <v>60</v>
      </c>
      <c r="G164" s="19" t="s">
        <v>1734</v>
      </c>
      <c r="H164" s="16" t="s">
        <v>1741</v>
      </c>
      <c r="I164" s="33">
        <v>189.12</v>
      </c>
      <c r="J164" s="35">
        <v>189.12</v>
      </c>
      <c r="K164" s="35"/>
      <c r="L164" s="34">
        <v>45970</v>
      </c>
      <c r="M164" s="16"/>
      <c r="N164" s="34"/>
      <c r="O164" s="35"/>
      <c r="P164" s="34"/>
      <c r="Q164" s="46">
        <f t="shared" si="6"/>
        <v>189.12</v>
      </c>
      <c r="R164" s="47">
        <f t="shared" si="5"/>
        <v>0</v>
      </c>
      <c r="S164" s="48"/>
    </row>
    <row r="165" s="1" customFormat="1" customHeight="1" spans="1:19">
      <c r="A165" s="14">
        <v>173</v>
      </c>
      <c r="B165" s="20">
        <v>45962</v>
      </c>
      <c r="C165" s="16" t="s">
        <v>679</v>
      </c>
      <c r="D165" s="59" t="s">
        <v>1797</v>
      </c>
      <c r="E165" s="18" t="s">
        <v>1798</v>
      </c>
      <c r="F165" s="19" t="s">
        <v>60</v>
      </c>
      <c r="G165" s="19" t="s">
        <v>1734</v>
      </c>
      <c r="H165" s="16" t="s">
        <v>1735</v>
      </c>
      <c r="I165" s="33">
        <v>107.73</v>
      </c>
      <c r="J165" s="35"/>
      <c r="K165" s="35"/>
      <c r="L165" s="34"/>
      <c r="M165" s="16"/>
      <c r="N165" s="34"/>
      <c r="O165" s="35">
        <v>107.73</v>
      </c>
      <c r="P165" s="34"/>
      <c r="Q165" s="46">
        <f t="shared" si="6"/>
        <v>107.73</v>
      </c>
      <c r="R165" s="47">
        <f t="shared" si="5"/>
        <v>0</v>
      </c>
      <c r="S165" s="48" t="s">
        <v>1799</v>
      </c>
    </row>
    <row r="166" s="1" customFormat="1" customHeight="1" spans="1:19">
      <c r="A166" s="14">
        <v>174</v>
      </c>
      <c r="B166" s="15">
        <v>45839</v>
      </c>
      <c r="C166" s="16" t="s">
        <v>491</v>
      </c>
      <c r="D166" s="17">
        <v>3023</v>
      </c>
      <c r="E166" s="18" t="s">
        <v>577</v>
      </c>
      <c r="F166" s="26" t="s">
        <v>102</v>
      </c>
      <c r="G166" s="19" t="s">
        <v>1734</v>
      </c>
      <c r="H166" s="16" t="s">
        <v>1741</v>
      </c>
      <c r="I166" s="16">
        <v>3.36</v>
      </c>
      <c r="J166" s="16">
        <v>3.36</v>
      </c>
      <c r="K166" s="16"/>
      <c r="L166" s="34">
        <v>45863</v>
      </c>
      <c r="M166" s="16"/>
      <c r="N166" s="34"/>
      <c r="O166" s="35"/>
      <c r="P166" s="16"/>
      <c r="Q166" s="46">
        <f t="shared" si="6"/>
        <v>3.36</v>
      </c>
      <c r="R166" s="47">
        <f t="shared" si="5"/>
        <v>0</v>
      </c>
      <c r="S166" s="48"/>
    </row>
    <row r="167" s="1" customFormat="1" customHeight="1" spans="1:19">
      <c r="A167" s="14">
        <v>175</v>
      </c>
      <c r="B167" s="15">
        <v>45901</v>
      </c>
      <c r="C167" s="16" t="s">
        <v>16</v>
      </c>
      <c r="D167" s="17" t="s">
        <v>1800</v>
      </c>
      <c r="E167" s="18" t="s">
        <v>126</v>
      </c>
      <c r="F167" s="19" t="s">
        <v>56</v>
      </c>
      <c r="G167" s="19" t="s">
        <v>1734</v>
      </c>
      <c r="H167" s="16" t="s">
        <v>1741</v>
      </c>
      <c r="I167" s="41">
        <v>1209.92</v>
      </c>
      <c r="J167" s="16">
        <v>1209.92</v>
      </c>
      <c r="K167" s="16"/>
      <c r="L167" s="34">
        <v>45918</v>
      </c>
      <c r="M167" s="16"/>
      <c r="N167" s="34"/>
      <c r="O167" s="35"/>
      <c r="P167" s="16"/>
      <c r="Q167" s="46">
        <f t="shared" si="6"/>
        <v>1209.92</v>
      </c>
      <c r="R167" s="47">
        <f t="shared" si="5"/>
        <v>0</v>
      </c>
      <c r="S167" s="48"/>
    </row>
    <row r="168" s="1" customFormat="1" customHeight="1" spans="1:19">
      <c r="A168" s="14">
        <v>176</v>
      </c>
      <c r="B168" s="15">
        <v>45931</v>
      </c>
      <c r="C168" s="16" t="s">
        <v>16</v>
      </c>
      <c r="D168" s="17" t="s">
        <v>1800</v>
      </c>
      <c r="E168" s="18" t="s">
        <v>126</v>
      </c>
      <c r="F168" s="19" t="s">
        <v>58</v>
      </c>
      <c r="G168" s="19" t="s">
        <v>1734</v>
      </c>
      <c r="H168" s="16" t="s">
        <v>1741</v>
      </c>
      <c r="I168" s="16">
        <v>845.12</v>
      </c>
      <c r="J168" s="16">
        <v>845.12</v>
      </c>
      <c r="K168" s="16"/>
      <c r="L168" s="34">
        <v>45940</v>
      </c>
      <c r="M168" s="16"/>
      <c r="N168" s="34"/>
      <c r="O168" s="16"/>
      <c r="P168" s="16"/>
      <c r="Q168" s="46">
        <f t="shared" si="6"/>
        <v>845.12</v>
      </c>
      <c r="R168" s="47">
        <f t="shared" si="5"/>
        <v>0</v>
      </c>
      <c r="S168" s="48"/>
    </row>
    <row r="169" s="1" customFormat="1" customHeight="1" spans="1:19">
      <c r="A169" s="14">
        <v>177</v>
      </c>
      <c r="B169" s="20">
        <v>45870</v>
      </c>
      <c r="C169" s="16" t="s">
        <v>16</v>
      </c>
      <c r="D169" s="17" t="s">
        <v>1800</v>
      </c>
      <c r="E169" s="18" t="s">
        <v>126</v>
      </c>
      <c r="F169" s="19" t="s">
        <v>55</v>
      </c>
      <c r="G169" s="19" t="s">
        <v>1734</v>
      </c>
      <c r="H169" s="16" t="s">
        <v>1741</v>
      </c>
      <c r="I169" s="16">
        <v>1216</v>
      </c>
      <c r="J169" s="16">
        <v>1216</v>
      </c>
      <c r="K169" s="16"/>
      <c r="L169" s="34">
        <v>45918</v>
      </c>
      <c r="M169" s="16"/>
      <c r="N169" s="34"/>
      <c r="O169" s="16"/>
      <c r="P169" s="16"/>
      <c r="Q169" s="46">
        <f t="shared" si="6"/>
        <v>1216</v>
      </c>
      <c r="R169" s="47">
        <f t="shared" si="5"/>
        <v>0</v>
      </c>
      <c r="S169" s="48"/>
    </row>
    <row r="170" s="1" customFormat="1" customHeight="1" spans="1:19">
      <c r="A170" s="14">
        <v>178</v>
      </c>
      <c r="B170" s="15">
        <v>45839</v>
      </c>
      <c r="C170" s="16" t="s">
        <v>16</v>
      </c>
      <c r="D170" s="17" t="s">
        <v>1800</v>
      </c>
      <c r="E170" s="18" t="s">
        <v>126</v>
      </c>
      <c r="F170" s="26" t="s">
        <v>102</v>
      </c>
      <c r="G170" s="19" t="s">
        <v>1734</v>
      </c>
      <c r="H170" s="16" t="s">
        <v>1741</v>
      </c>
      <c r="I170" s="16">
        <v>832.96</v>
      </c>
      <c r="J170" s="16">
        <v>832.96</v>
      </c>
      <c r="K170" s="16"/>
      <c r="L170" s="34">
        <v>45868</v>
      </c>
      <c r="M170" s="16"/>
      <c r="N170" s="34"/>
      <c r="O170" s="16"/>
      <c r="P170" s="16"/>
      <c r="Q170" s="46">
        <f t="shared" si="6"/>
        <v>832.96</v>
      </c>
      <c r="R170" s="47">
        <f t="shared" si="5"/>
        <v>0</v>
      </c>
      <c r="S170" s="48"/>
    </row>
    <row r="171" s="1" customFormat="1" customHeight="1" spans="1:19">
      <c r="A171" s="14">
        <v>179</v>
      </c>
      <c r="B171" s="20">
        <v>45962</v>
      </c>
      <c r="C171" s="16" t="s">
        <v>16</v>
      </c>
      <c r="D171" s="17" t="s">
        <v>1800</v>
      </c>
      <c r="E171" s="18" t="s">
        <v>126</v>
      </c>
      <c r="F171" s="19" t="s">
        <v>60</v>
      </c>
      <c r="G171" s="19" t="s">
        <v>1734</v>
      </c>
      <c r="H171" s="16" t="s">
        <v>1741</v>
      </c>
      <c r="I171" s="33">
        <v>650.56</v>
      </c>
      <c r="J171" s="35">
        <v>650.56</v>
      </c>
      <c r="K171" s="35"/>
      <c r="L171" s="34">
        <v>45971</v>
      </c>
      <c r="M171" s="16"/>
      <c r="N171" s="34"/>
      <c r="O171" s="35"/>
      <c r="P171" s="34"/>
      <c r="Q171" s="46">
        <f t="shared" si="6"/>
        <v>650.56</v>
      </c>
      <c r="R171" s="47">
        <f t="shared" si="5"/>
        <v>0</v>
      </c>
      <c r="S171" s="48"/>
    </row>
    <row r="172" s="1" customFormat="1" customHeight="1" spans="1:19">
      <c r="A172" s="14">
        <v>180</v>
      </c>
      <c r="B172" s="20">
        <v>45962</v>
      </c>
      <c r="C172" s="16"/>
      <c r="D172" s="17"/>
      <c r="E172" s="18" t="s">
        <v>1801</v>
      </c>
      <c r="F172" s="19" t="s">
        <v>60</v>
      </c>
      <c r="G172" s="19" t="s">
        <v>1734</v>
      </c>
      <c r="H172" s="16" t="s">
        <v>1735</v>
      </c>
      <c r="I172" s="33">
        <v>65</v>
      </c>
      <c r="J172" s="35">
        <v>65</v>
      </c>
      <c r="K172" s="35"/>
      <c r="L172" s="34">
        <v>45979</v>
      </c>
      <c r="M172" s="16"/>
      <c r="N172" s="34"/>
      <c r="O172" s="35"/>
      <c r="P172" s="34"/>
      <c r="Q172" s="46">
        <f t="shared" si="6"/>
        <v>65</v>
      </c>
      <c r="R172" s="47">
        <f t="shared" si="5"/>
        <v>0</v>
      </c>
      <c r="S172" s="48" t="s">
        <v>1737</v>
      </c>
    </row>
    <row r="173" s="1" customFormat="1" customHeight="1" spans="1:19">
      <c r="A173" s="14">
        <v>181</v>
      </c>
      <c r="B173" s="20">
        <v>45870</v>
      </c>
      <c r="C173" s="16" t="s">
        <v>679</v>
      </c>
      <c r="D173" s="17">
        <v>5017</v>
      </c>
      <c r="E173" s="18" t="s">
        <v>1802</v>
      </c>
      <c r="F173" s="19" t="s">
        <v>55</v>
      </c>
      <c r="G173" s="19" t="s">
        <v>1734</v>
      </c>
      <c r="H173" s="16" t="s">
        <v>1741</v>
      </c>
      <c r="I173" s="16">
        <v>273.6</v>
      </c>
      <c r="J173" s="16">
        <v>273.6</v>
      </c>
      <c r="K173" s="16"/>
      <c r="L173" s="34">
        <v>45895</v>
      </c>
      <c r="M173" s="16"/>
      <c r="N173" s="34"/>
      <c r="O173" s="35"/>
      <c r="P173" s="16"/>
      <c r="Q173" s="46">
        <f t="shared" si="6"/>
        <v>273.6</v>
      </c>
      <c r="R173" s="47">
        <f t="shared" si="5"/>
        <v>0</v>
      </c>
      <c r="S173" s="48"/>
    </row>
    <row r="174" s="1" customFormat="1" customHeight="1" spans="1:19">
      <c r="A174" s="14">
        <v>182</v>
      </c>
      <c r="B174" s="15">
        <v>45901</v>
      </c>
      <c r="C174" s="16" t="s">
        <v>679</v>
      </c>
      <c r="D174" s="17">
        <v>5017</v>
      </c>
      <c r="E174" s="18" t="s">
        <v>1802</v>
      </c>
      <c r="F174" s="19" t="s">
        <v>56</v>
      </c>
      <c r="G174" s="19" t="s">
        <v>1734</v>
      </c>
      <c r="H174" s="16" t="s">
        <v>1741</v>
      </c>
      <c r="I174" s="41">
        <v>583.68</v>
      </c>
      <c r="J174" s="16">
        <v>583.68</v>
      </c>
      <c r="K174" s="16"/>
      <c r="L174" s="34">
        <v>45974</v>
      </c>
      <c r="M174" s="16"/>
      <c r="N174" s="34"/>
      <c r="O174" s="35"/>
      <c r="P174" s="16"/>
      <c r="Q174" s="46">
        <f t="shared" si="6"/>
        <v>583.68</v>
      </c>
      <c r="R174" s="47">
        <f t="shared" si="5"/>
        <v>0</v>
      </c>
      <c r="S174" s="48"/>
    </row>
    <row r="175" s="1" customFormat="1" customHeight="1" spans="1:19">
      <c r="A175" s="14">
        <v>183</v>
      </c>
      <c r="B175" s="15">
        <v>45839</v>
      </c>
      <c r="C175" s="16" t="s">
        <v>679</v>
      </c>
      <c r="D175" s="17">
        <v>5017</v>
      </c>
      <c r="E175" s="18" t="s">
        <v>1802</v>
      </c>
      <c r="F175" s="26" t="s">
        <v>102</v>
      </c>
      <c r="G175" s="19" t="s">
        <v>1734</v>
      </c>
      <c r="H175" s="16" t="s">
        <v>1741</v>
      </c>
      <c r="I175" s="16">
        <v>261.44</v>
      </c>
      <c r="J175" s="16">
        <v>261.44</v>
      </c>
      <c r="K175" s="16"/>
      <c r="L175" s="34">
        <v>45863</v>
      </c>
      <c r="M175" s="16"/>
      <c r="N175" s="34"/>
      <c r="O175" s="16"/>
      <c r="P175" s="16"/>
      <c r="Q175" s="46">
        <f t="shared" si="6"/>
        <v>261.44</v>
      </c>
      <c r="R175" s="47">
        <f t="shared" si="5"/>
        <v>0</v>
      </c>
      <c r="S175" s="48"/>
    </row>
    <row r="176" s="1" customFormat="1" customHeight="1" spans="1:19">
      <c r="A176" s="14">
        <v>184</v>
      </c>
      <c r="B176" s="20">
        <v>45962</v>
      </c>
      <c r="C176" s="16" t="s">
        <v>679</v>
      </c>
      <c r="D176" s="17">
        <v>5017</v>
      </c>
      <c r="E176" s="18" t="s">
        <v>1802</v>
      </c>
      <c r="F176" s="19" t="s">
        <v>60</v>
      </c>
      <c r="G176" s="19" t="s">
        <v>1734</v>
      </c>
      <c r="H176" s="16" t="s">
        <v>1741</v>
      </c>
      <c r="I176" s="33">
        <v>188.48</v>
      </c>
      <c r="J176" s="35">
        <v>188.48</v>
      </c>
      <c r="K176" s="35"/>
      <c r="L176" s="34">
        <v>45974</v>
      </c>
      <c r="M176" s="16"/>
      <c r="N176" s="34"/>
      <c r="O176" s="16"/>
      <c r="P176" s="34"/>
      <c r="Q176" s="46">
        <f t="shared" si="6"/>
        <v>188.48</v>
      </c>
      <c r="R176" s="47">
        <f t="shared" si="5"/>
        <v>0</v>
      </c>
      <c r="S176" s="48"/>
    </row>
    <row r="177" s="1" customFormat="1" customHeight="1" spans="1:19">
      <c r="A177" s="14">
        <v>185</v>
      </c>
      <c r="B177" s="20">
        <v>45870</v>
      </c>
      <c r="C177" s="16" t="s">
        <v>1044</v>
      </c>
      <c r="D177" s="17" t="s">
        <v>1803</v>
      </c>
      <c r="E177" s="18" t="s">
        <v>982</v>
      </c>
      <c r="F177" s="19" t="s">
        <v>55</v>
      </c>
      <c r="G177" s="19" t="s">
        <v>1734</v>
      </c>
      <c r="H177" s="16" t="s">
        <v>1735</v>
      </c>
      <c r="I177" s="16">
        <v>4.22</v>
      </c>
      <c r="J177" s="16">
        <v>4.22</v>
      </c>
      <c r="K177" s="16"/>
      <c r="L177" s="34">
        <v>45889</v>
      </c>
      <c r="M177" s="16"/>
      <c r="N177" s="34"/>
      <c r="O177" s="16"/>
      <c r="P177" s="16"/>
      <c r="Q177" s="46">
        <f t="shared" si="6"/>
        <v>4.22</v>
      </c>
      <c r="R177" s="47">
        <f t="shared" si="5"/>
        <v>0</v>
      </c>
      <c r="S177" s="48" t="s">
        <v>1804</v>
      </c>
    </row>
    <row r="178" s="1" customFormat="1" customHeight="1" spans="1:19">
      <c r="A178" s="14">
        <v>186</v>
      </c>
      <c r="B178" s="20">
        <v>45962</v>
      </c>
      <c r="C178" s="16" t="s">
        <v>1044</v>
      </c>
      <c r="D178" s="17" t="s">
        <v>1803</v>
      </c>
      <c r="E178" s="18" t="s">
        <v>982</v>
      </c>
      <c r="F178" s="19" t="s">
        <v>60</v>
      </c>
      <c r="G178" s="19" t="s">
        <v>1734</v>
      </c>
      <c r="H178" s="16" t="s">
        <v>1735</v>
      </c>
      <c r="I178" s="33">
        <v>32.47</v>
      </c>
      <c r="J178" s="33">
        <v>32.47</v>
      </c>
      <c r="K178" s="33"/>
      <c r="L178" s="34">
        <v>45971</v>
      </c>
      <c r="M178" s="16"/>
      <c r="N178" s="34"/>
      <c r="O178" s="35"/>
      <c r="P178" s="34"/>
      <c r="Q178" s="46">
        <f t="shared" si="6"/>
        <v>32.47</v>
      </c>
      <c r="R178" s="47">
        <f t="shared" si="5"/>
        <v>0</v>
      </c>
      <c r="S178" s="48"/>
    </row>
    <row r="179" s="1" customFormat="1" customHeight="1" spans="1:19">
      <c r="A179" s="14">
        <v>187</v>
      </c>
      <c r="B179" s="15">
        <v>45901</v>
      </c>
      <c r="C179" s="16" t="s">
        <v>1044</v>
      </c>
      <c r="D179" s="17" t="s">
        <v>1805</v>
      </c>
      <c r="E179" s="18" t="s">
        <v>985</v>
      </c>
      <c r="F179" s="19" t="s">
        <v>56</v>
      </c>
      <c r="G179" s="19" t="s">
        <v>1734</v>
      </c>
      <c r="H179" s="16" t="s">
        <v>1735</v>
      </c>
      <c r="I179" s="41">
        <v>32.62</v>
      </c>
      <c r="J179" s="16">
        <v>32.62</v>
      </c>
      <c r="K179" s="16"/>
      <c r="L179" s="34">
        <v>45948</v>
      </c>
      <c r="M179" s="16"/>
      <c r="N179" s="34"/>
      <c r="O179" s="35"/>
      <c r="P179" s="16"/>
      <c r="Q179" s="46">
        <f t="shared" si="6"/>
        <v>32.62</v>
      </c>
      <c r="R179" s="47">
        <f t="shared" si="5"/>
        <v>0</v>
      </c>
      <c r="S179" s="48" t="s">
        <v>1806</v>
      </c>
    </row>
    <row r="180" s="1" customFormat="1" customHeight="1" spans="1:19">
      <c r="A180" s="14">
        <v>188</v>
      </c>
      <c r="B180" s="20">
        <v>45870</v>
      </c>
      <c r="C180" s="16" t="s">
        <v>1044</v>
      </c>
      <c r="D180" s="17" t="s">
        <v>1805</v>
      </c>
      <c r="E180" s="18" t="s">
        <v>985</v>
      </c>
      <c r="F180" s="19" t="s">
        <v>55</v>
      </c>
      <c r="G180" s="19" t="s">
        <v>1734</v>
      </c>
      <c r="H180" s="16" t="s">
        <v>1735</v>
      </c>
      <c r="I180" s="16">
        <v>50.82</v>
      </c>
      <c r="J180" s="16">
        <v>50.82</v>
      </c>
      <c r="K180" s="16"/>
      <c r="L180" s="34">
        <v>45889</v>
      </c>
      <c r="M180" s="16"/>
      <c r="N180" s="34"/>
      <c r="O180" s="35"/>
      <c r="P180" s="16"/>
      <c r="Q180" s="46">
        <f t="shared" si="6"/>
        <v>50.82</v>
      </c>
      <c r="R180" s="47">
        <f t="shared" si="5"/>
        <v>0</v>
      </c>
      <c r="S180" s="48"/>
    </row>
    <row r="181" s="1" customFormat="1" customHeight="1" spans="1:19">
      <c r="A181" s="14">
        <v>189</v>
      </c>
      <c r="B181" s="15">
        <v>45839</v>
      </c>
      <c r="C181" s="16" t="s">
        <v>1044</v>
      </c>
      <c r="D181" s="17" t="s">
        <v>1805</v>
      </c>
      <c r="E181" s="18" t="s">
        <v>985</v>
      </c>
      <c r="F181" s="26" t="s">
        <v>102</v>
      </c>
      <c r="G181" s="19" t="s">
        <v>1734</v>
      </c>
      <c r="H181" s="16" t="s">
        <v>1735</v>
      </c>
      <c r="I181" s="16">
        <v>52.73</v>
      </c>
      <c r="J181" s="16">
        <v>52.73</v>
      </c>
      <c r="K181" s="16"/>
      <c r="L181" s="34">
        <v>45863</v>
      </c>
      <c r="M181" s="16"/>
      <c r="N181" s="34"/>
      <c r="O181" s="35"/>
      <c r="P181" s="16"/>
      <c r="Q181" s="46">
        <f t="shared" si="6"/>
        <v>52.73</v>
      </c>
      <c r="R181" s="47">
        <f t="shared" si="5"/>
        <v>0</v>
      </c>
      <c r="S181" s="48"/>
    </row>
    <row r="182" s="1" customFormat="1" customHeight="1" spans="1:19">
      <c r="A182" s="14">
        <v>190</v>
      </c>
      <c r="B182" s="15">
        <v>45931</v>
      </c>
      <c r="C182" s="16" t="s">
        <v>1044</v>
      </c>
      <c r="D182" s="17" t="s">
        <v>1805</v>
      </c>
      <c r="E182" s="17" t="s">
        <v>985</v>
      </c>
      <c r="F182" s="19" t="s">
        <v>58</v>
      </c>
      <c r="G182" s="19" t="s">
        <v>1734</v>
      </c>
      <c r="H182" s="16" t="s">
        <v>1735</v>
      </c>
      <c r="I182" s="33">
        <v>84.75</v>
      </c>
      <c r="J182" s="35">
        <v>84.75</v>
      </c>
      <c r="K182" s="35"/>
      <c r="L182" s="34">
        <v>45948</v>
      </c>
      <c r="M182" s="16"/>
      <c r="N182" s="34"/>
      <c r="O182" s="16"/>
      <c r="P182" s="16"/>
      <c r="Q182" s="46">
        <f t="shared" si="6"/>
        <v>84.75</v>
      </c>
      <c r="R182" s="47">
        <f t="shared" si="5"/>
        <v>0</v>
      </c>
      <c r="S182" s="48" t="s">
        <v>1806</v>
      </c>
    </row>
    <row r="183" s="1" customFormat="1" customHeight="1" spans="1:19">
      <c r="A183" s="14">
        <v>191</v>
      </c>
      <c r="B183" s="20">
        <v>45962</v>
      </c>
      <c r="C183" s="16" t="s">
        <v>1044</v>
      </c>
      <c r="D183" s="17" t="s">
        <v>1805</v>
      </c>
      <c r="E183" s="18" t="s">
        <v>985</v>
      </c>
      <c r="F183" s="19" t="s">
        <v>60</v>
      </c>
      <c r="G183" s="19" t="s">
        <v>1734</v>
      </c>
      <c r="H183" s="16" t="s">
        <v>1735</v>
      </c>
      <c r="I183" s="33">
        <v>83.6</v>
      </c>
      <c r="J183" s="35">
        <v>83.6</v>
      </c>
      <c r="K183" s="35"/>
      <c r="L183" s="34">
        <v>45986</v>
      </c>
      <c r="M183" s="16"/>
      <c r="N183" s="34"/>
      <c r="O183" s="16"/>
      <c r="P183" s="34"/>
      <c r="Q183" s="46">
        <f t="shared" si="6"/>
        <v>83.6</v>
      </c>
      <c r="R183" s="47">
        <f t="shared" si="5"/>
        <v>0</v>
      </c>
      <c r="S183" s="48" t="s">
        <v>1807</v>
      </c>
    </row>
    <row r="184" s="1" customFormat="1" customHeight="1" spans="1:19">
      <c r="A184" s="14">
        <v>194</v>
      </c>
      <c r="B184" s="20">
        <v>45962</v>
      </c>
      <c r="C184" s="16" t="s">
        <v>491</v>
      </c>
      <c r="D184" s="17">
        <v>3033</v>
      </c>
      <c r="E184" s="18" t="s">
        <v>617</v>
      </c>
      <c r="F184" s="19" t="s">
        <v>60</v>
      </c>
      <c r="G184" s="19" t="s">
        <v>1734</v>
      </c>
      <c r="H184" s="16" t="s">
        <v>1741</v>
      </c>
      <c r="I184" s="33">
        <v>24.32</v>
      </c>
      <c r="J184" s="35">
        <v>24.32</v>
      </c>
      <c r="K184" s="35"/>
      <c r="L184" s="34">
        <v>45976</v>
      </c>
      <c r="M184" s="16"/>
      <c r="N184" s="34"/>
      <c r="O184" s="35"/>
      <c r="P184" s="34"/>
      <c r="Q184" s="46">
        <f t="shared" si="6"/>
        <v>24.32</v>
      </c>
      <c r="R184" s="47">
        <f t="shared" si="5"/>
        <v>0</v>
      </c>
      <c r="S184" s="48"/>
    </row>
    <row r="185" s="1" customFormat="1" customHeight="1" spans="1:19">
      <c r="A185" s="14">
        <v>195</v>
      </c>
      <c r="B185" s="15">
        <v>45901</v>
      </c>
      <c r="C185" s="16" t="s">
        <v>491</v>
      </c>
      <c r="D185" s="17">
        <v>3033</v>
      </c>
      <c r="E185" s="18" t="s">
        <v>617</v>
      </c>
      <c r="F185" s="26" t="s">
        <v>56</v>
      </c>
      <c r="G185" s="19" t="s">
        <v>1734</v>
      </c>
      <c r="H185" s="16" t="s">
        <v>1741</v>
      </c>
      <c r="I185" s="41">
        <v>33.76</v>
      </c>
      <c r="J185" s="16">
        <v>33.76</v>
      </c>
      <c r="K185" s="16"/>
      <c r="L185" s="34">
        <v>45919</v>
      </c>
      <c r="M185" s="16"/>
      <c r="N185" s="34"/>
      <c r="O185" s="35"/>
      <c r="P185" s="16"/>
      <c r="Q185" s="46">
        <f t="shared" si="6"/>
        <v>33.76</v>
      </c>
      <c r="R185" s="47">
        <f t="shared" si="5"/>
        <v>0</v>
      </c>
      <c r="S185" s="48"/>
    </row>
    <row r="186" s="1" customFormat="1" customHeight="1" spans="1:19">
      <c r="A186" s="14">
        <v>196</v>
      </c>
      <c r="B186" s="15">
        <v>45931</v>
      </c>
      <c r="C186" s="16" t="s">
        <v>491</v>
      </c>
      <c r="D186" s="17">
        <v>3033</v>
      </c>
      <c r="E186" s="18" t="s">
        <v>617</v>
      </c>
      <c r="F186" s="26" t="s">
        <v>58</v>
      </c>
      <c r="G186" s="19" t="s">
        <v>1734</v>
      </c>
      <c r="H186" s="16" t="s">
        <v>1741</v>
      </c>
      <c r="I186" s="41">
        <v>30.4</v>
      </c>
      <c r="J186" s="16">
        <v>30.4</v>
      </c>
      <c r="K186" s="16"/>
      <c r="L186" s="34">
        <v>45966</v>
      </c>
      <c r="M186" s="16"/>
      <c r="N186" s="34"/>
      <c r="O186" s="35"/>
      <c r="P186" s="16"/>
      <c r="Q186" s="46">
        <f t="shared" si="6"/>
        <v>30.4</v>
      </c>
      <c r="R186" s="47">
        <f t="shared" si="5"/>
        <v>0</v>
      </c>
      <c r="S186" s="48"/>
    </row>
    <row r="187" s="1" customFormat="1" customHeight="1" spans="1:19">
      <c r="A187" s="14">
        <v>197</v>
      </c>
      <c r="B187" s="20">
        <v>45870</v>
      </c>
      <c r="C187" s="16" t="s">
        <v>630</v>
      </c>
      <c r="D187" s="60" t="s">
        <v>1808</v>
      </c>
      <c r="E187" s="18" t="s">
        <v>647</v>
      </c>
      <c r="F187" s="19" t="s">
        <v>55</v>
      </c>
      <c r="G187" s="19" t="s">
        <v>1734</v>
      </c>
      <c r="H187" s="16" t="s">
        <v>1741</v>
      </c>
      <c r="I187" s="16">
        <v>152</v>
      </c>
      <c r="J187" s="41">
        <v>152</v>
      </c>
      <c r="K187" s="41"/>
      <c r="L187" s="34">
        <v>45910</v>
      </c>
      <c r="M187" s="16"/>
      <c r="N187" s="34"/>
      <c r="O187" s="16"/>
      <c r="P187" s="16"/>
      <c r="Q187" s="46">
        <f t="shared" si="6"/>
        <v>152</v>
      </c>
      <c r="R187" s="47">
        <f t="shared" si="5"/>
        <v>0</v>
      </c>
      <c r="S187" s="48"/>
    </row>
    <row r="188" s="1" customFormat="1" customHeight="1" spans="1:19">
      <c r="A188" s="14">
        <v>198</v>
      </c>
      <c r="B188" s="15">
        <v>45901</v>
      </c>
      <c r="C188" s="16" t="s">
        <v>630</v>
      </c>
      <c r="D188" s="60" t="s">
        <v>1808</v>
      </c>
      <c r="E188" s="21" t="s">
        <v>647</v>
      </c>
      <c r="F188" s="19" t="s">
        <v>56</v>
      </c>
      <c r="G188" s="19" t="s">
        <v>1734</v>
      </c>
      <c r="H188" s="16" t="s">
        <v>1741</v>
      </c>
      <c r="I188" s="44">
        <v>66.88</v>
      </c>
      <c r="J188" s="61">
        <v>66.88</v>
      </c>
      <c r="K188" s="61"/>
      <c r="L188" s="34">
        <v>45917</v>
      </c>
      <c r="M188" s="16"/>
      <c r="N188" s="34"/>
      <c r="O188" s="16"/>
      <c r="P188" s="16"/>
      <c r="Q188" s="46">
        <f t="shared" si="6"/>
        <v>66.88</v>
      </c>
      <c r="R188" s="47">
        <f t="shared" si="5"/>
        <v>0</v>
      </c>
      <c r="S188" s="48"/>
    </row>
    <row r="189" s="1" customFormat="1" customHeight="1" spans="1:19">
      <c r="A189" s="14">
        <v>199</v>
      </c>
      <c r="B189" s="15">
        <v>45931</v>
      </c>
      <c r="C189" s="16" t="s">
        <v>630</v>
      </c>
      <c r="D189" s="60" t="s">
        <v>1808</v>
      </c>
      <c r="E189" s="21" t="s">
        <v>647</v>
      </c>
      <c r="F189" s="26" t="s">
        <v>58</v>
      </c>
      <c r="G189" s="19" t="s">
        <v>1734</v>
      </c>
      <c r="H189" s="16" t="s">
        <v>1741</v>
      </c>
      <c r="I189" s="16">
        <v>60.8</v>
      </c>
      <c r="J189" s="16">
        <v>60.8</v>
      </c>
      <c r="K189" s="16"/>
      <c r="L189" s="34">
        <v>45945</v>
      </c>
      <c r="M189" s="16"/>
      <c r="N189" s="34"/>
      <c r="O189" s="16"/>
      <c r="P189" s="16"/>
      <c r="Q189" s="46">
        <f t="shared" si="6"/>
        <v>60.8</v>
      </c>
      <c r="R189" s="47">
        <f t="shared" si="5"/>
        <v>0</v>
      </c>
      <c r="S189" s="48"/>
    </row>
    <row r="190" s="1" customFormat="1" customHeight="1" spans="1:19">
      <c r="A190" s="14">
        <v>200</v>
      </c>
      <c r="B190" s="15">
        <v>45839</v>
      </c>
      <c r="C190" s="16" t="s">
        <v>630</v>
      </c>
      <c r="D190" s="60" t="s">
        <v>1808</v>
      </c>
      <c r="E190" s="18" t="s">
        <v>647</v>
      </c>
      <c r="F190" s="26" t="s">
        <v>102</v>
      </c>
      <c r="G190" s="19" t="s">
        <v>1734</v>
      </c>
      <c r="H190" s="16" t="s">
        <v>1741</v>
      </c>
      <c r="I190" s="16">
        <v>97.28</v>
      </c>
      <c r="J190" s="16">
        <v>97.28</v>
      </c>
      <c r="K190" s="16"/>
      <c r="L190" s="34">
        <v>45862</v>
      </c>
      <c r="M190" s="16"/>
      <c r="N190" s="34"/>
      <c r="O190" s="35"/>
      <c r="P190" s="16"/>
      <c r="Q190" s="46">
        <f t="shared" si="6"/>
        <v>97.28</v>
      </c>
      <c r="R190" s="47">
        <f t="shared" si="5"/>
        <v>0</v>
      </c>
      <c r="S190" s="48"/>
    </row>
    <row r="191" s="1" customFormat="1" customHeight="1" spans="1:19">
      <c r="A191" s="14">
        <v>201</v>
      </c>
      <c r="B191" s="20">
        <v>45962</v>
      </c>
      <c r="C191" s="16" t="s">
        <v>630</v>
      </c>
      <c r="D191" s="60" t="s">
        <v>1808</v>
      </c>
      <c r="E191" s="18" t="s">
        <v>647</v>
      </c>
      <c r="F191" s="19" t="s">
        <v>60</v>
      </c>
      <c r="G191" s="19" t="s">
        <v>1734</v>
      </c>
      <c r="H191" s="16" t="s">
        <v>1741</v>
      </c>
      <c r="I191" s="33">
        <v>72.96</v>
      </c>
      <c r="J191" s="35">
        <v>72.96</v>
      </c>
      <c r="K191" s="35"/>
      <c r="L191" s="34">
        <v>45967</v>
      </c>
      <c r="M191" s="16"/>
      <c r="N191" s="34"/>
      <c r="O191" s="35"/>
      <c r="P191" s="34"/>
      <c r="Q191" s="46">
        <f t="shared" si="6"/>
        <v>72.96</v>
      </c>
      <c r="R191" s="47">
        <f t="shared" si="5"/>
        <v>0</v>
      </c>
      <c r="S191" s="48"/>
    </row>
    <row r="192" s="1" customFormat="1" customHeight="1" spans="1:19">
      <c r="A192" s="14">
        <v>202</v>
      </c>
      <c r="B192" s="20">
        <v>45870</v>
      </c>
      <c r="C192" s="16" t="s">
        <v>16</v>
      </c>
      <c r="D192" s="17" t="s">
        <v>1025</v>
      </c>
      <c r="E192" s="18" t="s">
        <v>132</v>
      </c>
      <c r="F192" s="19" t="s">
        <v>55</v>
      </c>
      <c r="G192" s="19" t="s">
        <v>1734</v>
      </c>
      <c r="H192" s="16" t="s">
        <v>1741</v>
      </c>
      <c r="I192" s="16">
        <v>212.8</v>
      </c>
      <c r="J192" s="16">
        <v>212.8</v>
      </c>
      <c r="K192" s="16"/>
      <c r="L192" s="34">
        <v>45897</v>
      </c>
      <c r="M192" s="16"/>
      <c r="N192" s="34"/>
      <c r="O192" s="35"/>
      <c r="P192" s="16"/>
      <c r="Q192" s="46">
        <f t="shared" si="6"/>
        <v>212.8</v>
      </c>
      <c r="R192" s="47">
        <f t="shared" si="5"/>
        <v>0</v>
      </c>
      <c r="S192" s="48"/>
    </row>
    <row r="193" s="1" customFormat="1" customHeight="1" spans="1:19">
      <c r="A193" s="14">
        <v>203</v>
      </c>
      <c r="B193" s="15">
        <v>45839</v>
      </c>
      <c r="C193" s="16" t="s">
        <v>16</v>
      </c>
      <c r="D193" s="17" t="s">
        <v>1025</v>
      </c>
      <c r="E193" s="18" t="s">
        <v>132</v>
      </c>
      <c r="F193" s="26" t="s">
        <v>102</v>
      </c>
      <c r="G193" s="19" t="s">
        <v>1734</v>
      </c>
      <c r="H193" s="16" t="s">
        <v>1741</v>
      </c>
      <c r="I193" s="16">
        <v>261.44</v>
      </c>
      <c r="J193" s="16">
        <v>261.44</v>
      </c>
      <c r="K193" s="16"/>
      <c r="L193" s="34">
        <v>45868</v>
      </c>
      <c r="M193" s="16"/>
      <c r="N193" s="34"/>
      <c r="O193" s="35"/>
      <c r="P193" s="16"/>
      <c r="Q193" s="46">
        <f t="shared" si="6"/>
        <v>261.44</v>
      </c>
      <c r="R193" s="47">
        <f t="shared" si="5"/>
        <v>0</v>
      </c>
      <c r="S193" s="48"/>
    </row>
    <row r="194" s="1" customFormat="1" customHeight="1" spans="1:19">
      <c r="A194" s="14">
        <v>204</v>
      </c>
      <c r="B194" s="15">
        <v>45901</v>
      </c>
      <c r="C194" s="16" t="s">
        <v>16</v>
      </c>
      <c r="D194" s="17" t="s">
        <v>1025</v>
      </c>
      <c r="E194" s="18" t="s">
        <v>132</v>
      </c>
      <c r="F194" s="19" t="s">
        <v>56</v>
      </c>
      <c r="G194" s="19" t="s">
        <v>1734</v>
      </c>
      <c r="H194" s="16" t="s">
        <v>1741</v>
      </c>
      <c r="I194" s="41">
        <v>206.72</v>
      </c>
      <c r="J194" s="16">
        <v>206.72</v>
      </c>
      <c r="K194" s="16"/>
      <c r="L194" s="34">
        <v>45952</v>
      </c>
      <c r="M194" s="16"/>
      <c r="N194" s="34"/>
      <c r="O194" s="16"/>
      <c r="P194" s="16"/>
      <c r="Q194" s="46">
        <f t="shared" si="6"/>
        <v>206.72</v>
      </c>
      <c r="R194" s="47">
        <f t="shared" si="5"/>
        <v>0</v>
      </c>
      <c r="S194" s="48"/>
    </row>
    <row r="195" s="1" customFormat="1" customHeight="1" spans="1:19">
      <c r="A195" s="14">
        <v>205</v>
      </c>
      <c r="B195" s="15">
        <v>45931</v>
      </c>
      <c r="C195" s="16" t="s">
        <v>16</v>
      </c>
      <c r="D195" s="17" t="s">
        <v>1025</v>
      </c>
      <c r="E195" s="18" t="s">
        <v>132</v>
      </c>
      <c r="F195" s="19" t="s">
        <v>58</v>
      </c>
      <c r="G195" s="19" t="s">
        <v>1734</v>
      </c>
      <c r="H195" s="16" t="s">
        <v>1741</v>
      </c>
      <c r="I195" s="16">
        <v>194.56</v>
      </c>
      <c r="J195" s="16">
        <v>194.56</v>
      </c>
      <c r="K195" s="16"/>
      <c r="L195" s="34">
        <v>45952</v>
      </c>
      <c r="M195" s="16"/>
      <c r="N195" s="34"/>
      <c r="O195" s="16"/>
      <c r="P195" s="16"/>
      <c r="Q195" s="46">
        <f t="shared" si="6"/>
        <v>194.56</v>
      </c>
      <c r="R195" s="47">
        <f t="shared" ref="R195:R258" si="7">I195-Q195</f>
        <v>0</v>
      </c>
      <c r="S195" s="48"/>
    </row>
    <row r="196" s="1" customFormat="1" customHeight="1" spans="1:19">
      <c r="A196" s="14">
        <v>206</v>
      </c>
      <c r="B196" s="20">
        <v>45962</v>
      </c>
      <c r="C196" s="16" t="s">
        <v>16</v>
      </c>
      <c r="D196" s="17" t="s">
        <v>1025</v>
      </c>
      <c r="E196" s="18" t="s">
        <v>132</v>
      </c>
      <c r="F196" s="19" t="s">
        <v>60</v>
      </c>
      <c r="G196" s="19" t="s">
        <v>1734</v>
      </c>
      <c r="H196" s="16" t="s">
        <v>1741</v>
      </c>
      <c r="I196" s="33">
        <v>231.04</v>
      </c>
      <c r="J196" s="35">
        <v>231.04</v>
      </c>
      <c r="K196" s="35"/>
      <c r="L196" s="34">
        <v>45974</v>
      </c>
      <c r="M196" s="16"/>
      <c r="N196" s="34"/>
      <c r="O196" s="16"/>
      <c r="P196" s="34"/>
      <c r="Q196" s="46">
        <f t="shared" si="6"/>
        <v>231.04</v>
      </c>
      <c r="R196" s="47">
        <f t="shared" si="7"/>
        <v>0</v>
      </c>
      <c r="S196" s="48"/>
    </row>
    <row r="197" s="1" customFormat="1" customHeight="1" spans="1:19">
      <c r="A197" s="14">
        <v>207</v>
      </c>
      <c r="B197" s="20">
        <v>45870</v>
      </c>
      <c r="C197" s="16" t="s">
        <v>1044</v>
      </c>
      <c r="D197" s="17" t="s">
        <v>858</v>
      </c>
      <c r="E197" s="18" t="s">
        <v>860</v>
      </c>
      <c r="F197" s="19" t="s">
        <v>55</v>
      </c>
      <c r="G197" s="19" t="s">
        <v>1734</v>
      </c>
      <c r="H197" s="16" t="s">
        <v>1735</v>
      </c>
      <c r="I197" s="16">
        <v>387.07</v>
      </c>
      <c r="J197" s="16">
        <v>387.07</v>
      </c>
      <c r="K197" s="16"/>
      <c r="L197" s="34">
        <v>45890</v>
      </c>
      <c r="M197" s="16"/>
      <c r="N197" s="34"/>
      <c r="O197" s="35"/>
      <c r="P197" s="16"/>
      <c r="Q197" s="46">
        <f t="shared" si="6"/>
        <v>387.07</v>
      </c>
      <c r="R197" s="47">
        <f t="shared" si="7"/>
        <v>0</v>
      </c>
      <c r="S197" s="48"/>
    </row>
    <row r="198" s="1" customFormat="1" customHeight="1" spans="1:19">
      <c r="A198" s="14">
        <v>208</v>
      </c>
      <c r="B198" s="15">
        <v>45901</v>
      </c>
      <c r="C198" s="16" t="s">
        <v>1044</v>
      </c>
      <c r="D198" s="17" t="s">
        <v>858</v>
      </c>
      <c r="E198" s="18" t="s">
        <v>860</v>
      </c>
      <c r="F198" s="19" t="s">
        <v>56</v>
      </c>
      <c r="G198" s="19" t="s">
        <v>1734</v>
      </c>
      <c r="H198" s="16" t="s">
        <v>1735</v>
      </c>
      <c r="I198" s="41">
        <v>381.18</v>
      </c>
      <c r="J198" s="16">
        <v>381.18</v>
      </c>
      <c r="K198" s="16"/>
      <c r="L198" s="34">
        <v>45917</v>
      </c>
      <c r="M198" s="16"/>
      <c r="N198" s="34"/>
      <c r="O198" s="35"/>
      <c r="P198" s="16"/>
      <c r="Q198" s="46">
        <f t="shared" si="6"/>
        <v>381.18</v>
      </c>
      <c r="R198" s="47">
        <f t="shared" si="7"/>
        <v>0</v>
      </c>
      <c r="S198" s="48" t="s">
        <v>1809</v>
      </c>
    </row>
    <row r="199" s="1" customFormat="1" customHeight="1" spans="1:19">
      <c r="A199" s="14">
        <v>209</v>
      </c>
      <c r="B199" s="15">
        <v>45931</v>
      </c>
      <c r="C199" s="16" t="s">
        <v>1044</v>
      </c>
      <c r="D199" s="17" t="s">
        <v>858</v>
      </c>
      <c r="E199" s="18" t="s">
        <v>860</v>
      </c>
      <c r="F199" s="26" t="s">
        <v>58</v>
      </c>
      <c r="G199" s="19" t="s">
        <v>1734</v>
      </c>
      <c r="H199" s="16" t="s">
        <v>1735</v>
      </c>
      <c r="I199" s="35">
        <v>375.07</v>
      </c>
      <c r="J199" s="35">
        <v>375.07</v>
      </c>
      <c r="K199" s="35"/>
      <c r="L199" s="34">
        <v>45971</v>
      </c>
      <c r="M199" s="16"/>
      <c r="N199" s="34"/>
      <c r="O199" s="35"/>
      <c r="P199" s="16"/>
      <c r="Q199" s="46">
        <f t="shared" si="6"/>
        <v>375.07</v>
      </c>
      <c r="R199" s="47">
        <f t="shared" si="7"/>
        <v>0</v>
      </c>
      <c r="S199" s="48"/>
    </row>
    <row r="200" s="1" customFormat="1" customHeight="1" spans="1:19">
      <c r="A200" s="14">
        <v>210</v>
      </c>
      <c r="B200" s="15">
        <v>45839</v>
      </c>
      <c r="C200" s="16" t="s">
        <v>1044</v>
      </c>
      <c r="D200" s="17" t="s">
        <v>858</v>
      </c>
      <c r="E200" s="18" t="s">
        <v>860</v>
      </c>
      <c r="F200" s="26" t="s">
        <v>102</v>
      </c>
      <c r="G200" s="19" t="s">
        <v>1734</v>
      </c>
      <c r="H200" s="16" t="s">
        <v>1735</v>
      </c>
      <c r="I200" s="16">
        <v>359.95</v>
      </c>
      <c r="J200" s="16">
        <v>359.95</v>
      </c>
      <c r="K200" s="16"/>
      <c r="L200" s="34">
        <v>45863</v>
      </c>
      <c r="M200" s="16"/>
      <c r="N200" s="34"/>
      <c r="O200" s="35"/>
      <c r="P200" s="16"/>
      <c r="Q200" s="46">
        <f t="shared" si="6"/>
        <v>359.95</v>
      </c>
      <c r="R200" s="47">
        <f t="shared" si="7"/>
        <v>0</v>
      </c>
      <c r="S200" s="48"/>
    </row>
    <row r="201" s="1" customFormat="1" customHeight="1" spans="1:19">
      <c r="A201" s="14">
        <v>211</v>
      </c>
      <c r="B201" s="20">
        <v>45962</v>
      </c>
      <c r="C201" s="16" t="s">
        <v>1044</v>
      </c>
      <c r="D201" s="17" t="s">
        <v>858</v>
      </c>
      <c r="E201" s="18" t="s">
        <v>860</v>
      </c>
      <c r="F201" s="19" t="s">
        <v>60</v>
      </c>
      <c r="G201" s="19" t="s">
        <v>1734</v>
      </c>
      <c r="H201" s="16" t="s">
        <v>1735</v>
      </c>
      <c r="I201" s="33">
        <v>398.79</v>
      </c>
      <c r="J201" s="33">
        <v>398.79</v>
      </c>
      <c r="K201" s="33"/>
      <c r="L201" s="34">
        <v>45971</v>
      </c>
      <c r="M201" s="16"/>
      <c r="N201" s="34"/>
      <c r="O201" s="16"/>
      <c r="P201" s="34"/>
      <c r="Q201" s="46">
        <f t="shared" si="6"/>
        <v>398.79</v>
      </c>
      <c r="R201" s="47">
        <f t="shared" si="7"/>
        <v>0</v>
      </c>
      <c r="S201" s="48"/>
    </row>
    <row r="202" s="1" customFormat="1" customHeight="1" spans="1:19">
      <c r="A202" s="14">
        <v>212</v>
      </c>
      <c r="B202" s="20">
        <v>45870</v>
      </c>
      <c r="C202" s="16" t="s">
        <v>679</v>
      </c>
      <c r="D202" s="17">
        <v>5022</v>
      </c>
      <c r="E202" s="18" t="s">
        <v>809</v>
      </c>
      <c r="F202" s="19" t="s">
        <v>55</v>
      </c>
      <c r="G202" s="19" t="s">
        <v>1734</v>
      </c>
      <c r="H202" s="16" t="s">
        <v>1741</v>
      </c>
      <c r="I202" s="16">
        <v>1088.32</v>
      </c>
      <c r="J202" s="16">
        <v>1088.32</v>
      </c>
      <c r="K202" s="16"/>
      <c r="L202" s="34">
        <v>45893</v>
      </c>
      <c r="M202" s="16"/>
      <c r="N202" s="34"/>
      <c r="O202" s="16"/>
      <c r="P202" s="16"/>
      <c r="Q202" s="46">
        <f t="shared" si="6"/>
        <v>1088.32</v>
      </c>
      <c r="R202" s="47">
        <f t="shared" si="7"/>
        <v>0</v>
      </c>
      <c r="S202" s="48" t="s">
        <v>1810</v>
      </c>
    </row>
    <row r="203" s="1" customFormat="1" customHeight="1" spans="1:19">
      <c r="A203" s="14">
        <v>213</v>
      </c>
      <c r="B203" s="15">
        <v>45839</v>
      </c>
      <c r="C203" s="16" t="s">
        <v>679</v>
      </c>
      <c r="D203" s="17">
        <v>5022</v>
      </c>
      <c r="E203" s="18" t="s">
        <v>809</v>
      </c>
      <c r="F203" s="26" t="s">
        <v>102</v>
      </c>
      <c r="G203" s="19" t="s">
        <v>1734</v>
      </c>
      <c r="H203" s="16" t="s">
        <v>1741</v>
      </c>
      <c r="I203" s="16">
        <v>235.2</v>
      </c>
      <c r="J203" s="16">
        <v>235.2</v>
      </c>
      <c r="K203" s="16"/>
      <c r="L203" s="34">
        <v>45868</v>
      </c>
      <c r="M203" s="16"/>
      <c r="N203" s="34"/>
      <c r="O203" s="16"/>
      <c r="P203" s="16"/>
      <c r="Q203" s="46">
        <f t="shared" si="6"/>
        <v>235.2</v>
      </c>
      <c r="R203" s="47">
        <f t="shared" si="7"/>
        <v>0</v>
      </c>
      <c r="S203" s="48"/>
    </row>
    <row r="204" s="1" customFormat="1" customHeight="1" spans="1:19">
      <c r="A204" s="14">
        <v>214</v>
      </c>
      <c r="B204" s="15">
        <v>45901</v>
      </c>
      <c r="C204" s="16" t="s">
        <v>679</v>
      </c>
      <c r="D204" s="17">
        <v>5022</v>
      </c>
      <c r="E204" s="18" t="s">
        <v>809</v>
      </c>
      <c r="F204" s="19" t="s">
        <v>56</v>
      </c>
      <c r="G204" s="19" t="s">
        <v>1734</v>
      </c>
      <c r="H204" s="16" t="s">
        <v>1741</v>
      </c>
      <c r="I204" s="41">
        <v>780</v>
      </c>
      <c r="J204" s="41">
        <v>600</v>
      </c>
      <c r="K204" s="41"/>
      <c r="L204" s="34">
        <v>45915</v>
      </c>
      <c r="M204" s="16">
        <v>180</v>
      </c>
      <c r="N204" s="34">
        <v>45953</v>
      </c>
      <c r="O204" s="35"/>
      <c r="P204" s="16"/>
      <c r="Q204" s="46">
        <f t="shared" si="6"/>
        <v>780</v>
      </c>
      <c r="R204" s="47">
        <f t="shared" si="7"/>
        <v>0</v>
      </c>
      <c r="S204" s="48" t="s">
        <v>1811</v>
      </c>
    </row>
    <row r="205" s="1" customFormat="1" customHeight="1" spans="1:19">
      <c r="A205" s="14">
        <v>215</v>
      </c>
      <c r="B205" s="15">
        <v>45931</v>
      </c>
      <c r="C205" s="16" t="s">
        <v>679</v>
      </c>
      <c r="D205" s="17">
        <v>5022</v>
      </c>
      <c r="E205" s="18" t="s">
        <v>809</v>
      </c>
      <c r="F205" s="19" t="s">
        <v>58</v>
      </c>
      <c r="G205" s="19" t="s">
        <v>1734</v>
      </c>
      <c r="H205" s="16" t="s">
        <v>1741</v>
      </c>
      <c r="I205" s="33">
        <v>796.48</v>
      </c>
      <c r="J205" s="35">
        <v>796.48</v>
      </c>
      <c r="K205" s="35"/>
      <c r="L205" s="34">
        <v>45953</v>
      </c>
      <c r="M205" s="16"/>
      <c r="N205" s="34"/>
      <c r="O205" s="35"/>
      <c r="P205" s="16"/>
      <c r="Q205" s="46">
        <f t="shared" si="6"/>
        <v>796.48</v>
      </c>
      <c r="R205" s="47">
        <f t="shared" si="7"/>
        <v>0</v>
      </c>
      <c r="S205" s="48" t="s">
        <v>1811</v>
      </c>
    </row>
    <row r="206" s="1" customFormat="1" customHeight="1" spans="1:19">
      <c r="A206" s="14">
        <v>216</v>
      </c>
      <c r="B206" s="20">
        <v>45962</v>
      </c>
      <c r="C206" s="16" t="s">
        <v>679</v>
      </c>
      <c r="D206" s="17">
        <v>5022</v>
      </c>
      <c r="E206" s="18" t="s">
        <v>809</v>
      </c>
      <c r="F206" s="19" t="s">
        <v>60</v>
      </c>
      <c r="G206" s="19" t="s">
        <v>1734</v>
      </c>
      <c r="H206" s="16" t="s">
        <v>1741</v>
      </c>
      <c r="I206" s="33">
        <v>736.48</v>
      </c>
      <c r="J206" s="35">
        <v>736.48</v>
      </c>
      <c r="K206" s="35"/>
      <c r="L206" s="34">
        <v>45978</v>
      </c>
      <c r="M206" s="16"/>
      <c r="N206" s="34"/>
      <c r="O206" s="35"/>
      <c r="P206" s="34"/>
      <c r="Q206" s="46">
        <f t="shared" si="6"/>
        <v>736.48</v>
      </c>
      <c r="R206" s="47">
        <f t="shared" si="7"/>
        <v>0</v>
      </c>
      <c r="S206" s="48" t="s">
        <v>1812</v>
      </c>
    </row>
    <row r="207" s="1" customFormat="1" customHeight="1" spans="1:19">
      <c r="A207" s="14">
        <v>217</v>
      </c>
      <c r="B207" s="15">
        <v>45901</v>
      </c>
      <c r="C207" s="16" t="s">
        <v>1044</v>
      </c>
      <c r="D207" s="17" t="s">
        <v>873</v>
      </c>
      <c r="E207" s="18" t="s">
        <v>875</v>
      </c>
      <c r="F207" s="19" t="s">
        <v>56</v>
      </c>
      <c r="G207" s="19" t="s">
        <v>1734</v>
      </c>
      <c r="H207" s="16" t="s">
        <v>1735</v>
      </c>
      <c r="I207" s="33">
        <v>789.15</v>
      </c>
      <c r="J207" s="16">
        <v>789.15</v>
      </c>
      <c r="K207" s="16"/>
      <c r="L207" s="34">
        <v>45910</v>
      </c>
      <c r="M207" s="16"/>
      <c r="N207" s="34"/>
      <c r="O207" s="35"/>
      <c r="P207" s="16"/>
      <c r="Q207" s="46">
        <f t="shared" si="6"/>
        <v>789.15</v>
      </c>
      <c r="R207" s="47">
        <f t="shared" si="7"/>
        <v>0</v>
      </c>
      <c r="S207" s="48" t="s">
        <v>1813</v>
      </c>
    </row>
    <row r="208" s="1" customFormat="1" customHeight="1" spans="1:19">
      <c r="A208" s="14">
        <v>218</v>
      </c>
      <c r="B208" s="20">
        <v>45870</v>
      </c>
      <c r="C208" s="16" t="s">
        <v>1044</v>
      </c>
      <c r="D208" s="17" t="s">
        <v>873</v>
      </c>
      <c r="E208" s="18" t="s">
        <v>875</v>
      </c>
      <c r="F208" s="19" t="s">
        <v>55</v>
      </c>
      <c r="G208" s="19" t="s">
        <v>1734</v>
      </c>
      <c r="H208" s="16" t="s">
        <v>1735</v>
      </c>
      <c r="I208" s="16">
        <v>524.48</v>
      </c>
      <c r="J208" s="16">
        <v>524.48</v>
      </c>
      <c r="K208" s="16"/>
      <c r="L208" s="34">
        <v>45889</v>
      </c>
      <c r="M208" s="16"/>
      <c r="N208" s="34"/>
      <c r="O208" s="16"/>
      <c r="P208" s="16"/>
      <c r="Q208" s="46">
        <f t="shared" si="6"/>
        <v>524.48</v>
      </c>
      <c r="R208" s="47">
        <f t="shared" si="7"/>
        <v>0</v>
      </c>
      <c r="S208" s="48"/>
    </row>
    <row r="209" s="1" customFormat="1" customHeight="1" spans="1:19">
      <c r="A209" s="14">
        <v>219</v>
      </c>
      <c r="B209" s="15">
        <v>45931</v>
      </c>
      <c r="C209" s="16" t="s">
        <v>1044</v>
      </c>
      <c r="D209" s="17" t="s">
        <v>873</v>
      </c>
      <c r="E209" s="17" t="s">
        <v>875</v>
      </c>
      <c r="F209" s="19" t="s">
        <v>58</v>
      </c>
      <c r="G209" s="19" t="s">
        <v>1734</v>
      </c>
      <c r="H209" s="16" t="s">
        <v>1735</v>
      </c>
      <c r="I209" s="33">
        <v>687.92</v>
      </c>
      <c r="J209" s="33">
        <v>687.92</v>
      </c>
      <c r="K209" s="33"/>
      <c r="L209" s="34">
        <v>45971</v>
      </c>
      <c r="M209" s="16"/>
      <c r="N209" s="34"/>
      <c r="O209" s="16"/>
      <c r="P209" s="16"/>
      <c r="Q209" s="46">
        <f t="shared" si="6"/>
        <v>687.92</v>
      </c>
      <c r="R209" s="47">
        <f t="shared" si="7"/>
        <v>0</v>
      </c>
      <c r="S209" s="48"/>
    </row>
    <row r="210" s="1" customFormat="1" customHeight="1" spans="1:19">
      <c r="A210" s="14">
        <v>220</v>
      </c>
      <c r="B210" s="20">
        <v>45962</v>
      </c>
      <c r="C210" s="16" t="s">
        <v>1044</v>
      </c>
      <c r="D210" s="17" t="s">
        <v>873</v>
      </c>
      <c r="E210" s="18" t="s">
        <v>875</v>
      </c>
      <c r="F210" s="19" t="s">
        <v>60</v>
      </c>
      <c r="G210" s="19" t="s">
        <v>1734</v>
      </c>
      <c r="H210" s="16" t="s">
        <v>1735</v>
      </c>
      <c r="I210" s="33">
        <v>801.36</v>
      </c>
      <c r="J210" s="33">
        <v>801.36</v>
      </c>
      <c r="K210" s="33"/>
      <c r="L210" s="34">
        <v>45971</v>
      </c>
      <c r="M210" s="16"/>
      <c r="N210" s="34"/>
      <c r="O210" s="16"/>
      <c r="P210" s="34"/>
      <c r="Q210" s="46">
        <f t="shared" si="6"/>
        <v>801.36</v>
      </c>
      <c r="R210" s="47">
        <f t="shared" si="7"/>
        <v>0</v>
      </c>
      <c r="S210" s="48"/>
    </row>
    <row r="211" s="1" customFormat="1" customHeight="1" spans="1:19">
      <c r="A211" s="14">
        <v>221</v>
      </c>
      <c r="B211" s="20">
        <v>45962</v>
      </c>
      <c r="C211" s="16"/>
      <c r="D211" s="17">
        <v>12</v>
      </c>
      <c r="E211" s="18" t="s">
        <v>1814</v>
      </c>
      <c r="F211" s="19" t="s">
        <v>60</v>
      </c>
      <c r="G211" s="19" t="s">
        <v>1734</v>
      </c>
      <c r="H211" s="16" t="s">
        <v>1735</v>
      </c>
      <c r="I211" s="33">
        <v>9</v>
      </c>
      <c r="J211" s="35">
        <v>9</v>
      </c>
      <c r="K211" s="35"/>
      <c r="L211" s="34">
        <v>45979</v>
      </c>
      <c r="M211" s="16"/>
      <c r="N211" s="34"/>
      <c r="O211" s="35"/>
      <c r="P211" s="34"/>
      <c r="Q211" s="46">
        <f t="shared" si="6"/>
        <v>9</v>
      </c>
      <c r="R211" s="47">
        <f t="shared" si="7"/>
        <v>0</v>
      </c>
      <c r="S211" s="48" t="s">
        <v>1737</v>
      </c>
    </row>
    <row r="212" s="1" customFormat="1" customHeight="1" spans="1:19">
      <c r="A212" s="14">
        <v>222</v>
      </c>
      <c r="B212" s="20">
        <v>45870</v>
      </c>
      <c r="C212" s="16" t="s">
        <v>630</v>
      </c>
      <c r="D212" s="17">
        <v>4002</v>
      </c>
      <c r="E212" s="18" t="s">
        <v>633</v>
      </c>
      <c r="F212" s="19" t="s">
        <v>55</v>
      </c>
      <c r="G212" s="19" t="s">
        <v>1734</v>
      </c>
      <c r="H212" s="16" t="s">
        <v>1741</v>
      </c>
      <c r="I212" s="16">
        <v>812.32</v>
      </c>
      <c r="J212" s="16">
        <v>812.32</v>
      </c>
      <c r="K212" s="16"/>
      <c r="L212" s="34">
        <v>45890</v>
      </c>
      <c r="M212" s="16"/>
      <c r="N212" s="34"/>
      <c r="O212" s="35"/>
      <c r="P212" s="16"/>
      <c r="Q212" s="46">
        <f t="shared" si="6"/>
        <v>812.32</v>
      </c>
      <c r="R212" s="47">
        <f t="shared" si="7"/>
        <v>0</v>
      </c>
      <c r="S212" s="48"/>
    </row>
    <row r="213" s="1" customFormat="1" customHeight="1" spans="1:19">
      <c r="A213" s="14">
        <v>223</v>
      </c>
      <c r="B213" s="15">
        <v>45901</v>
      </c>
      <c r="C213" s="16" t="s">
        <v>630</v>
      </c>
      <c r="D213" s="17">
        <v>4002</v>
      </c>
      <c r="E213" s="18" t="s">
        <v>633</v>
      </c>
      <c r="F213" s="19" t="s">
        <v>56</v>
      </c>
      <c r="G213" s="19" t="s">
        <v>1734</v>
      </c>
      <c r="H213" s="16" t="s">
        <v>1741</v>
      </c>
      <c r="I213" s="41">
        <v>881.82</v>
      </c>
      <c r="J213" s="33">
        <v>881.2</v>
      </c>
      <c r="K213" s="33"/>
      <c r="L213" s="34">
        <v>45915</v>
      </c>
      <c r="M213" s="16">
        <v>0.62</v>
      </c>
      <c r="N213" s="34">
        <v>45917</v>
      </c>
      <c r="O213" s="35"/>
      <c r="P213" s="16"/>
      <c r="Q213" s="46">
        <f t="shared" ref="Q213:Q276" si="8">J213+M213+O213</f>
        <v>881.82</v>
      </c>
      <c r="R213" s="47">
        <f t="shared" si="7"/>
        <v>0</v>
      </c>
      <c r="S213" s="48"/>
    </row>
    <row r="214" s="1" customFormat="1" customHeight="1" spans="1:19">
      <c r="A214" s="14">
        <v>224</v>
      </c>
      <c r="B214" s="15">
        <v>45931</v>
      </c>
      <c r="C214" s="16" t="s">
        <v>630</v>
      </c>
      <c r="D214" s="17">
        <v>4002</v>
      </c>
      <c r="E214" s="18" t="s">
        <v>633</v>
      </c>
      <c r="F214" s="19" t="s">
        <v>58</v>
      </c>
      <c r="G214" s="19" t="s">
        <v>1734</v>
      </c>
      <c r="H214" s="16" t="s">
        <v>1741</v>
      </c>
      <c r="I214" s="41">
        <v>894.24</v>
      </c>
      <c r="J214" s="35">
        <v>894.24</v>
      </c>
      <c r="K214" s="35"/>
      <c r="L214" s="34">
        <v>45944</v>
      </c>
      <c r="M214" s="16"/>
      <c r="N214" s="34"/>
      <c r="O214" s="35"/>
      <c r="P214" s="16"/>
      <c r="Q214" s="46">
        <f t="shared" si="8"/>
        <v>894.24</v>
      </c>
      <c r="R214" s="47">
        <f t="shared" si="7"/>
        <v>0</v>
      </c>
      <c r="S214" s="48"/>
    </row>
    <row r="215" s="1" customFormat="1" customHeight="1" spans="1:19">
      <c r="A215" s="14">
        <v>225</v>
      </c>
      <c r="B215" s="20">
        <v>45962</v>
      </c>
      <c r="C215" s="16" t="s">
        <v>630</v>
      </c>
      <c r="D215" s="17">
        <v>4002</v>
      </c>
      <c r="E215" s="18" t="s">
        <v>633</v>
      </c>
      <c r="F215" s="19" t="s">
        <v>60</v>
      </c>
      <c r="G215" s="19" t="s">
        <v>1734</v>
      </c>
      <c r="H215" s="16" t="s">
        <v>1741</v>
      </c>
      <c r="I215" s="33">
        <v>906.66</v>
      </c>
      <c r="J215" s="33">
        <v>906.66</v>
      </c>
      <c r="K215" s="33"/>
      <c r="L215" s="34">
        <v>45967</v>
      </c>
      <c r="M215" s="16"/>
      <c r="N215" s="34"/>
      <c r="O215" s="16"/>
      <c r="P215" s="34"/>
      <c r="Q215" s="46">
        <f t="shared" si="8"/>
        <v>906.66</v>
      </c>
      <c r="R215" s="47">
        <f t="shared" si="7"/>
        <v>0</v>
      </c>
      <c r="S215" s="48"/>
    </row>
    <row r="216" s="1" customFormat="1" customHeight="1" spans="1:19">
      <c r="A216" s="14">
        <v>226</v>
      </c>
      <c r="B216" s="20">
        <v>45962</v>
      </c>
      <c r="C216" s="16"/>
      <c r="D216" s="17"/>
      <c r="E216" s="18" t="s">
        <v>1815</v>
      </c>
      <c r="F216" s="19" t="s">
        <v>60</v>
      </c>
      <c r="G216" s="19" t="s">
        <v>1734</v>
      </c>
      <c r="H216" s="16" t="s">
        <v>1735</v>
      </c>
      <c r="I216" s="33">
        <v>53</v>
      </c>
      <c r="J216" s="33">
        <v>53</v>
      </c>
      <c r="K216" s="35"/>
      <c r="L216" s="34">
        <v>45979</v>
      </c>
      <c r="M216" s="16"/>
      <c r="N216" s="34"/>
      <c r="O216" s="16"/>
      <c r="P216" s="34"/>
      <c r="Q216" s="46">
        <f t="shared" si="8"/>
        <v>53</v>
      </c>
      <c r="R216" s="47">
        <f t="shared" si="7"/>
        <v>0</v>
      </c>
      <c r="S216" s="48" t="s">
        <v>1737</v>
      </c>
    </row>
    <row r="217" s="1" customFormat="1" customHeight="1" spans="1:19">
      <c r="A217" s="14">
        <v>227</v>
      </c>
      <c r="B217" s="15">
        <v>45901</v>
      </c>
      <c r="C217" s="16" t="s">
        <v>1044</v>
      </c>
      <c r="D217" s="17" t="s">
        <v>1816</v>
      </c>
      <c r="E217" s="18" t="s">
        <v>978</v>
      </c>
      <c r="F217" s="19" t="s">
        <v>56</v>
      </c>
      <c r="G217" s="19" t="s">
        <v>1734</v>
      </c>
      <c r="H217" s="16" t="s">
        <v>1735</v>
      </c>
      <c r="I217" s="41">
        <v>85.84</v>
      </c>
      <c r="J217" s="16">
        <v>85.84</v>
      </c>
      <c r="K217" s="16"/>
      <c r="L217" s="34">
        <v>45948</v>
      </c>
      <c r="M217" s="16"/>
      <c r="N217" s="34"/>
      <c r="O217" s="16"/>
      <c r="P217" s="16"/>
      <c r="Q217" s="46">
        <f t="shared" si="8"/>
        <v>85.84</v>
      </c>
      <c r="R217" s="47">
        <f t="shared" si="7"/>
        <v>0</v>
      </c>
      <c r="S217" s="48"/>
    </row>
    <row r="218" s="1" customFormat="1" customHeight="1" spans="1:19">
      <c r="A218" s="14">
        <v>228</v>
      </c>
      <c r="B218" s="20">
        <v>45870</v>
      </c>
      <c r="C218" s="16" t="s">
        <v>1044</v>
      </c>
      <c r="D218" s="17" t="s">
        <v>1816</v>
      </c>
      <c r="E218" s="18" t="s">
        <v>978</v>
      </c>
      <c r="F218" s="19" t="s">
        <v>55</v>
      </c>
      <c r="G218" s="19" t="s">
        <v>1734</v>
      </c>
      <c r="H218" s="16" t="s">
        <v>1735</v>
      </c>
      <c r="I218" s="16">
        <v>13.34</v>
      </c>
      <c r="J218" s="16">
        <v>13.34</v>
      </c>
      <c r="K218" s="16"/>
      <c r="L218" s="34">
        <v>45889</v>
      </c>
      <c r="M218" s="16"/>
      <c r="N218" s="34"/>
      <c r="O218" s="35"/>
      <c r="P218" s="16"/>
      <c r="Q218" s="46">
        <f t="shared" si="8"/>
        <v>13.34</v>
      </c>
      <c r="R218" s="47">
        <f t="shared" si="7"/>
        <v>0</v>
      </c>
      <c r="S218" s="48"/>
    </row>
    <row r="219" s="1" customFormat="1" customHeight="1" spans="1:19">
      <c r="A219" s="14">
        <v>229</v>
      </c>
      <c r="B219" s="15">
        <v>45839</v>
      </c>
      <c r="C219" s="16" t="s">
        <v>1044</v>
      </c>
      <c r="D219" s="17" t="s">
        <v>1816</v>
      </c>
      <c r="E219" s="18" t="s">
        <v>978</v>
      </c>
      <c r="F219" s="26" t="s">
        <v>102</v>
      </c>
      <c r="G219" s="19" t="s">
        <v>1734</v>
      </c>
      <c r="H219" s="16" t="s">
        <v>1735</v>
      </c>
      <c r="I219" s="16">
        <v>130.11</v>
      </c>
      <c r="J219" s="16">
        <v>130.11</v>
      </c>
      <c r="K219" s="16"/>
      <c r="L219" s="34">
        <v>45864</v>
      </c>
      <c r="M219" s="16"/>
      <c r="N219" s="34"/>
      <c r="O219" s="35"/>
      <c r="P219" s="16"/>
      <c r="Q219" s="46">
        <f t="shared" si="8"/>
        <v>130.11</v>
      </c>
      <c r="R219" s="47">
        <f t="shared" si="7"/>
        <v>0</v>
      </c>
      <c r="S219" s="48" t="s">
        <v>1817</v>
      </c>
    </row>
    <row r="220" s="1" customFormat="1" customHeight="1" spans="1:19">
      <c r="A220" s="14">
        <v>230</v>
      </c>
      <c r="B220" s="15">
        <v>45931</v>
      </c>
      <c r="C220" s="16" t="s">
        <v>1044</v>
      </c>
      <c r="D220" s="17" t="s">
        <v>1816</v>
      </c>
      <c r="E220" s="17" t="s">
        <v>978</v>
      </c>
      <c r="F220" s="19" t="s">
        <v>58</v>
      </c>
      <c r="G220" s="19" t="s">
        <v>1734</v>
      </c>
      <c r="H220" s="16" t="s">
        <v>1735</v>
      </c>
      <c r="I220" s="33">
        <v>80.24</v>
      </c>
      <c r="J220" s="35">
        <v>80.24</v>
      </c>
      <c r="K220" s="35"/>
      <c r="L220" s="34">
        <v>45948</v>
      </c>
      <c r="M220" s="16"/>
      <c r="N220" s="34"/>
      <c r="O220" s="35"/>
      <c r="P220" s="16"/>
      <c r="Q220" s="46">
        <f t="shared" si="8"/>
        <v>80.24</v>
      </c>
      <c r="R220" s="47">
        <f t="shared" si="7"/>
        <v>0</v>
      </c>
      <c r="S220" s="48"/>
    </row>
    <row r="221" s="1" customFormat="1" customHeight="1" spans="1:19">
      <c r="A221" s="14">
        <v>231</v>
      </c>
      <c r="B221" s="20">
        <v>45962</v>
      </c>
      <c r="C221" s="16" t="s">
        <v>1044</v>
      </c>
      <c r="D221" s="17" t="s">
        <v>1816</v>
      </c>
      <c r="E221" s="18" t="s">
        <v>978</v>
      </c>
      <c r="F221" s="19" t="s">
        <v>60</v>
      </c>
      <c r="G221" s="19" t="s">
        <v>1734</v>
      </c>
      <c r="H221" s="16" t="s">
        <v>1735</v>
      </c>
      <c r="I221" s="33">
        <v>80.33</v>
      </c>
      <c r="J221" s="35">
        <v>80.33</v>
      </c>
      <c r="K221" s="35"/>
      <c r="L221" s="34">
        <v>45987</v>
      </c>
      <c r="M221" s="16"/>
      <c r="N221" s="34"/>
      <c r="O221" s="35"/>
      <c r="P221" s="34"/>
      <c r="Q221" s="46">
        <f t="shared" si="8"/>
        <v>80.33</v>
      </c>
      <c r="R221" s="47">
        <f t="shared" si="7"/>
        <v>0</v>
      </c>
      <c r="S221" s="48" t="s">
        <v>1818</v>
      </c>
    </row>
    <row r="222" s="1" customFormat="1" customHeight="1" spans="1:19">
      <c r="A222" s="14">
        <v>232</v>
      </c>
      <c r="B222" s="15">
        <v>45839</v>
      </c>
      <c r="C222" s="16" t="s">
        <v>679</v>
      </c>
      <c r="D222" s="17" t="s">
        <v>1819</v>
      </c>
      <c r="E222" s="18" t="s">
        <v>720</v>
      </c>
      <c r="F222" s="26" t="s">
        <v>102</v>
      </c>
      <c r="G222" s="19" t="s">
        <v>1734</v>
      </c>
      <c r="H222" s="16" t="s">
        <v>1741</v>
      </c>
      <c r="I222" s="16">
        <v>182.4</v>
      </c>
      <c r="J222" s="16">
        <v>182.4</v>
      </c>
      <c r="K222" s="16"/>
      <c r="L222" s="34">
        <v>45884</v>
      </c>
      <c r="M222" s="16"/>
      <c r="N222" s="34"/>
      <c r="O222" s="16"/>
      <c r="P222" s="16"/>
      <c r="Q222" s="46">
        <f t="shared" si="8"/>
        <v>182.4</v>
      </c>
      <c r="R222" s="47">
        <f t="shared" si="7"/>
        <v>0</v>
      </c>
      <c r="S222" s="48"/>
    </row>
    <row r="223" s="1" customFormat="1" customHeight="1" spans="1:19">
      <c r="A223" s="14">
        <v>233</v>
      </c>
      <c r="B223" s="20">
        <v>45870</v>
      </c>
      <c r="C223" s="16" t="s">
        <v>679</v>
      </c>
      <c r="D223" s="17" t="s">
        <v>1819</v>
      </c>
      <c r="E223" s="18" t="s">
        <v>720</v>
      </c>
      <c r="F223" s="19" t="s">
        <v>55</v>
      </c>
      <c r="G223" s="19" t="s">
        <v>1734</v>
      </c>
      <c r="H223" s="16" t="s">
        <v>1741</v>
      </c>
      <c r="I223" s="16">
        <v>97.28</v>
      </c>
      <c r="J223" s="16">
        <v>97.28</v>
      </c>
      <c r="K223" s="16"/>
      <c r="L223" s="34">
        <v>45890</v>
      </c>
      <c r="M223" s="16"/>
      <c r="N223" s="34"/>
      <c r="O223" s="16"/>
      <c r="P223" s="16"/>
      <c r="Q223" s="46">
        <f t="shared" si="8"/>
        <v>97.28</v>
      </c>
      <c r="R223" s="47">
        <f t="shared" si="7"/>
        <v>0</v>
      </c>
      <c r="S223" s="48"/>
    </row>
    <row r="224" s="1" customFormat="1" customHeight="1" spans="1:19">
      <c r="A224" s="14">
        <v>234</v>
      </c>
      <c r="B224" s="15">
        <v>45901</v>
      </c>
      <c r="C224" s="16" t="s">
        <v>679</v>
      </c>
      <c r="D224" s="17" t="s">
        <v>1819</v>
      </c>
      <c r="E224" s="18" t="s">
        <v>720</v>
      </c>
      <c r="F224" s="19" t="s">
        <v>56</v>
      </c>
      <c r="G224" s="19" t="s">
        <v>1734</v>
      </c>
      <c r="H224" s="16" t="s">
        <v>1741</v>
      </c>
      <c r="I224" s="41">
        <v>115.52</v>
      </c>
      <c r="J224" s="41">
        <v>115.52</v>
      </c>
      <c r="K224" s="41"/>
      <c r="L224" s="34">
        <v>45916</v>
      </c>
      <c r="M224" s="16"/>
      <c r="N224" s="34"/>
      <c r="O224" s="16"/>
      <c r="P224" s="16"/>
      <c r="Q224" s="46">
        <f t="shared" si="8"/>
        <v>115.52</v>
      </c>
      <c r="R224" s="47">
        <f t="shared" si="7"/>
        <v>0</v>
      </c>
      <c r="S224" s="48"/>
    </row>
    <row r="225" s="1" customFormat="1" customHeight="1" spans="1:19">
      <c r="A225" s="14">
        <v>235</v>
      </c>
      <c r="B225" s="15">
        <v>45931</v>
      </c>
      <c r="C225" s="16" t="s">
        <v>679</v>
      </c>
      <c r="D225" s="17" t="s">
        <v>1819</v>
      </c>
      <c r="E225" s="18" t="s">
        <v>720</v>
      </c>
      <c r="F225" s="19" t="s">
        <v>58</v>
      </c>
      <c r="G225" s="19" t="s">
        <v>1734</v>
      </c>
      <c r="H225" s="16" t="s">
        <v>1741</v>
      </c>
      <c r="I225" s="33">
        <v>103.36</v>
      </c>
      <c r="J225" s="35">
        <v>103.36</v>
      </c>
      <c r="K225" s="35"/>
      <c r="L225" s="34">
        <v>45956</v>
      </c>
      <c r="M225" s="16"/>
      <c r="N225" s="34"/>
      <c r="O225" s="35"/>
      <c r="P225" s="16"/>
      <c r="Q225" s="46">
        <f t="shared" si="8"/>
        <v>103.36</v>
      </c>
      <c r="R225" s="47">
        <f t="shared" si="7"/>
        <v>0</v>
      </c>
      <c r="S225" s="48"/>
    </row>
    <row r="226" s="1" customFormat="1" customHeight="1" spans="1:19">
      <c r="A226" s="14">
        <v>236</v>
      </c>
      <c r="B226" s="20">
        <v>45962</v>
      </c>
      <c r="C226" s="16" t="s">
        <v>679</v>
      </c>
      <c r="D226" s="17" t="s">
        <v>1819</v>
      </c>
      <c r="E226" s="18" t="s">
        <v>720</v>
      </c>
      <c r="F226" s="19" t="s">
        <v>60</v>
      </c>
      <c r="G226" s="19" t="s">
        <v>1734</v>
      </c>
      <c r="H226" s="16" t="s">
        <v>1741</v>
      </c>
      <c r="I226" s="33">
        <v>182.4</v>
      </c>
      <c r="J226" s="35">
        <v>182.4</v>
      </c>
      <c r="K226" s="35"/>
      <c r="L226" s="34">
        <v>45971</v>
      </c>
      <c r="M226" s="16"/>
      <c r="N226" s="34"/>
      <c r="O226" s="35"/>
      <c r="P226" s="34"/>
      <c r="Q226" s="46">
        <f t="shared" si="8"/>
        <v>182.4</v>
      </c>
      <c r="R226" s="47">
        <f t="shared" si="7"/>
        <v>0</v>
      </c>
      <c r="S226" s="48"/>
    </row>
    <row r="227" s="1" customFormat="1" customHeight="1" spans="1:19">
      <c r="A227" s="14">
        <v>237</v>
      </c>
      <c r="B227" s="20">
        <v>45870</v>
      </c>
      <c r="C227" s="16" t="s">
        <v>1820</v>
      </c>
      <c r="D227" s="17" t="s">
        <v>1011</v>
      </c>
      <c r="E227" s="18" t="s">
        <v>1013</v>
      </c>
      <c r="F227" s="19" t="s">
        <v>55</v>
      </c>
      <c r="G227" s="19" t="s">
        <v>1734</v>
      </c>
      <c r="H227" s="16" t="s">
        <v>1735</v>
      </c>
      <c r="I227" s="16">
        <v>6658.18</v>
      </c>
      <c r="J227" s="16">
        <v>6658.18</v>
      </c>
      <c r="K227" s="16"/>
      <c r="L227" s="34">
        <v>45943</v>
      </c>
      <c r="M227" s="16"/>
      <c r="N227" s="34"/>
      <c r="O227" s="35"/>
      <c r="P227" s="16"/>
      <c r="Q227" s="46">
        <f t="shared" si="8"/>
        <v>6658.18</v>
      </c>
      <c r="R227" s="47">
        <f t="shared" si="7"/>
        <v>0</v>
      </c>
      <c r="S227" s="48"/>
    </row>
    <row r="228" s="1" customFormat="1" customHeight="1" spans="1:19">
      <c r="A228" s="14">
        <v>238</v>
      </c>
      <c r="B228" s="20">
        <v>45870</v>
      </c>
      <c r="C228" s="16" t="s">
        <v>1820</v>
      </c>
      <c r="D228" s="17" t="s">
        <v>1011</v>
      </c>
      <c r="E228" s="18" t="s">
        <v>1013</v>
      </c>
      <c r="F228" s="19" t="s">
        <v>55</v>
      </c>
      <c r="G228" s="19" t="s">
        <v>1734</v>
      </c>
      <c r="H228" s="16" t="s">
        <v>1741</v>
      </c>
      <c r="I228" s="16">
        <v>304.38</v>
      </c>
      <c r="J228" s="16">
        <v>304.38</v>
      </c>
      <c r="K228" s="16"/>
      <c r="L228" s="34">
        <v>45943</v>
      </c>
      <c r="M228" s="16"/>
      <c r="N228" s="34"/>
      <c r="O228" s="35"/>
      <c r="P228" s="16"/>
      <c r="Q228" s="46">
        <f t="shared" si="8"/>
        <v>304.38</v>
      </c>
      <c r="R228" s="47">
        <f t="shared" si="7"/>
        <v>0</v>
      </c>
      <c r="S228" s="48"/>
    </row>
    <row r="229" s="1" customFormat="1" customHeight="1" spans="1:19">
      <c r="A229" s="14">
        <v>239</v>
      </c>
      <c r="B229" s="15">
        <v>45901</v>
      </c>
      <c r="C229" s="16" t="s">
        <v>1820</v>
      </c>
      <c r="D229" s="17" t="s">
        <v>1011</v>
      </c>
      <c r="E229" s="18" t="s">
        <v>1013</v>
      </c>
      <c r="F229" s="19" t="s">
        <v>56</v>
      </c>
      <c r="G229" s="19" t="s">
        <v>1734</v>
      </c>
      <c r="H229" s="16" t="s">
        <v>1741</v>
      </c>
      <c r="I229" s="41">
        <v>383.04</v>
      </c>
      <c r="J229" s="16">
        <v>383.04</v>
      </c>
      <c r="K229" s="16"/>
      <c r="L229" s="34">
        <v>45943</v>
      </c>
      <c r="M229" s="16"/>
      <c r="N229" s="34"/>
      <c r="O229" s="16"/>
      <c r="P229" s="16"/>
      <c r="Q229" s="46">
        <f t="shared" si="8"/>
        <v>383.04</v>
      </c>
      <c r="R229" s="47">
        <f t="shared" si="7"/>
        <v>0</v>
      </c>
      <c r="S229" s="48"/>
    </row>
    <row r="230" s="1" customFormat="1" customHeight="1" spans="1:19">
      <c r="A230" s="14">
        <v>240</v>
      </c>
      <c r="B230" s="15">
        <v>45901</v>
      </c>
      <c r="C230" s="16" t="s">
        <v>1820</v>
      </c>
      <c r="D230" s="17" t="s">
        <v>1011</v>
      </c>
      <c r="E230" s="18" t="s">
        <v>1013</v>
      </c>
      <c r="F230" s="19" t="s">
        <v>56</v>
      </c>
      <c r="G230" s="19" t="s">
        <v>1734</v>
      </c>
      <c r="H230" s="16" t="s">
        <v>1735</v>
      </c>
      <c r="I230" s="41">
        <v>6190.47</v>
      </c>
      <c r="J230" s="16">
        <v>6190.47</v>
      </c>
      <c r="K230" s="16"/>
      <c r="L230" s="34">
        <v>45943</v>
      </c>
      <c r="M230" s="16"/>
      <c r="N230" s="34"/>
      <c r="O230" s="16"/>
      <c r="P230" s="16"/>
      <c r="Q230" s="46">
        <f t="shared" si="8"/>
        <v>6190.47</v>
      </c>
      <c r="R230" s="47">
        <f t="shared" si="7"/>
        <v>0</v>
      </c>
      <c r="S230" s="48"/>
    </row>
    <row r="231" s="1" customFormat="1" customHeight="1" spans="1:19">
      <c r="A231" s="14">
        <v>241</v>
      </c>
      <c r="B231" s="15">
        <v>45931</v>
      </c>
      <c r="C231" s="16" t="s">
        <v>1820</v>
      </c>
      <c r="D231" s="17" t="s">
        <v>1011</v>
      </c>
      <c r="E231" s="18" t="s">
        <v>1013</v>
      </c>
      <c r="F231" s="19" t="s">
        <v>58</v>
      </c>
      <c r="G231" s="19" t="s">
        <v>1734</v>
      </c>
      <c r="H231" s="16" t="s">
        <v>1741</v>
      </c>
      <c r="I231" s="16">
        <v>267.52</v>
      </c>
      <c r="J231" s="16">
        <v>267.52</v>
      </c>
      <c r="K231" s="16"/>
      <c r="L231" s="34"/>
      <c r="M231" s="16"/>
      <c r="N231" s="34"/>
      <c r="O231" s="16"/>
      <c r="P231" s="16"/>
      <c r="Q231" s="46">
        <f t="shared" si="8"/>
        <v>267.52</v>
      </c>
      <c r="R231" s="47">
        <f t="shared" si="7"/>
        <v>0</v>
      </c>
      <c r="S231" s="62"/>
    </row>
    <row r="232" s="1" customFormat="1" customHeight="1" spans="1:19">
      <c r="A232" s="14">
        <v>242</v>
      </c>
      <c r="B232" s="15">
        <v>45931</v>
      </c>
      <c r="C232" s="16" t="s">
        <v>1820</v>
      </c>
      <c r="D232" s="17" t="s">
        <v>1011</v>
      </c>
      <c r="E232" s="18" t="s">
        <v>1013</v>
      </c>
      <c r="F232" s="19" t="s">
        <v>58</v>
      </c>
      <c r="G232" s="19" t="s">
        <v>1734</v>
      </c>
      <c r="H232" s="16" t="s">
        <v>1735</v>
      </c>
      <c r="I232" s="35">
        <v>4922.736</v>
      </c>
      <c r="J232" s="16">
        <v>4922.736</v>
      </c>
      <c r="K232" s="16"/>
      <c r="L232" s="34">
        <v>45971</v>
      </c>
      <c r="M232" s="16"/>
      <c r="N232" s="34"/>
      <c r="O232" s="35"/>
      <c r="P232" s="16"/>
      <c r="Q232" s="46">
        <f t="shared" si="8"/>
        <v>4922.736</v>
      </c>
      <c r="R232" s="47">
        <f t="shared" si="7"/>
        <v>0</v>
      </c>
      <c r="S232" s="62"/>
    </row>
    <row r="233" s="1" customFormat="1" customHeight="1" spans="1:19">
      <c r="A233" s="14">
        <v>243</v>
      </c>
      <c r="B233" s="15">
        <v>45839</v>
      </c>
      <c r="C233" s="16" t="s">
        <v>1820</v>
      </c>
      <c r="D233" s="17" t="s">
        <v>1011</v>
      </c>
      <c r="E233" s="18" t="s">
        <v>1013</v>
      </c>
      <c r="F233" s="26" t="s">
        <v>102</v>
      </c>
      <c r="G233" s="19" t="s">
        <v>1734</v>
      </c>
      <c r="H233" s="16" t="s">
        <v>1735</v>
      </c>
      <c r="I233" s="16">
        <v>7499</v>
      </c>
      <c r="J233" s="16">
        <v>7499</v>
      </c>
      <c r="K233" s="16"/>
      <c r="L233" s="34">
        <v>45873</v>
      </c>
      <c r="M233" s="16"/>
      <c r="N233" s="34"/>
      <c r="O233" s="35"/>
      <c r="P233" s="16"/>
      <c r="Q233" s="46">
        <f t="shared" si="8"/>
        <v>7499</v>
      </c>
      <c r="R233" s="47">
        <f t="shared" si="7"/>
        <v>0</v>
      </c>
      <c r="S233" s="62"/>
    </row>
    <row r="234" s="1" customFormat="1" customHeight="1" spans="1:19">
      <c r="A234" s="14">
        <v>244</v>
      </c>
      <c r="B234" s="15">
        <v>45839</v>
      </c>
      <c r="C234" s="16" t="s">
        <v>1820</v>
      </c>
      <c r="D234" s="17" t="s">
        <v>1011</v>
      </c>
      <c r="E234" s="18" t="s">
        <v>1013</v>
      </c>
      <c r="F234" s="26" t="s">
        <v>102</v>
      </c>
      <c r="G234" s="19" t="s">
        <v>1734</v>
      </c>
      <c r="H234" s="16" t="s">
        <v>1741</v>
      </c>
      <c r="I234" s="16">
        <v>401.28</v>
      </c>
      <c r="J234" s="16">
        <v>401.28</v>
      </c>
      <c r="K234" s="16"/>
      <c r="L234" s="34">
        <v>45873</v>
      </c>
      <c r="M234" s="16"/>
      <c r="N234" s="34"/>
      <c r="O234" s="35"/>
      <c r="P234" s="16"/>
      <c r="Q234" s="46">
        <f t="shared" si="8"/>
        <v>401.28</v>
      </c>
      <c r="R234" s="47">
        <f t="shared" si="7"/>
        <v>0</v>
      </c>
      <c r="S234" s="62"/>
    </row>
    <row r="235" s="1" customFormat="1" customHeight="1" spans="1:19">
      <c r="A235" s="14">
        <v>245</v>
      </c>
      <c r="B235" s="20">
        <v>45962</v>
      </c>
      <c r="C235" s="16" t="s">
        <v>1820</v>
      </c>
      <c r="D235" s="17" t="s">
        <v>1011</v>
      </c>
      <c r="E235" s="18" t="s">
        <v>1013</v>
      </c>
      <c r="F235" s="19" t="s">
        <v>60</v>
      </c>
      <c r="G235" s="19" t="s">
        <v>1734</v>
      </c>
      <c r="H235" s="16" t="s">
        <v>1735</v>
      </c>
      <c r="I235" s="33">
        <v>3798.9</v>
      </c>
      <c r="J235" s="35">
        <v>3798.9</v>
      </c>
      <c r="K235" s="35"/>
      <c r="L235" s="34"/>
      <c r="M235" s="16"/>
      <c r="N235" s="34"/>
      <c r="O235" s="35"/>
      <c r="P235" s="34"/>
      <c r="Q235" s="46">
        <f t="shared" si="8"/>
        <v>3798.9</v>
      </c>
      <c r="R235" s="47">
        <f t="shared" si="7"/>
        <v>0</v>
      </c>
      <c r="S235" s="62"/>
    </row>
    <row r="236" s="1" customFormat="1" customHeight="1" spans="1:19">
      <c r="A236" s="14">
        <v>246</v>
      </c>
      <c r="B236" s="20">
        <v>45962</v>
      </c>
      <c r="C236" s="16"/>
      <c r="D236" s="334" t="s">
        <v>1821</v>
      </c>
      <c r="E236" s="18" t="s">
        <v>1822</v>
      </c>
      <c r="F236" s="19" t="s">
        <v>60</v>
      </c>
      <c r="G236" s="19" t="s">
        <v>1734</v>
      </c>
      <c r="H236" s="16" t="s">
        <v>1735</v>
      </c>
      <c r="I236" s="33">
        <v>26</v>
      </c>
      <c r="J236" s="35">
        <v>26</v>
      </c>
      <c r="K236" s="35"/>
      <c r="L236" s="34">
        <v>45979</v>
      </c>
      <c r="M236" s="16"/>
      <c r="N236" s="34"/>
      <c r="O236" s="16"/>
      <c r="P236" s="34"/>
      <c r="Q236" s="46">
        <f t="shared" si="8"/>
        <v>26</v>
      </c>
      <c r="R236" s="47">
        <f t="shared" si="7"/>
        <v>0</v>
      </c>
      <c r="S236" s="48" t="s">
        <v>1737</v>
      </c>
    </row>
    <row r="237" s="1" customFormat="1" customHeight="1" spans="1:19">
      <c r="A237" s="14">
        <v>247</v>
      </c>
      <c r="B237" s="15">
        <v>45901</v>
      </c>
      <c r="C237" s="16" t="s">
        <v>1820</v>
      </c>
      <c r="D237" s="17" t="s">
        <v>946</v>
      </c>
      <c r="E237" s="18" t="s">
        <v>948</v>
      </c>
      <c r="F237" s="19" t="s">
        <v>56</v>
      </c>
      <c r="G237" s="19" t="s">
        <v>1734</v>
      </c>
      <c r="H237" s="16" t="s">
        <v>1741</v>
      </c>
      <c r="I237" s="41">
        <v>54.72</v>
      </c>
      <c r="J237" s="16">
        <v>54.72</v>
      </c>
      <c r="K237" s="16"/>
      <c r="L237" s="34">
        <v>45952</v>
      </c>
      <c r="M237" s="16"/>
      <c r="N237" s="34"/>
      <c r="O237" s="16"/>
      <c r="P237" s="16"/>
      <c r="Q237" s="46">
        <f t="shared" si="8"/>
        <v>54.72</v>
      </c>
      <c r="R237" s="47">
        <f t="shared" si="7"/>
        <v>0</v>
      </c>
      <c r="S237" s="48"/>
    </row>
    <row r="238" s="1" customFormat="1" customHeight="1" spans="1:19">
      <c r="A238" s="14">
        <v>248</v>
      </c>
      <c r="B238" s="15">
        <v>45931</v>
      </c>
      <c r="C238" s="16" t="s">
        <v>1820</v>
      </c>
      <c r="D238" s="17" t="s">
        <v>946</v>
      </c>
      <c r="E238" s="18" t="s">
        <v>948</v>
      </c>
      <c r="F238" s="19" t="s">
        <v>58</v>
      </c>
      <c r="G238" s="19" t="s">
        <v>1734</v>
      </c>
      <c r="H238" s="16" t="s">
        <v>1741</v>
      </c>
      <c r="I238" s="42">
        <v>30.4</v>
      </c>
      <c r="J238" s="16">
        <v>30.4</v>
      </c>
      <c r="K238" s="16"/>
      <c r="L238" s="34">
        <v>45952</v>
      </c>
      <c r="M238" s="34"/>
      <c r="N238" s="16"/>
      <c r="O238" s="16"/>
      <c r="P238" s="16"/>
      <c r="Q238" s="46">
        <f t="shared" si="8"/>
        <v>30.4</v>
      </c>
      <c r="R238" s="47">
        <f t="shared" si="7"/>
        <v>0</v>
      </c>
      <c r="S238" s="48"/>
    </row>
    <row r="239" s="1" customFormat="1" customHeight="1" spans="1:19">
      <c r="A239" s="14">
        <v>249</v>
      </c>
      <c r="B239" s="20">
        <v>45870</v>
      </c>
      <c r="C239" s="16" t="s">
        <v>1820</v>
      </c>
      <c r="D239" s="17" t="s">
        <v>946</v>
      </c>
      <c r="E239" s="18" t="s">
        <v>948</v>
      </c>
      <c r="F239" s="19" t="s">
        <v>55</v>
      </c>
      <c r="G239" s="19" t="s">
        <v>1734</v>
      </c>
      <c r="H239" s="16" t="s">
        <v>1741</v>
      </c>
      <c r="I239" s="16">
        <v>48.64</v>
      </c>
      <c r="J239" s="16">
        <v>48.64</v>
      </c>
      <c r="K239" s="16"/>
      <c r="L239" s="34">
        <v>45894</v>
      </c>
      <c r="M239" s="16"/>
      <c r="N239" s="34"/>
      <c r="O239" s="35"/>
      <c r="P239" s="16"/>
      <c r="Q239" s="46">
        <f t="shared" si="8"/>
        <v>48.64</v>
      </c>
      <c r="R239" s="47">
        <f t="shared" si="7"/>
        <v>0</v>
      </c>
      <c r="S239" s="48"/>
    </row>
    <row r="240" s="1" customFormat="1" customHeight="1" spans="1:19">
      <c r="A240" s="14">
        <v>250</v>
      </c>
      <c r="B240" s="20">
        <v>45870</v>
      </c>
      <c r="C240" s="16" t="s">
        <v>1820</v>
      </c>
      <c r="D240" s="17" t="s">
        <v>946</v>
      </c>
      <c r="E240" s="18" t="s">
        <v>948</v>
      </c>
      <c r="F240" s="19" t="s">
        <v>55</v>
      </c>
      <c r="G240" s="19" t="s">
        <v>1734</v>
      </c>
      <c r="H240" s="16" t="s">
        <v>1735</v>
      </c>
      <c r="I240" s="16">
        <v>8126.54</v>
      </c>
      <c r="J240" s="16">
        <v>8126.54</v>
      </c>
      <c r="K240" s="16"/>
      <c r="L240" s="34">
        <v>45894</v>
      </c>
      <c r="M240" s="16"/>
      <c r="N240" s="34"/>
      <c r="O240" s="35"/>
      <c r="P240" s="16"/>
      <c r="Q240" s="46">
        <f t="shared" si="8"/>
        <v>8126.54</v>
      </c>
      <c r="R240" s="47">
        <f t="shared" si="7"/>
        <v>0</v>
      </c>
      <c r="S240" s="48"/>
    </row>
    <row r="241" s="1" customFormat="1" customHeight="1" spans="1:19">
      <c r="A241" s="14">
        <v>251</v>
      </c>
      <c r="B241" s="15">
        <v>45839</v>
      </c>
      <c r="C241" s="16" t="s">
        <v>1820</v>
      </c>
      <c r="D241" s="17" t="s">
        <v>946</v>
      </c>
      <c r="E241" s="18" t="s">
        <v>948</v>
      </c>
      <c r="F241" s="26" t="s">
        <v>102</v>
      </c>
      <c r="G241" s="19" t="s">
        <v>1734</v>
      </c>
      <c r="H241" s="16" t="s">
        <v>1735</v>
      </c>
      <c r="I241" s="16">
        <v>6326.8</v>
      </c>
      <c r="J241" s="16">
        <v>6326.8</v>
      </c>
      <c r="K241" s="16"/>
      <c r="L241" s="34">
        <v>45877</v>
      </c>
      <c r="M241" s="16"/>
      <c r="N241" s="34"/>
      <c r="O241" s="35"/>
      <c r="P241" s="16"/>
      <c r="Q241" s="46">
        <f t="shared" si="8"/>
        <v>6326.8</v>
      </c>
      <c r="R241" s="47">
        <f t="shared" si="7"/>
        <v>0</v>
      </c>
      <c r="S241" s="48"/>
    </row>
    <row r="242" s="1" customFormat="1" customHeight="1" spans="1:19">
      <c r="A242" s="14">
        <v>252</v>
      </c>
      <c r="B242" s="15">
        <v>45839</v>
      </c>
      <c r="C242" s="16" t="s">
        <v>1820</v>
      </c>
      <c r="D242" s="17" t="s">
        <v>946</v>
      </c>
      <c r="E242" s="18" t="s">
        <v>948</v>
      </c>
      <c r="F242" s="26" t="s">
        <v>102</v>
      </c>
      <c r="G242" s="19" t="s">
        <v>1734</v>
      </c>
      <c r="H242" s="16" t="s">
        <v>1741</v>
      </c>
      <c r="I242" s="16">
        <v>48.64</v>
      </c>
      <c r="J242" s="16">
        <v>48.64</v>
      </c>
      <c r="K242" s="16"/>
      <c r="L242" s="34">
        <v>45877</v>
      </c>
      <c r="M242" s="16"/>
      <c r="N242" s="34"/>
      <c r="O242" s="35"/>
      <c r="P242" s="16"/>
      <c r="Q242" s="46">
        <f t="shared" si="8"/>
        <v>48.64</v>
      </c>
      <c r="R242" s="47">
        <f t="shared" si="7"/>
        <v>0</v>
      </c>
      <c r="S242" s="48"/>
    </row>
    <row r="243" s="1" customFormat="1" customHeight="1" spans="1:19">
      <c r="A243" s="14">
        <v>253</v>
      </c>
      <c r="B243" s="15">
        <v>45901</v>
      </c>
      <c r="C243" s="16" t="s">
        <v>1820</v>
      </c>
      <c r="D243" s="17" t="s">
        <v>946</v>
      </c>
      <c r="E243" s="18" t="s">
        <v>948</v>
      </c>
      <c r="F243" s="19" t="s">
        <v>56</v>
      </c>
      <c r="G243" s="19" t="s">
        <v>1734</v>
      </c>
      <c r="H243" s="16" t="s">
        <v>1735</v>
      </c>
      <c r="I243" s="33">
        <v>7760.4</v>
      </c>
      <c r="J243" s="16">
        <v>7760.4</v>
      </c>
      <c r="K243" s="16"/>
      <c r="L243" s="34">
        <v>45916</v>
      </c>
      <c r="M243" s="16"/>
      <c r="N243" s="34"/>
      <c r="O243" s="16"/>
      <c r="P243" s="16"/>
      <c r="Q243" s="46">
        <f t="shared" si="8"/>
        <v>7760.4</v>
      </c>
      <c r="R243" s="47">
        <f t="shared" si="7"/>
        <v>0</v>
      </c>
      <c r="S243" s="48"/>
    </row>
    <row r="244" s="1" customFormat="1" customHeight="1" spans="1:19">
      <c r="A244" s="14">
        <v>254</v>
      </c>
      <c r="B244" s="15">
        <v>45931</v>
      </c>
      <c r="C244" s="16" t="s">
        <v>1820</v>
      </c>
      <c r="D244" s="17" t="s">
        <v>946</v>
      </c>
      <c r="E244" s="18" t="s">
        <v>948</v>
      </c>
      <c r="F244" s="19" t="s">
        <v>58</v>
      </c>
      <c r="G244" s="19" t="s">
        <v>1734</v>
      </c>
      <c r="H244" s="16" t="s">
        <v>1735</v>
      </c>
      <c r="I244" s="40">
        <v>6053.34</v>
      </c>
      <c r="J244" s="35">
        <v>6053.34</v>
      </c>
      <c r="K244" s="35"/>
      <c r="L244" s="34">
        <v>45952</v>
      </c>
      <c r="M244" s="16"/>
      <c r="N244" s="34"/>
      <c r="O244" s="16"/>
      <c r="P244" s="16"/>
      <c r="Q244" s="46">
        <f t="shared" si="8"/>
        <v>6053.34</v>
      </c>
      <c r="R244" s="47">
        <f t="shared" si="7"/>
        <v>0</v>
      </c>
      <c r="S244" s="48"/>
    </row>
    <row r="245" s="1" customFormat="1" customHeight="1" spans="1:19">
      <c r="A245" s="14">
        <v>255</v>
      </c>
      <c r="B245" s="20">
        <v>45962</v>
      </c>
      <c r="C245" s="16" t="s">
        <v>1820</v>
      </c>
      <c r="D245" s="17" t="s">
        <v>946</v>
      </c>
      <c r="E245" s="18" t="s">
        <v>948</v>
      </c>
      <c r="F245" s="19" t="s">
        <v>60</v>
      </c>
      <c r="G245" s="19" t="s">
        <v>1734</v>
      </c>
      <c r="H245" s="16" t="s">
        <v>1741</v>
      </c>
      <c r="I245" s="33">
        <v>24.32</v>
      </c>
      <c r="J245" s="35">
        <v>24.32</v>
      </c>
      <c r="K245" s="35"/>
      <c r="L245" s="34">
        <v>45979</v>
      </c>
      <c r="M245" s="16"/>
      <c r="N245" s="34"/>
      <c r="O245" s="16"/>
      <c r="P245" s="34"/>
      <c r="Q245" s="46">
        <f t="shared" si="8"/>
        <v>24.32</v>
      </c>
      <c r="R245" s="47">
        <f t="shared" si="7"/>
        <v>0</v>
      </c>
      <c r="S245" s="48"/>
    </row>
    <row r="246" s="1" customFormat="1" customHeight="1" spans="1:19">
      <c r="A246" s="14">
        <v>256</v>
      </c>
      <c r="B246" s="20">
        <v>45962</v>
      </c>
      <c r="C246" s="16" t="s">
        <v>1820</v>
      </c>
      <c r="D246" s="17" t="s">
        <v>946</v>
      </c>
      <c r="E246" s="18" t="s">
        <v>948</v>
      </c>
      <c r="F246" s="19" t="s">
        <v>60</v>
      </c>
      <c r="G246" s="19" t="s">
        <v>1734</v>
      </c>
      <c r="H246" s="16" t="s">
        <v>1735</v>
      </c>
      <c r="I246" s="33">
        <v>5709.69</v>
      </c>
      <c r="J246" s="33">
        <v>5709.69</v>
      </c>
      <c r="K246" s="33"/>
      <c r="L246" s="34">
        <v>45979</v>
      </c>
      <c r="M246" s="16"/>
      <c r="N246" s="34"/>
      <c r="O246" s="35"/>
      <c r="P246" s="34"/>
      <c r="Q246" s="46">
        <f t="shared" si="8"/>
        <v>5709.69</v>
      </c>
      <c r="R246" s="47">
        <f t="shared" si="7"/>
        <v>0</v>
      </c>
      <c r="S246" s="48"/>
    </row>
    <row r="247" s="1" customFormat="1" customHeight="1" spans="1:19">
      <c r="A247" s="14">
        <v>257</v>
      </c>
      <c r="B247" s="20">
        <v>45870</v>
      </c>
      <c r="C247" s="24" t="s">
        <v>285</v>
      </c>
      <c r="D247" s="17">
        <v>2036</v>
      </c>
      <c r="E247" s="18" t="s">
        <v>479</v>
      </c>
      <c r="F247" s="19" t="s">
        <v>55</v>
      </c>
      <c r="G247" s="19" t="s">
        <v>1734</v>
      </c>
      <c r="H247" s="16" t="s">
        <v>1741</v>
      </c>
      <c r="I247" s="35">
        <v>0.56</v>
      </c>
      <c r="J247" s="16">
        <v>0.56</v>
      </c>
      <c r="K247" s="16"/>
      <c r="L247" s="34">
        <v>45889</v>
      </c>
      <c r="M247" s="16"/>
      <c r="N247" s="34"/>
      <c r="O247" s="35"/>
      <c r="P247" s="16"/>
      <c r="Q247" s="46">
        <f t="shared" si="8"/>
        <v>0.56</v>
      </c>
      <c r="R247" s="47">
        <f t="shared" si="7"/>
        <v>0</v>
      </c>
      <c r="S247" s="48"/>
    </row>
    <row r="248" s="1" customFormat="1" customHeight="1" spans="1:19">
      <c r="A248" s="14">
        <v>258</v>
      </c>
      <c r="B248" s="15">
        <v>45901</v>
      </c>
      <c r="C248" s="24" t="s">
        <v>285</v>
      </c>
      <c r="D248" s="17">
        <v>2036</v>
      </c>
      <c r="E248" s="18" t="s">
        <v>479</v>
      </c>
      <c r="F248" s="19" t="s">
        <v>56</v>
      </c>
      <c r="G248" s="19" t="s">
        <v>1734</v>
      </c>
      <c r="H248" s="16" t="s">
        <v>1741</v>
      </c>
      <c r="I248" s="33">
        <v>30.4</v>
      </c>
      <c r="J248" s="16">
        <v>30.4</v>
      </c>
      <c r="K248" s="16"/>
      <c r="L248" s="34">
        <v>46043</v>
      </c>
      <c r="M248" s="16"/>
      <c r="N248" s="34"/>
      <c r="O248" s="35"/>
      <c r="P248" s="16"/>
      <c r="Q248" s="46">
        <f t="shared" si="8"/>
        <v>30.4</v>
      </c>
      <c r="R248" s="47">
        <f t="shared" si="7"/>
        <v>0</v>
      </c>
      <c r="S248" s="48"/>
    </row>
    <row r="249" s="1" customFormat="1" customHeight="1" spans="1:19">
      <c r="A249" s="14">
        <v>259</v>
      </c>
      <c r="B249" s="15">
        <v>45931</v>
      </c>
      <c r="C249" s="24" t="s">
        <v>285</v>
      </c>
      <c r="D249" s="17">
        <v>2036</v>
      </c>
      <c r="E249" s="18" t="s">
        <v>479</v>
      </c>
      <c r="F249" s="19" t="s">
        <v>58</v>
      </c>
      <c r="G249" s="19" t="s">
        <v>1734</v>
      </c>
      <c r="H249" s="16" t="s">
        <v>1741</v>
      </c>
      <c r="I249" s="33">
        <v>18.24</v>
      </c>
      <c r="J249" s="35">
        <v>18.24</v>
      </c>
      <c r="K249" s="35"/>
      <c r="L249" s="34">
        <v>46043</v>
      </c>
      <c r="M249" s="16"/>
      <c r="N249" s="34"/>
      <c r="O249" s="35"/>
      <c r="P249" s="16"/>
      <c r="Q249" s="46">
        <f t="shared" si="8"/>
        <v>18.24</v>
      </c>
      <c r="R249" s="47">
        <f t="shared" si="7"/>
        <v>0</v>
      </c>
      <c r="S249" s="48"/>
    </row>
    <row r="250" s="1" customFormat="1" customHeight="1" spans="1:19">
      <c r="A250" s="14">
        <v>260</v>
      </c>
      <c r="B250" s="20">
        <v>45962</v>
      </c>
      <c r="C250" s="24" t="s">
        <v>285</v>
      </c>
      <c r="D250" s="17">
        <v>2036</v>
      </c>
      <c r="E250" s="18" t="s">
        <v>479</v>
      </c>
      <c r="F250" s="19" t="s">
        <v>60</v>
      </c>
      <c r="G250" s="19" t="s">
        <v>1734</v>
      </c>
      <c r="H250" s="16" t="s">
        <v>1741</v>
      </c>
      <c r="I250" s="33">
        <v>30.4</v>
      </c>
      <c r="J250" s="35">
        <v>30.4</v>
      </c>
      <c r="K250" s="35"/>
      <c r="L250" s="34">
        <v>46043</v>
      </c>
      <c r="M250" s="16"/>
      <c r="N250" s="34"/>
      <c r="O250" s="16"/>
      <c r="P250" s="34"/>
      <c r="Q250" s="46">
        <f t="shared" si="8"/>
        <v>30.4</v>
      </c>
      <c r="R250" s="47">
        <f t="shared" si="7"/>
        <v>0</v>
      </c>
      <c r="S250" s="48"/>
    </row>
    <row r="251" s="1" customFormat="1" customHeight="1" spans="1:19">
      <c r="A251" s="14">
        <v>261</v>
      </c>
      <c r="B251" s="15">
        <v>45839</v>
      </c>
      <c r="C251" s="16" t="s">
        <v>679</v>
      </c>
      <c r="D251" s="17" t="s">
        <v>1823</v>
      </c>
      <c r="E251" s="18" t="s">
        <v>799</v>
      </c>
      <c r="F251" s="26" t="s">
        <v>102</v>
      </c>
      <c r="G251" s="19" t="s">
        <v>1734</v>
      </c>
      <c r="H251" s="16" t="s">
        <v>1741</v>
      </c>
      <c r="I251" s="16">
        <v>308.34</v>
      </c>
      <c r="J251" s="16">
        <v>308.34</v>
      </c>
      <c r="K251" s="16"/>
      <c r="L251" s="34">
        <v>45895</v>
      </c>
      <c r="M251" s="16"/>
      <c r="N251" s="34"/>
      <c r="O251" s="16"/>
      <c r="P251" s="16"/>
      <c r="Q251" s="46">
        <f t="shared" si="8"/>
        <v>308.34</v>
      </c>
      <c r="R251" s="47">
        <f t="shared" si="7"/>
        <v>0</v>
      </c>
      <c r="S251" s="48"/>
    </row>
    <row r="252" s="1" customFormat="1" customHeight="1" spans="1:19">
      <c r="A252" s="14">
        <v>262</v>
      </c>
      <c r="B252" s="20">
        <v>45870</v>
      </c>
      <c r="C252" s="16" t="s">
        <v>679</v>
      </c>
      <c r="D252" s="17" t="s">
        <v>1823</v>
      </c>
      <c r="E252" s="18" t="s">
        <v>799</v>
      </c>
      <c r="F252" s="19" t="s">
        <v>55</v>
      </c>
      <c r="G252" s="19" t="s">
        <v>1734</v>
      </c>
      <c r="H252" s="16" t="s">
        <v>1741</v>
      </c>
      <c r="I252" s="16">
        <v>1112.64</v>
      </c>
      <c r="J252" s="16">
        <v>1112.64</v>
      </c>
      <c r="K252" s="16"/>
      <c r="L252" s="34">
        <v>45895</v>
      </c>
      <c r="M252" s="16"/>
      <c r="N252" s="34"/>
      <c r="O252" s="16"/>
      <c r="P252" s="16"/>
      <c r="Q252" s="46">
        <f t="shared" si="8"/>
        <v>1112.64</v>
      </c>
      <c r="R252" s="47">
        <f t="shared" si="7"/>
        <v>0</v>
      </c>
      <c r="S252" s="49" t="s">
        <v>1824</v>
      </c>
    </row>
    <row r="253" s="1" customFormat="1" customHeight="1" spans="1:19">
      <c r="A253" s="14">
        <v>263</v>
      </c>
      <c r="B253" s="15">
        <v>45901</v>
      </c>
      <c r="C253" s="16" t="s">
        <v>679</v>
      </c>
      <c r="D253" s="17" t="s">
        <v>1823</v>
      </c>
      <c r="E253" s="18" t="s">
        <v>799</v>
      </c>
      <c r="F253" s="19" t="s">
        <v>56</v>
      </c>
      <c r="G253" s="19" t="s">
        <v>1734</v>
      </c>
      <c r="H253" s="16" t="s">
        <v>1741</v>
      </c>
      <c r="I253" s="41">
        <v>978.9</v>
      </c>
      <c r="J253" s="16">
        <v>978.9</v>
      </c>
      <c r="K253" s="16"/>
      <c r="L253" s="34">
        <v>45917</v>
      </c>
      <c r="M253" s="16"/>
      <c r="N253" s="34"/>
      <c r="O253" s="35"/>
      <c r="P253" s="16"/>
      <c r="Q253" s="46">
        <f t="shared" si="8"/>
        <v>978.9</v>
      </c>
      <c r="R253" s="47">
        <f t="shared" si="7"/>
        <v>0</v>
      </c>
      <c r="S253" s="48" t="s">
        <v>1825</v>
      </c>
    </row>
    <row r="254" s="1" customFormat="1" customHeight="1" spans="1:19">
      <c r="A254" s="14">
        <v>264</v>
      </c>
      <c r="B254" s="15">
        <v>45931</v>
      </c>
      <c r="C254" s="16" t="s">
        <v>679</v>
      </c>
      <c r="D254" s="17" t="s">
        <v>1823</v>
      </c>
      <c r="E254" s="18" t="s">
        <v>799</v>
      </c>
      <c r="F254" s="19" t="s">
        <v>58</v>
      </c>
      <c r="G254" s="19" t="s">
        <v>1734</v>
      </c>
      <c r="H254" s="16" t="s">
        <v>1741</v>
      </c>
      <c r="I254" s="33">
        <v>741.76</v>
      </c>
      <c r="J254" s="35">
        <v>741.76</v>
      </c>
      <c r="K254" s="35"/>
      <c r="L254" s="34">
        <v>45944</v>
      </c>
      <c r="M254" s="16"/>
      <c r="N254" s="34"/>
      <c r="O254" s="35"/>
      <c r="P254" s="16"/>
      <c r="Q254" s="46">
        <f t="shared" si="8"/>
        <v>741.76</v>
      </c>
      <c r="R254" s="47">
        <f t="shared" si="7"/>
        <v>0</v>
      </c>
      <c r="S254" s="48" t="s">
        <v>1826</v>
      </c>
    </row>
    <row r="255" s="1" customFormat="1" customHeight="1" spans="1:19">
      <c r="A255" s="14">
        <v>265</v>
      </c>
      <c r="B255" s="20">
        <v>45962</v>
      </c>
      <c r="C255" s="16" t="s">
        <v>679</v>
      </c>
      <c r="D255" s="17" t="s">
        <v>1823</v>
      </c>
      <c r="E255" s="18" t="s">
        <v>799</v>
      </c>
      <c r="F255" s="19" t="s">
        <v>60</v>
      </c>
      <c r="G255" s="19" t="s">
        <v>1734</v>
      </c>
      <c r="H255" s="16" t="s">
        <v>1741</v>
      </c>
      <c r="I255" s="33">
        <v>59.6999999999999</v>
      </c>
      <c r="J255" s="35">
        <v>59.6999999999999</v>
      </c>
      <c r="K255" s="35"/>
      <c r="L255" s="34">
        <v>45971</v>
      </c>
      <c r="M255" s="16"/>
      <c r="N255" s="34"/>
      <c r="O255" s="35"/>
      <c r="P255" s="34"/>
      <c r="Q255" s="46">
        <f t="shared" si="8"/>
        <v>59.6999999999999</v>
      </c>
      <c r="R255" s="47">
        <f t="shared" si="7"/>
        <v>0</v>
      </c>
      <c r="S255" s="48" t="s">
        <v>1827</v>
      </c>
    </row>
    <row r="256" s="1" customFormat="1" customHeight="1" spans="1:19">
      <c r="A256" s="14">
        <v>266</v>
      </c>
      <c r="B256" s="20">
        <v>45962</v>
      </c>
      <c r="C256" s="16"/>
      <c r="D256" s="17"/>
      <c r="E256" s="18" t="s">
        <v>1828</v>
      </c>
      <c r="F256" s="19" t="s">
        <v>60</v>
      </c>
      <c r="G256" s="19" t="s">
        <v>1734</v>
      </c>
      <c r="H256" s="16" t="s">
        <v>1735</v>
      </c>
      <c r="I256" s="33">
        <v>37</v>
      </c>
      <c r="J256" s="35">
        <v>37</v>
      </c>
      <c r="K256" s="35"/>
      <c r="L256" s="34">
        <v>45979</v>
      </c>
      <c r="M256" s="16"/>
      <c r="N256" s="34"/>
      <c r="O256" s="35"/>
      <c r="P256" s="34"/>
      <c r="Q256" s="46">
        <f t="shared" si="8"/>
        <v>37</v>
      </c>
      <c r="R256" s="47">
        <f t="shared" si="7"/>
        <v>0</v>
      </c>
      <c r="S256" s="48" t="s">
        <v>1737</v>
      </c>
    </row>
    <row r="257" s="1" customFormat="1" customHeight="1" spans="1:19">
      <c r="A257" s="14">
        <v>267</v>
      </c>
      <c r="B257" s="20">
        <v>45962</v>
      </c>
      <c r="C257" s="16" t="s">
        <v>1737</v>
      </c>
      <c r="D257" s="17">
        <v>11</v>
      </c>
      <c r="E257" s="18" t="s">
        <v>1829</v>
      </c>
      <c r="F257" s="19" t="s">
        <v>60</v>
      </c>
      <c r="G257" s="19" t="s">
        <v>1734</v>
      </c>
      <c r="H257" s="16" t="s">
        <v>1735</v>
      </c>
      <c r="I257" s="33">
        <v>8</v>
      </c>
      <c r="J257" s="35">
        <v>8</v>
      </c>
      <c r="K257" s="35"/>
      <c r="L257" s="34">
        <v>45979</v>
      </c>
      <c r="M257" s="16"/>
      <c r="N257" s="34"/>
      <c r="O257" s="16"/>
      <c r="P257" s="34"/>
      <c r="Q257" s="46">
        <f t="shared" si="8"/>
        <v>8</v>
      </c>
      <c r="R257" s="47">
        <f t="shared" si="7"/>
        <v>0</v>
      </c>
      <c r="S257" s="48" t="s">
        <v>1737</v>
      </c>
    </row>
    <row r="258" s="1" customFormat="1" customHeight="1" spans="1:19">
      <c r="A258" s="14">
        <v>268</v>
      </c>
      <c r="B258" s="15">
        <v>45839</v>
      </c>
      <c r="C258" s="16" t="s">
        <v>1127</v>
      </c>
      <c r="D258" s="17" t="s">
        <v>835</v>
      </c>
      <c r="E258" s="18" t="s">
        <v>836</v>
      </c>
      <c r="F258" s="26" t="s">
        <v>102</v>
      </c>
      <c r="G258" s="19" t="s">
        <v>1734</v>
      </c>
      <c r="H258" s="16" t="s">
        <v>1735</v>
      </c>
      <c r="I258" s="16">
        <v>54.99</v>
      </c>
      <c r="J258" s="16">
        <v>54.99</v>
      </c>
      <c r="K258" s="16"/>
      <c r="L258" s="34">
        <v>45816</v>
      </c>
      <c r="M258" s="16"/>
      <c r="N258" s="34"/>
      <c r="O258" s="16"/>
      <c r="P258" s="16"/>
      <c r="Q258" s="46">
        <f t="shared" si="8"/>
        <v>54.99</v>
      </c>
      <c r="R258" s="47">
        <f t="shared" si="7"/>
        <v>0</v>
      </c>
      <c r="S258" s="48" t="s">
        <v>1830</v>
      </c>
    </row>
    <row r="259" s="1" customFormat="1" customHeight="1" spans="1:19">
      <c r="A259" s="14">
        <v>269</v>
      </c>
      <c r="B259" s="15">
        <v>45901</v>
      </c>
      <c r="C259" s="16" t="s">
        <v>679</v>
      </c>
      <c r="D259" s="17">
        <v>5006</v>
      </c>
      <c r="E259" s="18" t="s">
        <v>706</v>
      </c>
      <c r="F259" s="19" t="s">
        <v>56</v>
      </c>
      <c r="G259" s="19" t="s">
        <v>1734</v>
      </c>
      <c r="H259" s="16" t="s">
        <v>1741</v>
      </c>
      <c r="I259" s="41">
        <v>188.12</v>
      </c>
      <c r="J259" s="16">
        <v>188.12</v>
      </c>
      <c r="K259" s="16"/>
      <c r="L259" s="34">
        <v>46182</v>
      </c>
      <c r="M259" s="16"/>
      <c r="N259" s="34"/>
      <c r="O259" s="16"/>
      <c r="P259" s="16"/>
      <c r="Q259" s="46">
        <f t="shared" si="8"/>
        <v>188.12</v>
      </c>
      <c r="R259" s="47">
        <f t="shared" ref="R259:R267" si="9">I259-Q259</f>
        <v>0</v>
      </c>
      <c r="S259" s="48"/>
    </row>
    <row r="260" s="1" customFormat="1" customHeight="1" spans="1:19">
      <c r="A260" s="14">
        <v>270</v>
      </c>
      <c r="B260" s="15">
        <v>45931</v>
      </c>
      <c r="C260" s="16" t="s">
        <v>679</v>
      </c>
      <c r="D260" s="25">
        <v>5006</v>
      </c>
      <c r="E260" s="18" t="s">
        <v>706</v>
      </c>
      <c r="F260" s="19" t="s">
        <v>58</v>
      </c>
      <c r="G260" s="19" t="s">
        <v>1734</v>
      </c>
      <c r="H260" s="16" t="s">
        <v>1741</v>
      </c>
      <c r="I260" s="33">
        <v>243.2</v>
      </c>
      <c r="J260" s="35">
        <v>243.2</v>
      </c>
      <c r="K260" s="35"/>
      <c r="L260" s="34">
        <v>46182</v>
      </c>
      <c r="M260" s="16"/>
      <c r="N260" s="34"/>
      <c r="O260" s="35"/>
      <c r="P260" s="16"/>
      <c r="Q260" s="46">
        <f t="shared" si="8"/>
        <v>243.2</v>
      </c>
      <c r="R260" s="47">
        <f t="shared" si="9"/>
        <v>0</v>
      </c>
      <c r="S260" s="48"/>
    </row>
    <row r="261" s="1" customFormat="1" customHeight="1" spans="1:19">
      <c r="A261" s="14">
        <v>271</v>
      </c>
      <c r="B261" s="20">
        <v>45870</v>
      </c>
      <c r="C261" s="16" t="s">
        <v>1127</v>
      </c>
      <c r="D261" s="17" t="s">
        <v>835</v>
      </c>
      <c r="E261" s="18" t="s">
        <v>836</v>
      </c>
      <c r="F261" s="19" t="s">
        <v>55</v>
      </c>
      <c r="G261" s="19" t="s">
        <v>1734</v>
      </c>
      <c r="H261" s="16" t="s">
        <v>1735</v>
      </c>
      <c r="I261" s="16">
        <v>486.48</v>
      </c>
      <c r="J261" s="16"/>
      <c r="K261" s="16"/>
      <c r="L261" s="34"/>
      <c r="M261" s="16"/>
      <c r="N261" s="34"/>
      <c r="O261" s="35">
        <v>486.48</v>
      </c>
      <c r="P261" s="34">
        <v>45816</v>
      </c>
      <c r="Q261" s="46">
        <f t="shared" si="8"/>
        <v>486.48</v>
      </c>
      <c r="R261" s="47">
        <f t="shared" si="9"/>
        <v>0</v>
      </c>
      <c r="S261" s="48"/>
    </row>
    <row r="262" s="1" customFormat="1" customHeight="1" spans="1:19">
      <c r="A262" s="14">
        <v>272</v>
      </c>
      <c r="B262" s="15">
        <v>45901</v>
      </c>
      <c r="C262" s="16" t="s">
        <v>1127</v>
      </c>
      <c r="D262" s="17" t="s">
        <v>835</v>
      </c>
      <c r="E262" s="18" t="s">
        <v>836</v>
      </c>
      <c r="F262" s="19" t="s">
        <v>56</v>
      </c>
      <c r="G262" s="19" t="s">
        <v>1734</v>
      </c>
      <c r="H262" s="16" t="s">
        <v>1735</v>
      </c>
      <c r="I262" s="33">
        <v>477.76</v>
      </c>
      <c r="J262" s="16">
        <v>19.23</v>
      </c>
      <c r="K262" s="16"/>
      <c r="L262" s="34">
        <v>46182</v>
      </c>
      <c r="M262" s="16"/>
      <c r="N262" s="34"/>
      <c r="O262" s="35">
        <v>458.53</v>
      </c>
      <c r="P262" s="34">
        <v>45816</v>
      </c>
      <c r="Q262" s="46">
        <f t="shared" si="8"/>
        <v>477.76</v>
      </c>
      <c r="R262" s="47">
        <f t="shared" si="9"/>
        <v>0</v>
      </c>
      <c r="S262" s="48"/>
    </row>
    <row r="263" s="1" customFormat="1" customHeight="1" spans="1:19">
      <c r="A263" s="14">
        <v>273</v>
      </c>
      <c r="B263" s="15">
        <v>45931</v>
      </c>
      <c r="C263" s="16" t="s">
        <v>1127</v>
      </c>
      <c r="D263" s="17" t="s">
        <v>835</v>
      </c>
      <c r="E263" s="17" t="s">
        <v>836</v>
      </c>
      <c r="F263" s="19" t="s">
        <v>58</v>
      </c>
      <c r="G263" s="19" t="s">
        <v>1734</v>
      </c>
      <c r="H263" s="16" t="s">
        <v>1735</v>
      </c>
      <c r="I263" s="33">
        <v>430.06</v>
      </c>
      <c r="J263" s="35">
        <v>430.06</v>
      </c>
      <c r="K263" s="35"/>
      <c r="L263" s="34">
        <v>46182</v>
      </c>
      <c r="M263" s="16"/>
      <c r="N263" s="34"/>
      <c r="O263" s="35"/>
      <c r="P263" s="16"/>
      <c r="Q263" s="46">
        <f t="shared" si="8"/>
        <v>430.06</v>
      </c>
      <c r="R263" s="47">
        <f t="shared" si="9"/>
        <v>0</v>
      </c>
      <c r="S263" s="48"/>
    </row>
    <row r="264" s="1" customFormat="1" customHeight="1" spans="1:19">
      <c r="A264" s="14">
        <v>274</v>
      </c>
      <c r="B264" s="20">
        <v>45962</v>
      </c>
      <c r="C264" s="16" t="s">
        <v>679</v>
      </c>
      <c r="D264" s="25">
        <v>5006</v>
      </c>
      <c r="E264" s="18" t="s">
        <v>706</v>
      </c>
      <c r="F264" s="19" t="s">
        <v>60</v>
      </c>
      <c r="G264" s="19" t="s">
        <v>1734</v>
      </c>
      <c r="H264" s="16" t="s">
        <v>1741</v>
      </c>
      <c r="I264" s="33">
        <v>237.12</v>
      </c>
      <c r="J264" s="35">
        <v>237.12</v>
      </c>
      <c r="K264" s="35"/>
      <c r="L264" s="34">
        <v>46182</v>
      </c>
      <c r="M264" s="16"/>
      <c r="N264" s="34"/>
      <c r="O264" s="16"/>
      <c r="P264" s="34"/>
      <c r="Q264" s="46">
        <f t="shared" si="8"/>
        <v>237.12</v>
      </c>
      <c r="R264" s="47">
        <f t="shared" si="9"/>
        <v>0</v>
      </c>
      <c r="S264" s="48"/>
    </row>
    <row r="265" s="1" customFormat="1" customHeight="1" spans="1:19">
      <c r="A265" s="14">
        <v>275</v>
      </c>
      <c r="B265" s="20">
        <v>45962</v>
      </c>
      <c r="C265" s="16" t="s">
        <v>1127</v>
      </c>
      <c r="D265" s="17" t="s">
        <v>835</v>
      </c>
      <c r="E265" s="18" t="s">
        <v>836</v>
      </c>
      <c r="F265" s="19" t="s">
        <v>60</v>
      </c>
      <c r="G265" s="19" t="s">
        <v>1734</v>
      </c>
      <c r="H265" s="16" t="s">
        <v>1735</v>
      </c>
      <c r="I265" s="33">
        <v>429.03</v>
      </c>
      <c r="J265" s="35">
        <v>429.03</v>
      </c>
      <c r="K265" s="35"/>
      <c r="L265" s="34">
        <v>46182</v>
      </c>
      <c r="M265" s="16"/>
      <c r="N265" s="34"/>
      <c r="O265" s="16"/>
      <c r="P265" s="34"/>
      <c r="Q265" s="46">
        <f t="shared" si="8"/>
        <v>429.03</v>
      </c>
      <c r="R265" s="47">
        <f t="shared" si="9"/>
        <v>0</v>
      </c>
      <c r="S265" s="48"/>
    </row>
    <row r="266" s="1" customFormat="1" customHeight="1" spans="1:19">
      <c r="A266" s="14">
        <v>276</v>
      </c>
      <c r="B266" s="20">
        <v>45870</v>
      </c>
      <c r="C266" s="16" t="s">
        <v>679</v>
      </c>
      <c r="D266" s="17">
        <v>5008</v>
      </c>
      <c r="E266" s="18" t="s">
        <v>713</v>
      </c>
      <c r="F266" s="19" t="s">
        <v>55</v>
      </c>
      <c r="G266" s="19" t="s">
        <v>1734</v>
      </c>
      <c r="H266" s="16" t="s">
        <v>1741</v>
      </c>
      <c r="I266" s="16">
        <v>3179.84</v>
      </c>
      <c r="J266" s="41">
        <v>3179.84</v>
      </c>
      <c r="K266" s="41"/>
      <c r="L266" s="34">
        <v>45911</v>
      </c>
      <c r="M266" s="16"/>
      <c r="N266" s="34"/>
      <c r="O266" s="16"/>
      <c r="P266" s="16"/>
      <c r="Q266" s="46">
        <f t="shared" si="8"/>
        <v>3179.84</v>
      </c>
      <c r="R266" s="47">
        <f t="shared" si="9"/>
        <v>0</v>
      </c>
      <c r="S266" s="48" t="s">
        <v>156</v>
      </c>
    </row>
    <row r="267" s="1" customFormat="1" customHeight="1" spans="1:19">
      <c r="A267" s="14">
        <v>277</v>
      </c>
      <c r="B267" s="15">
        <v>45839</v>
      </c>
      <c r="C267" s="16" t="s">
        <v>679</v>
      </c>
      <c r="D267" s="17">
        <v>5008</v>
      </c>
      <c r="E267" s="18" t="s">
        <v>713</v>
      </c>
      <c r="F267" s="26" t="s">
        <v>102</v>
      </c>
      <c r="G267" s="19" t="s">
        <v>1734</v>
      </c>
      <c r="H267" s="16" t="s">
        <v>1741</v>
      </c>
      <c r="I267" s="16">
        <v>2894.08</v>
      </c>
      <c r="J267" s="41">
        <v>2894.06</v>
      </c>
      <c r="K267" s="41"/>
      <c r="L267" s="34">
        <v>45911</v>
      </c>
      <c r="M267" s="16"/>
      <c r="N267" s="34"/>
      <c r="O267" s="35"/>
      <c r="P267" s="16"/>
      <c r="Q267" s="46">
        <f t="shared" si="8"/>
        <v>2894.06</v>
      </c>
      <c r="R267" s="47">
        <f t="shared" si="9"/>
        <v>0.0199999999999818</v>
      </c>
      <c r="S267" s="48"/>
    </row>
    <row r="268" s="1" customFormat="1" customHeight="1" spans="1:19">
      <c r="A268" s="14">
        <v>278</v>
      </c>
      <c r="B268" s="15">
        <v>45839</v>
      </c>
      <c r="C268" s="16"/>
      <c r="D268" s="17"/>
      <c r="E268" s="18" t="s">
        <v>713</v>
      </c>
      <c r="F268" s="26" t="s">
        <v>102</v>
      </c>
      <c r="G268" s="19" t="s">
        <v>1734</v>
      </c>
      <c r="H268" s="16" t="s">
        <v>1735</v>
      </c>
      <c r="I268" s="16">
        <v>114.78</v>
      </c>
      <c r="J268" s="41">
        <v>114.78</v>
      </c>
      <c r="K268" s="41"/>
      <c r="L268" s="34">
        <v>45911</v>
      </c>
      <c r="M268" s="16"/>
      <c r="N268" s="34"/>
      <c r="O268" s="35"/>
      <c r="P268" s="16"/>
      <c r="Q268" s="46">
        <f t="shared" si="8"/>
        <v>114.78</v>
      </c>
      <c r="R268" s="47"/>
      <c r="S268" s="48"/>
    </row>
    <row r="269" s="1" customFormat="1" customHeight="1" spans="1:19">
      <c r="A269" s="14">
        <v>279</v>
      </c>
      <c r="B269" s="15">
        <v>45901</v>
      </c>
      <c r="C269" s="16" t="s">
        <v>679</v>
      </c>
      <c r="D269" s="17">
        <v>5008</v>
      </c>
      <c r="E269" s="18" t="s">
        <v>713</v>
      </c>
      <c r="F269" s="19" t="s">
        <v>56</v>
      </c>
      <c r="G269" s="19" t="s">
        <v>1734</v>
      </c>
      <c r="H269" s="16" t="s">
        <v>1741</v>
      </c>
      <c r="I269" s="41">
        <v>2979.2</v>
      </c>
      <c r="J269" s="16">
        <v>2979.2</v>
      </c>
      <c r="K269" s="16"/>
      <c r="L269" s="34">
        <v>46021</v>
      </c>
      <c r="M269" s="16"/>
      <c r="N269" s="34"/>
      <c r="O269" s="35"/>
      <c r="P269" s="16"/>
      <c r="Q269" s="46">
        <f t="shared" si="8"/>
        <v>2979.2</v>
      </c>
      <c r="R269" s="47">
        <f t="shared" ref="R269:R332" si="10">I269-Q269</f>
        <v>0</v>
      </c>
      <c r="S269" s="48"/>
    </row>
    <row r="270" s="1" customFormat="1" customHeight="1" spans="1:19">
      <c r="A270" s="14">
        <v>280</v>
      </c>
      <c r="B270" s="15">
        <v>45931</v>
      </c>
      <c r="C270" s="16" t="s">
        <v>679</v>
      </c>
      <c r="D270" s="25">
        <v>5008</v>
      </c>
      <c r="E270" s="18" t="s">
        <v>713</v>
      </c>
      <c r="F270" s="19" t="s">
        <v>58</v>
      </c>
      <c r="G270" s="19" t="s">
        <v>1734</v>
      </c>
      <c r="H270" s="16" t="s">
        <v>1741</v>
      </c>
      <c r="I270" s="33">
        <v>2529.28</v>
      </c>
      <c r="J270" s="35">
        <v>2529.28</v>
      </c>
      <c r="K270" s="35"/>
      <c r="L270" s="34">
        <v>46021</v>
      </c>
      <c r="M270" s="16"/>
      <c r="N270" s="34"/>
      <c r="O270" s="35"/>
      <c r="P270" s="16"/>
      <c r="Q270" s="46">
        <f t="shared" si="8"/>
        <v>2529.28</v>
      </c>
      <c r="R270" s="47">
        <f t="shared" si="10"/>
        <v>0</v>
      </c>
      <c r="S270" s="48"/>
    </row>
    <row r="271" s="1" customFormat="1" customHeight="1" spans="1:19">
      <c r="A271" s="14">
        <v>281</v>
      </c>
      <c r="B271" s="20">
        <v>45870</v>
      </c>
      <c r="C271" s="16" t="s">
        <v>1743</v>
      </c>
      <c r="D271" s="17" t="s">
        <v>1831</v>
      </c>
      <c r="E271" s="18" t="s">
        <v>1832</v>
      </c>
      <c r="F271" s="19" t="s">
        <v>55</v>
      </c>
      <c r="G271" s="19" t="s">
        <v>1734</v>
      </c>
      <c r="H271" s="16" t="s">
        <v>1735</v>
      </c>
      <c r="I271" s="63">
        <v>126.82</v>
      </c>
      <c r="J271" s="63">
        <v>126.82</v>
      </c>
      <c r="K271" s="63"/>
      <c r="L271" s="64">
        <v>45911</v>
      </c>
      <c r="M271" s="16"/>
      <c r="N271" s="34"/>
      <c r="O271" s="16"/>
      <c r="P271" s="16"/>
      <c r="Q271" s="46">
        <f t="shared" si="8"/>
        <v>126.82</v>
      </c>
      <c r="R271" s="47">
        <f t="shared" si="10"/>
        <v>0</v>
      </c>
      <c r="S271" s="65" t="s">
        <v>156</v>
      </c>
    </row>
    <row r="272" s="1" customFormat="1" customHeight="1" spans="1:19">
      <c r="A272" s="14">
        <v>282</v>
      </c>
      <c r="B272" s="15">
        <v>45901</v>
      </c>
      <c r="C272" s="16" t="s">
        <v>1743</v>
      </c>
      <c r="D272" s="17" t="s">
        <v>1831</v>
      </c>
      <c r="E272" s="18" t="s">
        <v>1832</v>
      </c>
      <c r="F272" s="19" t="s">
        <v>56</v>
      </c>
      <c r="G272" s="19" t="s">
        <v>1734</v>
      </c>
      <c r="H272" s="16" t="s">
        <v>1735</v>
      </c>
      <c r="I272" s="44">
        <v>128.27</v>
      </c>
      <c r="J272" s="16">
        <v>128.27</v>
      </c>
      <c r="K272" s="16"/>
      <c r="L272" s="34">
        <v>46062</v>
      </c>
      <c r="M272" s="16"/>
      <c r="N272" s="34"/>
      <c r="O272" s="16"/>
      <c r="P272" s="16"/>
      <c r="Q272" s="46">
        <f t="shared" si="8"/>
        <v>128.27</v>
      </c>
      <c r="R272" s="47">
        <f t="shared" si="10"/>
        <v>0</v>
      </c>
      <c r="S272" s="48"/>
    </row>
    <row r="273" s="1" customFormat="1" customHeight="1" spans="1:19">
      <c r="A273" s="14">
        <v>283</v>
      </c>
      <c r="B273" s="15">
        <v>45931</v>
      </c>
      <c r="C273" s="16" t="s">
        <v>1743</v>
      </c>
      <c r="D273" s="17" t="s">
        <v>1831</v>
      </c>
      <c r="E273" s="17" t="s">
        <v>1832</v>
      </c>
      <c r="F273" s="19" t="s">
        <v>58</v>
      </c>
      <c r="G273" s="19" t="s">
        <v>1734</v>
      </c>
      <c r="H273" s="16" t="s">
        <v>1735</v>
      </c>
      <c r="I273" s="33">
        <v>151.47</v>
      </c>
      <c r="J273" s="35">
        <v>151.47</v>
      </c>
      <c r="K273" s="35"/>
      <c r="L273" s="34">
        <v>46062</v>
      </c>
      <c r="M273" s="16"/>
      <c r="N273" s="34"/>
      <c r="O273" s="16"/>
      <c r="P273" s="16"/>
      <c r="Q273" s="46">
        <f t="shared" si="8"/>
        <v>151.47</v>
      </c>
      <c r="R273" s="47">
        <f t="shared" si="10"/>
        <v>0</v>
      </c>
      <c r="S273" s="48"/>
    </row>
    <row r="274" s="1" customFormat="1" customHeight="1" spans="1:19">
      <c r="A274" s="14">
        <v>284</v>
      </c>
      <c r="B274" s="20">
        <v>45962</v>
      </c>
      <c r="C274" s="16" t="s">
        <v>679</v>
      </c>
      <c r="D274" s="25">
        <v>5008</v>
      </c>
      <c r="E274" s="18" t="s">
        <v>713</v>
      </c>
      <c r="F274" s="19" t="s">
        <v>60</v>
      </c>
      <c r="G274" s="19" t="s">
        <v>1734</v>
      </c>
      <c r="H274" s="16" t="s">
        <v>1741</v>
      </c>
      <c r="I274" s="33">
        <v>2802.88</v>
      </c>
      <c r="J274" s="35">
        <v>2802.88</v>
      </c>
      <c r="K274" s="35"/>
      <c r="L274" s="34">
        <v>46062</v>
      </c>
      <c r="M274" s="16"/>
      <c r="N274" s="34"/>
      <c r="O274" s="35"/>
      <c r="P274" s="34"/>
      <c r="Q274" s="46">
        <f t="shared" si="8"/>
        <v>2802.88</v>
      </c>
      <c r="R274" s="47">
        <f t="shared" si="10"/>
        <v>0</v>
      </c>
      <c r="S274" s="48"/>
    </row>
    <row r="275" s="1" customFormat="1" customHeight="1" spans="1:19">
      <c r="A275" s="14">
        <v>285</v>
      </c>
      <c r="B275" s="20">
        <v>45962</v>
      </c>
      <c r="C275" s="16" t="s">
        <v>1743</v>
      </c>
      <c r="D275" s="17" t="s">
        <v>1831</v>
      </c>
      <c r="E275" s="18" t="s">
        <v>1832</v>
      </c>
      <c r="F275" s="19" t="s">
        <v>60</v>
      </c>
      <c r="G275" s="19" t="s">
        <v>1734</v>
      </c>
      <c r="H275" s="16" t="s">
        <v>1735</v>
      </c>
      <c r="I275" s="33">
        <v>178.61</v>
      </c>
      <c r="J275" s="35">
        <v>178.61</v>
      </c>
      <c r="K275" s="35"/>
      <c r="L275" s="34">
        <v>46062</v>
      </c>
      <c r="M275" s="16"/>
      <c r="N275" s="34"/>
      <c r="O275" s="35"/>
      <c r="P275" s="34"/>
      <c r="Q275" s="46">
        <f t="shared" si="8"/>
        <v>178.61</v>
      </c>
      <c r="R275" s="47">
        <f t="shared" si="10"/>
        <v>0</v>
      </c>
      <c r="S275" s="48"/>
    </row>
    <row r="276" s="1" customFormat="1" customHeight="1" spans="1:19">
      <c r="A276" s="14">
        <v>287</v>
      </c>
      <c r="B276" s="20">
        <v>45870</v>
      </c>
      <c r="C276" s="16" t="s">
        <v>679</v>
      </c>
      <c r="D276" s="17" t="s">
        <v>1833</v>
      </c>
      <c r="E276" s="18" t="s">
        <v>813</v>
      </c>
      <c r="F276" s="19" t="s">
        <v>55</v>
      </c>
      <c r="G276" s="19" t="s">
        <v>1734</v>
      </c>
      <c r="H276" s="16" t="s">
        <v>1741</v>
      </c>
      <c r="I276" s="16">
        <v>896.87</v>
      </c>
      <c r="J276" s="16">
        <v>896.87</v>
      </c>
      <c r="K276" s="16"/>
      <c r="L276" s="34">
        <v>46008</v>
      </c>
      <c r="M276" s="16"/>
      <c r="N276" s="34"/>
      <c r="O276" s="35"/>
      <c r="P276" s="16"/>
      <c r="Q276" s="46">
        <f t="shared" si="8"/>
        <v>896.87</v>
      </c>
      <c r="R276" s="47">
        <f t="shared" si="10"/>
        <v>0</v>
      </c>
      <c r="S276" s="48"/>
    </row>
    <row r="277" s="1" customFormat="1" customHeight="1" spans="1:19">
      <c r="A277" s="14">
        <v>288</v>
      </c>
      <c r="B277" s="15">
        <v>45839</v>
      </c>
      <c r="C277" s="16" t="s">
        <v>679</v>
      </c>
      <c r="D277" s="25" t="s">
        <v>1833</v>
      </c>
      <c r="E277" s="21" t="s">
        <v>813</v>
      </c>
      <c r="F277" s="19" t="s">
        <v>102</v>
      </c>
      <c r="G277" s="19" t="s">
        <v>1734</v>
      </c>
      <c r="H277" s="24" t="s">
        <v>1741</v>
      </c>
      <c r="I277" s="40">
        <v>288.87</v>
      </c>
      <c r="J277" s="16">
        <v>288.87</v>
      </c>
      <c r="K277" s="16"/>
      <c r="L277" s="34">
        <v>46008</v>
      </c>
      <c r="M277" s="16"/>
      <c r="N277" s="34"/>
      <c r="O277" s="16"/>
      <c r="P277" s="16"/>
      <c r="Q277" s="46">
        <f t="shared" ref="Q277:Q340" si="11">J277+M277+O277</f>
        <v>288.87</v>
      </c>
      <c r="R277" s="47">
        <f t="shared" si="10"/>
        <v>0</v>
      </c>
      <c r="S277" s="48"/>
    </row>
    <row r="278" s="1" customFormat="1" customHeight="1" spans="1:19">
      <c r="A278" s="14">
        <v>289</v>
      </c>
      <c r="B278" s="15">
        <v>45901</v>
      </c>
      <c r="C278" s="16" t="s">
        <v>679</v>
      </c>
      <c r="D278" s="17" t="s">
        <v>1833</v>
      </c>
      <c r="E278" s="18" t="s">
        <v>813</v>
      </c>
      <c r="F278" s="19" t="s">
        <v>56</v>
      </c>
      <c r="G278" s="19" t="s">
        <v>1734</v>
      </c>
      <c r="H278" s="16" t="s">
        <v>1741</v>
      </c>
      <c r="I278" s="41">
        <v>504.64</v>
      </c>
      <c r="J278" s="16">
        <v>504.64</v>
      </c>
      <c r="K278" s="16"/>
      <c r="L278" s="34">
        <v>46008</v>
      </c>
      <c r="M278" s="16"/>
      <c r="N278" s="34"/>
      <c r="O278" s="16"/>
      <c r="P278" s="16"/>
      <c r="Q278" s="46">
        <f t="shared" si="11"/>
        <v>504.64</v>
      </c>
      <c r="R278" s="47">
        <f t="shared" si="10"/>
        <v>0</v>
      </c>
      <c r="S278" s="48"/>
    </row>
    <row r="279" s="1" customFormat="1" customHeight="1" spans="1:19">
      <c r="A279" s="14">
        <v>290</v>
      </c>
      <c r="B279" s="15">
        <v>45931</v>
      </c>
      <c r="C279" s="16" t="s">
        <v>679</v>
      </c>
      <c r="D279" s="17" t="s">
        <v>1833</v>
      </c>
      <c r="E279" s="18" t="s">
        <v>813</v>
      </c>
      <c r="F279" s="19" t="s">
        <v>58</v>
      </c>
      <c r="G279" s="19" t="s">
        <v>1734</v>
      </c>
      <c r="H279" s="16" t="s">
        <v>1741</v>
      </c>
      <c r="I279" s="33">
        <v>547.2</v>
      </c>
      <c r="J279" s="35">
        <v>547.2</v>
      </c>
      <c r="K279" s="35"/>
      <c r="L279" s="34">
        <v>46008</v>
      </c>
      <c r="M279" s="16"/>
      <c r="N279" s="34"/>
      <c r="O279" s="16"/>
      <c r="P279" s="16"/>
      <c r="Q279" s="46">
        <f t="shared" si="11"/>
        <v>547.2</v>
      </c>
      <c r="R279" s="47">
        <f t="shared" si="10"/>
        <v>0</v>
      </c>
      <c r="S279" s="48"/>
    </row>
    <row r="280" s="1" customFormat="1" customHeight="1" spans="1:19">
      <c r="A280" s="14">
        <v>291</v>
      </c>
      <c r="B280" s="20">
        <v>45962</v>
      </c>
      <c r="C280" s="16" t="s">
        <v>679</v>
      </c>
      <c r="D280" s="17" t="s">
        <v>1833</v>
      </c>
      <c r="E280" s="18" t="s">
        <v>813</v>
      </c>
      <c r="F280" s="19" t="s">
        <v>60</v>
      </c>
      <c r="G280" s="19" t="s">
        <v>1734</v>
      </c>
      <c r="H280" s="16" t="s">
        <v>1741</v>
      </c>
      <c r="I280" s="33">
        <v>589.76</v>
      </c>
      <c r="J280" s="35">
        <v>589.76</v>
      </c>
      <c r="K280" s="35"/>
      <c r="L280" s="34">
        <v>46008</v>
      </c>
      <c r="M280" s="16"/>
      <c r="N280" s="34"/>
      <c r="O280" s="35"/>
      <c r="P280" s="34"/>
      <c r="Q280" s="46">
        <f t="shared" si="11"/>
        <v>589.76</v>
      </c>
      <c r="R280" s="47">
        <f t="shared" si="10"/>
        <v>0</v>
      </c>
      <c r="S280" s="48"/>
    </row>
    <row r="281" s="1" customFormat="1" customHeight="1" spans="1:19">
      <c r="A281" s="14">
        <v>292</v>
      </c>
      <c r="B281" s="20">
        <v>45870</v>
      </c>
      <c r="C281" s="16" t="s">
        <v>679</v>
      </c>
      <c r="D281" s="17">
        <v>5003</v>
      </c>
      <c r="E281" s="18" t="s">
        <v>696</v>
      </c>
      <c r="F281" s="19" t="s">
        <v>55</v>
      </c>
      <c r="G281" s="19" t="s">
        <v>1734</v>
      </c>
      <c r="H281" s="16" t="s">
        <v>1741</v>
      </c>
      <c r="I281" s="16">
        <v>1288.4</v>
      </c>
      <c r="J281" s="16">
        <v>1288.4</v>
      </c>
      <c r="K281" s="16"/>
      <c r="L281" s="34">
        <v>45899</v>
      </c>
      <c r="M281" s="16"/>
      <c r="N281" s="34"/>
      <c r="O281" s="35"/>
      <c r="P281" s="16"/>
      <c r="Q281" s="46">
        <f t="shared" si="11"/>
        <v>1288.4</v>
      </c>
      <c r="R281" s="47">
        <f t="shared" si="10"/>
        <v>0</v>
      </c>
      <c r="S281" s="48"/>
    </row>
    <row r="282" s="1" customFormat="1" customHeight="1" spans="1:19">
      <c r="A282" s="14">
        <v>293</v>
      </c>
      <c r="B282" s="15">
        <v>45839</v>
      </c>
      <c r="C282" s="16" t="s">
        <v>679</v>
      </c>
      <c r="D282" s="17">
        <v>5003</v>
      </c>
      <c r="E282" s="18" t="s">
        <v>696</v>
      </c>
      <c r="F282" s="26" t="s">
        <v>102</v>
      </c>
      <c r="G282" s="19" t="s">
        <v>1734</v>
      </c>
      <c r="H282" s="16" t="s">
        <v>1741</v>
      </c>
      <c r="I282" s="16">
        <v>1133.44</v>
      </c>
      <c r="J282" s="16">
        <v>1133.44</v>
      </c>
      <c r="K282" s="16"/>
      <c r="L282" s="34">
        <v>45863</v>
      </c>
      <c r="M282" s="16"/>
      <c r="N282" s="34"/>
      <c r="O282" s="35"/>
      <c r="P282" s="16"/>
      <c r="Q282" s="46">
        <f t="shared" si="11"/>
        <v>1133.44</v>
      </c>
      <c r="R282" s="47">
        <f t="shared" si="10"/>
        <v>0</v>
      </c>
      <c r="S282" s="48"/>
    </row>
    <row r="283" s="1" customFormat="1" customHeight="1" spans="1:19">
      <c r="A283" s="14">
        <v>294</v>
      </c>
      <c r="B283" s="15">
        <v>45901</v>
      </c>
      <c r="C283" s="16" t="s">
        <v>679</v>
      </c>
      <c r="D283" s="17">
        <v>5003</v>
      </c>
      <c r="E283" s="18" t="s">
        <v>696</v>
      </c>
      <c r="F283" s="19" t="s">
        <v>56</v>
      </c>
      <c r="G283" s="19" t="s">
        <v>1734</v>
      </c>
      <c r="H283" s="16" t="s">
        <v>1741</v>
      </c>
      <c r="I283" s="44">
        <v>1192.24</v>
      </c>
      <c r="J283" s="16">
        <v>1192.24</v>
      </c>
      <c r="K283" s="16"/>
      <c r="L283" s="34">
        <v>45955</v>
      </c>
      <c r="M283" s="16"/>
      <c r="N283" s="34"/>
      <c r="O283" s="35"/>
      <c r="P283" s="16"/>
      <c r="Q283" s="46">
        <f t="shared" si="11"/>
        <v>1192.24</v>
      </c>
      <c r="R283" s="47">
        <f t="shared" si="10"/>
        <v>0</v>
      </c>
      <c r="S283" s="48"/>
    </row>
    <row r="284" s="1" customFormat="1" customHeight="1" spans="1:19">
      <c r="A284" s="14">
        <v>295</v>
      </c>
      <c r="B284" s="15">
        <v>45931</v>
      </c>
      <c r="C284" s="16" t="s">
        <v>679</v>
      </c>
      <c r="D284" s="25">
        <v>5003</v>
      </c>
      <c r="E284" s="18" t="s">
        <v>696</v>
      </c>
      <c r="F284" s="19" t="s">
        <v>58</v>
      </c>
      <c r="G284" s="19" t="s">
        <v>1734</v>
      </c>
      <c r="H284" s="16" t="s">
        <v>1741</v>
      </c>
      <c r="I284" s="33">
        <v>912</v>
      </c>
      <c r="J284" s="35">
        <v>912</v>
      </c>
      <c r="K284" s="35"/>
      <c r="L284" s="34">
        <v>45955</v>
      </c>
      <c r="M284" s="16"/>
      <c r="N284" s="34"/>
      <c r="O284" s="16"/>
      <c r="P284" s="16"/>
      <c r="Q284" s="46">
        <f t="shared" si="11"/>
        <v>912</v>
      </c>
      <c r="R284" s="47">
        <f t="shared" si="10"/>
        <v>0</v>
      </c>
      <c r="S284" s="48"/>
    </row>
    <row r="285" s="1" customFormat="1" customHeight="1" spans="1:19">
      <c r="A285" s="14">
        <v>296</v>
      </c>
      <c r="B285" s="20">
        <v>45962</v>
      </c>
      <c r="C285" s="16" t="s">
        <v>679</v>
      </c>
      <c r="D285" s="25">
        <v>5003</v>
      </c>
      <c r="E285" s="18" t="s">
        <v>696</v>
      </c>
      <c r="F285" s="19" t="s">
        <v>60</v>
      </c>
      <c r="G285" s="19" t="s">
        <v>1734</v>
      </c>
      <c r="H285" s="16" t="s">
        <v>1741</v>
      </c>
      <c r="I285" s="33">
        <v>881.6</v>
      </c>
      <c r="J285" s="35">
        <v>881.6</v>
      </c>
      <c r="K285" s="35"/>
      <c r="L285" s="34">
        <v>45973</v>
      </c>
      <c r="M285" s="16"/>
      <c r="N285" s="34"/>
      <c r="O285" s="16"/>
      <c r="P285" s="34"/>
      <c r="Q285" s="46">
        <f t="shared" si="11"/>
        <v>881.6</v>
      </c>
      <c r="R285" s="47">
        <f t="shared" si="10"/>
        <v>0</v>
      </c>
      <c r="S285" s="48"/>
    </row>
    <row r="286" s="1" customFormat="1" customHeight="1" spans="1:19">
      <c r="A286" s="14">
        <v>297</v>
      </c>
      <c r="B286" s="15">
        <v>45901</v>
      </c>
      <c r="C286" s="16" t="s">
        <v>909</v>
      </c>
      <c r="D286" s="17" t="s">
        <v>993</v>
      </c>
      <c r="E286" s="18" t="s">
        <v>994</v>
      </c>
      <c r="F286" s="19" t="s">
        <v>56</v>
      </c>
      <c r="G286" s="19" t="s">
        <v>1734</v>
      </c>
      <c r="H286" s="16" t="s">
        <v>1735</v>
      </c>
      <c r="I286" s="41">
        <v>353.21</v>
      </c>
      <c r="J286" s="16">
        <v>353.21</v>
      </c>
      <c r="K286" s="16"/>
      <c r="L286" s="34">
        <v>45910</v>
      </c>
      <c r="M286" s="16"/>
      <c r="N286" s="34"/>
      <c r="O286" s="16"/>
      <c r="P286" s="16"/>
      <c r="Q286" s="46">
        <f t="shared" si="11"/>
        <v>353.21</v>
      </c>
      <c r="R286" s="47">
        <f t="shared" si="10"/>
        <v>0</v>
      </c>
      <c r="S286" s="48"/>
    </row>
    <row r="287" s="1" customFormat="1" customHeight="1" spans="1:19">
      <c r="A287" s="14">
        <v>298</v>
      </c>
      <c r="B287" s="20">
        <v>45870</v>
      </c>
      <c r="C287" s="16" t="s">
        <v>909</v>
      </c>
      <c r="D287" s="17" t="s">
        <v>993</v>
      </c>
      <c r="E287" s="18" t="s">
        <v>994</v>
      </c>
      <c r="F287" s="19" t="s">
        <v>55</v>
      </c>
      <c r="G287" s="19" t="s">
        <v>1734</v>
      </c>
      <c r="H287" s="16" t="s">
        <v>1735</v>
      </c>
      <c r="I287" s="16">
        <v>259.02</v>
      </c>
      <c r="J287" s="16">
        <v>259.02</v>
      </c>
      <c r="K287" s="16"/>
      <c r="L287" s="34">
        <v>45893</v>
      </c>
      <c r="M287" s="16"/>
      <c r="N287" s="34"/>
      <c r="O287" s="35"/>
      <c r="P287" s="16"/>
      <c r="Q287" s="46">
        <f t="shared" si="11"/>
        <v>259.02</v>
      </c>
      <c r="R287" s="47">
        <f t="shared" si="10"/>
        <v>0</v>
      </c>
      <c r="S287" s="48"/>
    </row>
    <row r="288" s="1" customFormat="1" customHeight="1" spans="1:19">
      <c r="A288" s="14">
        <v>299</v>
      </c>
      <c r="B288" s="15">
        <v>45931</v>
      </c>
      <c r="C288" s="16" t="s">
        <v>909</v>
      </c>
      <c r="D288" s="17" t="s">
        <v>993</v>
      </c>
      <c r="E288" s="18" t="s">
        <v>994</v>
      </c>
      <c r="F288" s="19" t="s">
        <v>58</v>
      </c>
      <c r="G288" s="19" t="s">
        <v>1734</v>
      </c>
      <c r="H288" s="16" t="s">
        <v>1735</v>
      </c>
      <c r="I288" s="33">
        <v>336.3</v>
      </c>
      <c r="J288" s="35">
        <v>336.3</v>
      </c>
      <c r="K288" s="35"/>
      <c r="L288" s="34">
        <v>45967</v>
      </c>
      <c r="M288" s="16"/>
      <c r="N288" s="34"/>
      <c r="O288" s="35"/>
      <c r="P288" s="16"/>
      <c r="Q288" s="46">
        <f t="shared" si="11"/>
        <v>336.3</v>
      </c>
      <c r="R288" s="47">
        <f t="shared" si="10"/>
        <v>0</v>
      </c>
      <c r="S288" s="48"/>
    </row>
    <row r="289" s="1" customFormat="1" customHeight="1" spans="1:19">
      <c r="A289" s="14">
        <v>300</v>
      </c>
      <c r="B289" s="20">
        <v>45962</v>
      </c>
      <c r="C289" s="16" t="s">
        <v>909</v>
      </c>
      <c r="D289" s="17" t="s">
        <v>993</v>
      </c>
      <c r="E289" s="18" t="s">
        <v>994</v>
      </c>
      <c r="F289" s="19" t="s">
        <v>60</v>
      </c>
      <c r="G289" s="19" t="s">
        <v>1734</v>
      </c>
      <c r="H289" s="16" t="s">
        <v>1735</v>
      </c>
      <c r="I289" s="33">
        <v>367.6</v>
      </c>
      <c r="J289" s="35">
        <v>367.6</v>
      </c>
      <c r="K289" s="35"/>
      <c r="L289" s="34">
        <v>45995</v>
      </c>
      <c r="M289" s="16"/>
      <c r="N289" s="34"/>
      <c r="O289" s="35"/>
      <c r="P289" s="34"/>
      <c r="Q289" s="46">
        <f t="shared" si="11"/>
        <v>367.6</v>
      </c>
      <c r="R289" s="47">
        <f t="shared" si="10"/>
        <v>0</v>
      </c>
      <c r="S289" s="48"/>
    </row>
    <row r="290" s="1" customFormat="1" customHeight="1" spans="1:19">
      <c r="A290" s="14">
        <v>301</v>
      </c>
      <c r="B290" s="20">
        <v>45962</v>
      </c>
      <c r="C290" s="16"/>
      <c r="D290" s="17" t="s">
        <v>1834</v>
      </c>
      <c r="E290" s="18" t="s">
        <v>1835</v>
      </c>
      <c r="F290" s="19" t="s">
        <v>60</v>
      </c>
      <c r="G290" s="19" t="s">
        <v>1734</v>
      </c>
      <c r="H290" s="16" t="s">
        <v>1735</v>
      </c>
      <c r="I290" s="33">
        <v>54</v>
      </c>
      <c r="J290" s="35">
        <v>54</v>
      </c>
      <c r="K290" s="35"/>
      <c r="L290" s="34">
        <v>45980</v>
      </c>
      <c r="M290" s="16"/>
      <c r="N290" s="34"/>
      <c r="O290" s="35"/>
      <c r="P290" s="34"/>
      <c r="Q290" s="46">
        <f t="shared" si="11"/>
        <v>54</v>
      </c>
      <c r="R290" s="47">
        <f t="shared" si="10"/>
        <v>0</v>
      </c>
      <c r="S290" s="48" t="s">
        <v>1737</v>
      </c>
    </row>
    <row r="291" s="1" customFormat="1" customHeight="1" spans="1:19">
      <c r="A291" s="14">
        <v>302</v>
      </c>
      <c r="B291" s="20">
        <v>45962</v>
      </c>
      <c r="C291" s="16"/>
      <c r="D291" s="17"/>
      <c r="E291" s="18" t="s">
        <v>1836</v>
      </c>
      <c r="F291" s="19" t="s">
        <v>60</v>
      </c>
      <c r="G291" s="19" t="s">
        <v>1734</v>
      </c>
      <c r="H291" s="16" t="s">
        <v>1741</v>
      </c>
      <c r="I291" s="33">
        <v>21.6</v>
      </c>
      <c r="J291" s="35">
        <v>21.6</v>
      </c>
      <c r="K291" s="35"/>
      <c r="L291" s="34">
        <v>45987</v>
      </c>
      <c r="M291" s="16"/>
      <c r="N291" s="34"/>
      <c r="O291" s="16"/>
      <c r="P291" s="34"/>
      <c r="Q291" s="46">
        <f t="shared" si="11"/>
        <v>21.6</v>
      </c>
      <c r="R291" s="47">
        <f t="shared" si="10"/>
        <v>0</v>
      </c>
      <c r="S291" s="48"/>
    </row>
    <row r="292" s="1" customFormat="1" customHeight="1" spans="1:19">
      <c r="A292" s="14">
        <v>303</v>
      </c>
      <c r="B292" s="20">
        <v>45962</v>
      </c>
      <c r="C292" s="16" t="s">
        <v>1783</v>
      </c>
      <c r="D292" s="17" t="s">
        <v>931</v>
      </c>
      <c r="E292" s="18" t="s">
        <v>933</v>
      </c>
      <c r="F292" s="19" t="s">
        <v>60</v>
      </c>
      <c r="G292" s="19" t="s">
        <v>1734</v>
      </c>
      <c r="H292" s="16" t="s">
        <v>1735</v>
      </c>
      <c r="I292" s="33">
        <v>136.05</v>
      </c>
      <c r="J292" s="35">
        <v>136.05</v>
      </c>
      <c r="K292" s="35"/>
      <c r="L292" s="34">
        <v>45987</v>
      </c>
      <c r="M292" s="16"/>
      <c r="N292" s="34"/>
      <c r="O292" s="16"/>
      <c r="P292" s="34"/>
      <c r="Q292" s="46">
        <f t="shared" si="11"/>
        <v>136.05</v>
      </c>
      <c r="R292" s="47">
        <f t="shared" si="10"/>
        <v>0</v>
      </c>
      <c r="S292" s="48"/>
    </row>
    <row r="293" s="1" customFormat="1" customHeight="1" spans="1:19">
      <c r="A293" s="14">
        <v>304</v>
      </c>
      <c r="B293" s="15">
        <v>45839</v>
      </c>
      <c r="C293" s="16" t="s">
        <v>1783</v>
      </c>
      <c r="D293" s="17" t="s">
        <v>931</v>
      </c>
      <c r="E293" s="18" t="s">
        <v>933</v>
      </c>
      <c r="F293" s="26" t="s">
        <v>102</v>
      </c>
      <c r="G293" s="19" t="s">
        <v>1734</v>
      </c>
      <c r="H293" s="16" t="s">
        <v>1735</v>
      </c>
      <c r="I293" s="16">
        <v>37.86</v>
      </c>
      <c r="J293" s="16">
        <v>37.86</v>
      </c>
      <c r="K293" s="16"/>
      <c r="L293" s="34">
        <v>45866</v>
      </c>
      <c r="M293" s="16"/>
      <c r="N293" s="34"/>
      <c r="O293" s="16"/>
      <c r="P293" s="16"/>
      <c r="Q293" s="46">
        <f t="shared" si="11"/>
        <v>37.86</v>
      </c>
      <c r="R293" s="47">
        <f t="shared" si="10"/>
        <v>0</v>
      </c>
      <c r="S293" s="48"/>
    </row>
    <row r="294" s="1" customFormat="1" customHeight="1" spans="1:19">
      <c r="A294" s="14">
        <v>305</v>
      </c>
      <c r="B294" s="20">
        <v>45962</v>
      </c>
      <c r="C294" s="16" t="s">
        <v>679</v>
      </c>
      <c r="D294" s="17">
        <v>5018</v>
      </c>
      <c r="E294" s="18" t="s">
        <v>780</v>
      </c>
      <c r="F294" s="19" t="s">
        <v>60</v>
      </c>
      <c r="G294" s="19" t="s">
        <v>1734</v>
      </c>
      <c r="H294" s="16" t="s">
        <v>1741</v>
      </c>
      <c r="I294" s="33">
        <v>66.88</v>
      </c>
      <c r="J294" s="35">
        <v>66.88</v>
      </c>
      <c r="K294" s="35"/>
      <c r="L294" s="34">
        <v>45975</v>
      </c>
      <c r="M294" s="16"/>
      <c r="N294" s="34"/>
      <c r="O294" s="35"/>
      <c r="P294" s="34"/>
      <c r="Q294" s="46">
        <f t="shared" si="11"/>
        <v>66.88</v>
      </c>
      <c r="R294" s="47">
        <f t="shared" si="10"/>
        <v>0</v>
      </c>
      <c r="S294" s="48"/>
    </row>
    <row r="295" s="1" customFormat="1" customHeight="1" spans="1:19">
      <c r="A295" s="14">
        <v>306</v>
      </c>
      <c r="B295" s="15">
        <v>45931</v>
      </c>
      <c r="C295" s="16" t="s">
        <v>679</v>
      </c>
      <c r="D295" s="17">
        <v>5018</v>
      </c>
      <c r="E295" s="18" t="s">
        <v>780</v>
      </c>
      <c r="F295" s="19" t="s">
        <v>58</v>
      </c>
      <c r="G295" s="19" t="s">
        <v>1734</v>
      </c>
      <c r="H295" s="16" t="s">
        <v>1741</v>
      </c>
      <c r="I295" s="33">
        <v>12.16</v>
      </c>
      <c r="J295" s="33">
        <v>12.16</v>
      </c>
      <c r="K295" s="33"/>
      <c r="L295" s="34">
        <v>45944</v>
      </c>
      <c r="M295" s="16"/>
      <c r="N295" s="34"/>
      <c r="O295" s="35"/>
      <c r="P295" s="16"/>
      <c r="Q295" s="46">
        <f t="shared" si="11"/>
        <v>12.16</v>
      </c>
      <c r="R295" s="47">
        <f t="shared" si="10"/>
        <v>0</v>
      </c>
      <c r="S295" s="48"/>
    </row>
    <row r="296" s="1" customFormat="1" customHeight="1" spans="1:19">
      <c r="A296" s="14">
        <v>307</v>
      </c>
      <c r="B296" s="20">
        <v>45962</v>
      </c>
      <c r="C296" s="16" t="s">
        <v>679</v>
      </c>
      <c r="D296" s="17">
        <v>5011</v>
      </c>
      <c r="E296" s="18" t="s">
        <v>1837</v>
      </c>
      <c r="F296" s="19" t="s">
        <v>60</v>
      </c>
      <c r="G296" s="19" t="s">
        <v>1734</v>
      </c>
      <c r="H296" s="16" t="s">
        <v>1741</v>
      </c>
      <c r="I296" s="33">
        <v>291.84</v>
      </c>
      <c r="J296" s="35">
        <v>74.3699999999999</v>
      </c>
      <c r="K296" s="35"/>
      <c r="L296" s="34">
        <v>45969</v>
      </c>
      <c r="M296" s="16"/>
      <c r="N296" s="34"/>
      <c r="O296" s="35">
        <v>217.47</v>
      </c>
      <c r="P296" s="34">
        <v>45899</v>
      </c>
      <c r="Q296" s="46">
        <f t="shared" si="11"/>
        <v>291.84</v>
      </c>
      <c r="R296" s="47">
        <f t="shared" si="10"/>
        <v>0</v>
      </c>
      <c r="S296" s="48"/>
    </row>
    <row r="297" s="1" customFormat="1" customHeight="1" spans="1:19">
      <c r="A297" s="14">
        <v>308</v>
      </c>
      <c r="B297" s="15">
        <v>45931</v>
      </c>
      <c r="C297" s="16" t="s">
        <v>679</v>
      </c>
      <c r="D297" s="17">
        <v>5011</v>
      </c>
      <c r="E297" s="18" t="s">
        <v>1837</v>
      </c>
      <c r="F297" s="19" t="s">
        <v>58</v>
      </c>
      <c r="G297" s="19" t="s">
        <v>1734</v>
      </c>
      <c r="H297" s="16" t="s">
        <v>1741</v>
      </c>
      <c r="I297" s="41">
        <v>109.44</v>
      </c>
      <c r="J297" s="16">
        <v>109.44</v>
      </c>
      <c r="K297" s="16"/>
      <c r="L297" s="34">
        <v>45899</v>
      </c>
      <c r="M297" s="16"/>
      <c r="N297" s="34"/>
      <c r="O297" s="35"/>
      <c r="P297" s="16"/>
      <c r="Q297" s="46">
        <f t="shared" si="11"/>
        <v>109.44</v>
      </c>
      <c r="R297" s="47">
        <f t="shared" si="10"/>
        <v>0</v>
      </c>
      <c r="S297" s="48"/>
    </row>
    <row r="298" s="1" customFormat="1" customHeight="1" spans="1:19">
      <c r="A298" s="14">
        <v>309</v>
      </c>
      <c r="B298" s="20">
        <v>45962</v>
      </c>
      <c r="C298" s="16"/>
      <c r="D298" s="334" t="s">
        <v>1838</v>
      </c>
      <c r="E298" s="18" t="s">
        <v>1839</v>
      </c>
      <c r="F298" s="19" t="s">
        <v>60</v>
      </c>
      <c r="G298" s="19" t="s">
        <v>1734</v>
      </c>
      <c r="H298" s="16" t="s">
        <v>1735</v>
      </c>
      <c r="I298" s="33">
        <v>105</v>
      </c>
      <c r="J298" s="35">
        <v>105</v>
      </c>
      <c r="K298" s="35"/>
      <c r="L298" s="34">
        <v>45979</v>
      </c>
      <c r="M298" s="16"/>
      <c r="N298" s="34"/>
      <c r="O298" s="16"/>
      <c r="P298" s="34"/>
      <c r="Q298" s="46">
        <f t="shared" si="11"/>
        <v>105</v>
      </c>
      <c r="R298" s="47">
        <f t="shared" si="10"/>
        <v>0</v>
      </c>
      <c r="S298" s="48" t="s">
        <v>1737</v>
      </c>
    </row>
    <row r="299" s="1" customFormat="1" customHeight="1" spans="1:19">
      <c r="A299" s="14">
        <v>310</v>
      </c>
      <c r="B299" s="20">
        <v>45931</v>
      </c>
      <c r="C299" s="16"/>
      <c r="D299" s="17" t="s">
        <v>885</v>
      </c>
      <c r="E299" s="18" t="s">
        <v>886</v>
      </c>
      <c r="F299" s="19" t="s">
        <v>58</v>
      </c>
      <c r="G299" s="19" t="s">
        <v>1734</v>
      </c>
      <c r="H299" s="16" t="s">
        <v>1735</v>
      </c>
      <c r="I299" s="33">
        <v>114.5</v>
      </c>
      <c r="J299" s="35">
        <v>114.5</v>
      </c>
      <c r="K299" s="35"/>
      <c r="L299" s="34">
        <v>45930</v>
      </c>
      <c r="M299" s="16"/>
      <c r="N299" s="34"/>
      <c r="O299" s="16"/>
      <c r="P299" s="34"/>
      <c r="Q299" s="46">
        <f t="shared" si="11"/>
        <v>114.5</v>
      </c>
      <c r="R299" s="47">
        <f t="shared" si="10"/>
        <v>0</v>
      </c>
      <c r="S299" s="48" t="s">
        <v>1840</v>
      </c>
    </row>
    <row r="300" s="1" customFormat="1" customHeight="1" spans="1:19">
      <c r="A300" s="14">
        <v>311</v>
      </c>
      <c r="B300" s="20">
        <v>45962</v>
      </c>
      <c r="C300" s="16"/>
      <c r="D300" s="17" t="s">
        <v>885</v>
      </c>
      <c r="E300" s="18" t="s">
        <v>886</v>
      </c>
      <c r="F300" s="19" t="s">
        <v>60</v>
      </c>
      <c r="G300" s="19" t="s">
        <v>1734</v>
      </c>
      <c r="H300" s="16" t="s">
        <v>1735</v>
      </c>
      <c r="I300" s="33">
        <v>1128.33</v>
      </c>
      <c r="J300" s="35">
        <v>1128.33</v>
      </c>
      <c r="K300" s="35"/>
      <c r="L300" s="34">
        <v>46004</v>
      </c>
      <c r="M300" s="16"/>
      <c r="N300" s="34"/>
      <c r="O300" s="16"/>
      <c r="P300" s="34"/>
      <c r="Q300" s="46">
        <f t="shared" si="11"/>
        <v>1128.33</v>
      </c>
      <c r="R300" s="47">
        <f t="shared" si="10"/>
        <v>0</v>
      </c>
      <c r="S300" s="48"/>
    </row>
    <row r="301" s="1" customFormat="1" customHeight="1" spans="1:19">
      <c r="A301" s="14">
        <v>312</v>
      </c>
      <c r="B301" s="20">
        <v>45962</v>
      </c>
      <c r="C301" s="16"/>
      <c r="D301" s="17"/>
      <c r="E301" s="18" t="s">
        <v>1841</v>
      </c>
      <c r="F301" s="19" t="s">
        <v>60</v>
      </c>
      <c r="G301" s="19" t="s">
        <v>1734</v>
      </c>
      <c r="H301" s="16" t="s">
        <v>1735</v>
      </c>
      <c r="I301" s="33">
        <v>59</v>
      </c>
      <c r="J301" s="33">
        <v>59</v>
      </c>
      <c r="K301" s="35"/>
      <c r="L301" s="34">
        <v>45979</v>
      </c>
      <c r="M301" s="16"/>
      <c r="N301" s="34"/>
      <c r="O301" s="35"/>
      <c r="P301" s="34"/>
      <c r="Q301" s="46">
        <f t="shared" si="11"/>
        <v>59</v>
      </c>
      <c r="R301" s="47">
        <f t="shared" si="10"/>
        <v>0</v>
      </c>
      <c r="S301" s="48" t="s">
        <v>1737</v>
      </c>
    </row>
    <row r="302" s="1" customFormat="1" customHeight="1" spans="1:19">
      <c r="A302" s="14">
        <v>313</v>
      </c>
      <c r="B302" s="20">
        <v>45962</v>
      </c>
      <c r="C302" s="16"/>
      <c r="D302" s="334" t="s">
        <v>1842</v>
      </c>
      <c r="E302" s="18" t="s">
        <v>1843</v>
      </c>
      <c r="F302" s="19" t="s">
        <v>60</v>
      </c>
      <c r="G302" s="19" t="s">
        <v>1734</v>
      </c>
      <c r="H302" s="16" t="s">
        <v>1735</v>
      </c>
      <c r="I302" s="33">
        <v>21</v>
      </c>
      <c r="J302" s="35">
        <v>21</v>
      </c>
      <c r="K302" s="35"/>
      <c r="L302" s="34">
        <v>45979</v>
      </c>
      <c r="M302" s="16"/>
      <c r="N302" s="34"/>
      <c r="O302" s="35"/>
      <c r="P302" s="34"/>
      <c r="Q302" s="46">
        <f t="shared" si="11"/>
        <v>21</v>
      </c>
      <c r="R302" s="47">
        <f t="shared" si="10"/>
        <v>0</v>
      </c>
      <c r="S302" s="48" t="s">
        <v>1737</v>
      </c>
    </row>
    <row r="303" s="1" customFormat="1" customHeight="1" spans="1:19">
      <c r="A303" s="14">
        <v>314</v>
      </c>
      <c r="B303" s="20">
        <v>45962</v>
      </c>
      <c r="C303" s="16"/>
      <c r="D303" s="17"/>
      <c r="E303" s="18" t="s">
        <v>1844</v>
      </c>
      <c r="F303" s="19" t="s">
        <v>60</v>
      </c>
      <c r="G303" s="19" t="s">
        <v>1734</v>
      </c>
      <c r="H303" s="16" t="s">
        <v>1741</v>
      </c>
      <c r="I303" s="33">
        <v>103.36</v>
      </c>
      <c r="J303" s="35">
        <v>103.36</v>
      </c>
      <c r="K303" s="35"/>
      <c r="L303" s="34"/>
      <c r="M303" s="16"/>
      <c r="N303" s="34"/>
      <c r="O303" s="35"/>
      <c r="P303" s="34"/>
      <c r="Q303" s="46">
        <f t="shared" si="11"/>
        <v>103.36</v>
      </c>
      <c r="R303" s="47">
        <f t="shared" si="10"/>
        <v>0</v>
      </c>
      <c r="S303" s="62"/>
    </row>
    <row r="304" s="1" customFormat="1" customHeight="1" spans="1:19">
      <c r="A304" s="14">
        <v>315</v>
      </c>
      <c r="B304" s="20">
        <v>45962</v>
      </c>
      <c r="C304" s="16"/>
      <c r="D304" s="17"/>
      <c r="E304" s="18" t="s">
        <v>1845</v>
      </c>
      <c r="F304" s="19" t="s">
        <v>60</v>
      </c>
      <c r="G304" s="19" t="s">
        <v>1734</v>
      </c>
      <c r="H304" s="16" t="s">
        <v>1741</v>
      </c>
      <c r="I304" s="33">
        <v>188.48</v>
      </c>
      <c r="J304" s="35">
        <v>188.48</v>
      </c>
      <c r="K304" s="35"/>
      <c r="L304" s="34"/>
      <c r="M304" s="16"/>
      <c r="N304" s="34"/>
      <c r="O304" s="35"/>
      <c r="P304" s="34"/>
      <c r="Q304" s="46">
        <f t="shared" si="11"/>
        <v>188.48</v>
      </c>
      <c r="R304" s="47">
        <f t="shared" si="10"/>
        <v>0</v>
      </c>
      <c r="S304" s="62" t="s">
        <v>1846</v>
      </c>
    </row>
    <row r="305" s="1" customFormat="1" customHeight="1" spans="1:19">
      <c r="A305" s="14">
        <v>316</v>
      </c>
      <c r="B305" s="20">
        <v>45962</v>
      </c>
      <c r="C305" s="16"/>
      <c r="D305" s="17" t="s">
        <v>1847</v>
      </c>
      <c r="E305" s="18" t="s">
        <v>1848</v>
      </c>
      <c r="F305" s="19" t="s">
        <v>60</v>
      </c>
      <c r="G305" s="19" t="s">
        <v>1734</v>
      </c>
      <c r="H305" s="16" t="s">
        <v>1735</v>
      </c>
      <c r="I305" s="33">
        <v>2468.34</v>
      </c>
      <c r="J305" s="33">
        <v>2468.34</v>
      </c>
      <c r="K305" s="33"/>
      <c r="L305" s="34">
        <v>45967</v>
      </c>
      <c r="M305" s="16"/>
      <c r="N305" s="34"/>
      <c r="O305" s="16"/>
      <c r="P305" s="34"/>
      <c r="Q305" s="46">
        <f t="shared" si="11"/>
        <v>2468.34</v>
      </c>
      <c r="R305" s="47">
        <f t="shared" si="10"/>
        <v>0</v>
      </c>
      <c r="S305" s="48"/>
    </row>
    <row r="306" s="1" customFormat="1" customHeight="1" spans="1:19">
      <c r="A306" s="14">
        <v>317</v>
      </c>
      <c r="B306" s="20">
        <v>45870</v>
      </c>
      <c r="C306" s="16" t="s">
        <v>1748</v>
      </c>
      <c r="D306" s="17" t="s">
        <v>1849</v>
      </c>
      <c r="E306" s="18" t="s">
        <v>1850</v>
      </c>
      <c r="F306" s="19" t="s">
        <v>55</v>
      </c>
      <c r="G306" s="19" t="s">
        <v>1734</v>
      </c>
      <c r="H306" s="16" t="s">
        <v>1735</v>
      </c>
      <c r="I306" s="16">
        <v>353.72</v>
      </c>
      <c r="J306" s="16">
        <v>353.72</v>
      </c>
      <c r="K306" s="16"/>
      <c r="L306" s="34">
        <v>45898</v>
      </c>
      <c r="M306" s="16"/>
      <c r="N306" s="34"/>
      <c r="O306" s="16"/>
      <c r="P306" s="16"/>
      <c r="Q306" s="46">
        <f t="shared" si="11"/>
        <v>353.72</v>
      </c>
      <c r="R306" s="47">
        <f t="shared" si="10"/>
        <v>0</v>
      </c>
      <c r="S306" s="48" t="s">
        <v>1851</v>
      </c>
    </row>
    <row r="307" s="1" customFormat="1" customHeight="1" spans="1:19">
      <c r="A307" s="14">
        <v>318</v>
      </c>
      <c r="B307" s="15">
        <v>45931</v>
      </c>
      <c r="C307" s="16" t="s">
        <v>1748</v>
      </c>
      <c r="D307" s="17" t="s">
        <v>1849</v>
      </c>
      <c r="E307" s="18" t="s">
        <v>1850</v>
      </c>
      <c r="F307" s="26" t="s">
        <v>58</v>
      </c>
      <c r="G307" s="19" t="s">
        <v>1734</v>
      </c>
      <c r="H307" s="16" t="s">
        <v>1735</v>
      </c>
      <c r="I307" s="35">
        <v>186.4064</v>
      </c>
      <c r="J307" s="35">
        <v>186.4064</v>
      </c>
      <c r="K307" s="35"/>
      <c r="L307" s="34">
        <v>45944</v>
      </c>
      <c r="M307" s="16"/>
      <c r="N307" s="34"/>
      <c r="O307" s="16"/>
      <c r="P307" s="16"/>
      <c r="Q307" s="46">
        <f t="shared" si="11"/>
        <v>186.4064</v>
      </c>
      <c r="R307" s="47">
        <f t="shared" si="10"/>
        <v>0</v>
      </c>
      <c r="S307" s="48" t="s">
        <v>1852</v>
      </c>
    </row>
    <row r="308" s="1" customFormat="1" customHeight="1" spans="1:19">
      <c r="A308" s="14">
        <v>319</v>
      </c>
      <c r="B308" s="15">
        <v>45839</v>
      </c>
      <c r="C308" s="16" t="s">
        <v>1748</v>
      </c>
      <c r="D308" s="17" t="s">
        <v>1849</v>
      </c>
      <c r="E308" s="18" t="s">
        <v>1850</v>
      </c>
      <c r="F308" s="26" t="s">
        <v>102</v>
      </c>
      <c r="G308" s="19" t="s">
        <v>1734</v>
      </c>
      <c r="H308" s="16" t="s">
        <v>1735</v>
      </c>
      <c r="I308" s="16">
        <v>276.71</v>
      </c>
      <c r="J308" s="16">
        <v>276.71</v>
      </c>
      <c r="K308" s="16"/>
      <c r="L308" s="34">
        <v>45898</v>
      </c>
      <c r="M308" s="16"/>
      <c r="N308" s="34"/>
      <c r="O308" s="35"/>
      <c r="P308" s="16"/>
      <c r="Q308" s="46">
        <f t="shared" si="11"/>
        <v>276.71</v>
      </c>
      <c r="R308" s="47">
        <f t="shared" si="10"/>
        <v>0</v>
      </c>
      <c r="S308" s="48"/>
    </row>
    <row r="309" s="1" customFormat="1" customHeight="1" spans="1:19">
      <c r="A309" s="14">
        <v>320</v>
      </c>
      <c r="B309" s="20">
        <v>45992</v>
      </c>
      <c r="C309" s="16"/>
      <c r="D309" s="17"/>
      <c r="E309" s="18" t="s">
        <v>1844</v>
      </c>
      <c r="F309" s="19" t="s">
        <v>28</v>
      </c>
      <c r="G309" s="19" t="s">
        <v>1734</v>
      </c>
      <c r="H309" s="16" t="s">
        <v>1741</v>
      </c>
      <c r="I309" s="35">
        <v>0</v>
      </c>
      <c r="J309" s="35"/>
      <c r="K309" s="35"/>
      <c r="L309" s="34"/>
      <c r="M309" s="16"/>
      <c r="N309" s="34"/>
      <c r="O309" s="35"/>
      <c r="P309" s="34"/>
      <c r="Q309" s="46">
        <f t="shared" si="11"/>
        <v>0</v>
      </c>
      <c r="R309" s="47">
        <f t="shared" si="10"/>
        <v>0</v>
      </c>
      <c r="S309" s="48"/>
    </row>
    <row r="310" s="1" customFormat="1" customHeight="1" spans="1:19">
      <c r="A310" s="14">
        <v>321</v>
      </c>
      <c r="B310" s="20">
        <v>45992</v>
      </c>
      <c r="C310" s="16"/>
      <c r="D310" s="17"/>
      <c r="E310" s="18" t="s">
        <v>1845</v>
      </c>
      <c r="F310" s="19" t="s">
        <v>28</v>
      </c>
      <c r="G310" s="19" t="s">
        <v>1734</v>
      </c>
      <c r="H310" s="16" t="s">
        <v>1741</v>
      </c>
      <c r="I310" s="35">
        <v>0</v>
      </c>
      <c r="J310" s="35"/>
      <c r="K310" s="35"/>
      <c r="L310" s="34"/>
      <c r="M310" s="16"/>
      <c r="N310" s="34"/>
      <c r="O310" s="35"/>
      <c r="P310" s="34"/>
      <c r="Q310" s="46">
        <f t="shared" si="11"/>
        <v>0</v>
      </c>
      <c r="R310" s="47">
        <f t="shared" si="10"/>
        <v>0</v>
      </c>
      <c r="S310" s="48"/>
    </row>
    <row r="311" s="1" customFormat="1" customHeight="1" spans="1:19">
      <c r="A311" s="14">
        <v>322</v>
      </c>
      <c r="B311" s="20">
        <v>45992</v>
      </c>
      <c r="C311" s="16" t="s">
        <v>1754</v>
      </c>
      <c r="D311" s="17" t="s">
        <v>954</v>
      </c>
      <c r="E311" s="18" t="s">
        <v>956</v>
      </c>
      <c r="F311" s="19" t="s">
        <v>28</v>
      </c>
      <c r="G311" s="19" t="s">
        <v>1734</v>
      </c>
      <c r="H311" s="16" t="s">
        <v>1741</v>
      </c>
      <c r="I311" s="35">
        <v>807.3</v>
      </c>
      <c r="J311" s="35">
        <v>807.3</v>
      </c>
      <c r="K311" s="35"/>
      <c r="L311" s="34">
        <v>46013</v>
      </c>
      <c r="M311" s="16"/>
      <c r="N311" s="34"/>
      <c r="O311" s="16"/>
      <c r="P311" s="34"/>
      <c r="Q311" s="46">
        <f t="shared" si="11"/>
        <v>807.3</v>
      </c>
      <c r="R311" s="47">
        <f t="shared" si="10"/>
        <v>0</v>
      </c>
      <c r="S311" s="48"/>
    </row>
    <row r="312" s="1" customFormat="1" customHeight="1" spans="1:19">
      <c r="A312" s="14">
        <v>323</v>
      </c>
      <c r="B312" s="20">
        <v>45992</v>
      </c>
      <c r="C312" s="16" t="s">
        <v>1754</v>
      </c>
      <c r="D312" s="17" t="s">
        <v>954</v>
      </c>
      <c r="E312" s="18" t="s">
        <v>956</v>
      </c>
      <c r="F312" s="19" t="s">
        <v>28</v>
      </c>
      <c r="G312" s="19" t="s">
        <v>1734</v>
      </c>
      <c r="H312" s="16" t="s">
        <v>1735</v>
      </c>
      <c r="I312" s="35">
        <v>1127.42</v>
      </c>
      <c r="J312" s="35">
        <v>1127.42</v>
      </c>
      <c r="K312" s="35"/>
      <c r="L312" s="34">
        <v>46013</v>
      </c>
      <c r="M312" s="16"/>
      <c r="N312" s="34"/>
      <c r="O312" s="16"/>
      <c r="P312" s="34"/>
      <c r="Q312" s="46">
        <f t="shared" si="11"/>
        <v>1127.42</v>
      </c>
      <c r="R312" s="47">
        <f t="shared" si="10"/>
        <v>0</v>
      </c>
      <c r="S312" s="48" t="s">
        <v>1853</v>
      </c>
    </row>
    <row r="313" s="1" customFormat="1" customHeight="1" spans="1:19">
      <c r="A313" s="14">
        <v>324</v>
      </c>
      <c r="B313" s="20">
        <v>45992</v>
      </c>
      <c r="C313" s="16"/>
      <c r="D313" s="17" t="s">
        <v>1847</v>
      </c>
      <c r="E313" s="18" t="s">
        <v>1848</v>
      </c>
      <c r="F313" s="19" t="s">
        <v>28</v>
      </c>
      <c r="G313" s="19" t="s">
        <v>1734</v>
      </c>
      <c r="H313" s="16" t="s">
        <v>1741</v>
      </c>
      <c r="I313" s="35">
        <v>97.28</v>
      </c>
      <c r="J313" s="35">
        <v>97.28</v>
      </c>
      <c r="K313" s="35"/>
      <c r="L313" s="34">
        <v>46002</v>
      </c>
      <c r="M313" s="16"/>
      <c r="N313" s="34"/>
      <c r="O313" s="16"/>
      <c r="P313" s="34"/>
      <c r="Q313" s="46">
        <f t="shared" si="11"/>
        <v>97.28</v>
      </c>
      <c r="R313" s="47">
        <f t="shared" si="10"/>
        <v>0</v>
      </c>
      <c r="S313" s="48"/>
    </row>
    <row r="314" s="1" customFormat="1" customHeight="1" spans="1:19">
      <c r="A314" s="14">
        <v>325</v>
      </c>
      <c r="B314" s="20">
        <v>45992</v>
      </c>
      <c r="C314" s="16" t="s">
        <v>1820</v>
      </c>
      <c r="D314" s="17" t="s">
        <v>946</v>
      </c>
      <c r="E314" s="18" t="s">
        <v>948</v>
      </c>
      <c r="F314" s="19" t="s">
        <v>28</v>
      </c>
      <c r="G314" s="19" t="s">
        <v>1734</v>
      </c>
      <c r="H314" s="16" t="s">
        <v>1741</v>
      </c>
      <c r="I314" s="35">
        <v>36.48</v>
      </c>
      <c r="J314" s="35">
        <v>36.48</v>
      </c>
      <c r="K314" s="35"/>
      <c r="L314" s="34">
        <v>46008</v>
      </c>
      <c r="M314" s="16"/>
      <c r="N314" s="34"/>
      <c r="O314" s="35"/>
      <c r="P314" s="34"/>
      <c r="Q314" s="46">
        <f t="shared" si="11"/>
        <v>36.48</v>
      </c>
      <c r="R314" s="47">
        <f t="shared" si="10"/>
        <v>0</v>
      </c>
      <c r="S314" s="48"/>
    </row>
    <row r="315" s="1" customFormat="1" customHeight="1" spans="1:19">
      <c r="A315" s="14">
        <v>327</v>
      </c>
      <c r="B315" s="20">
        <v>45992</v>
      </c>
      <c r="C315" s="16"/>
      <c r="D315" s="17"/>
      <c r="E315" s="18" t="s">
        <v>1836</v>
      </c>
      <c r="F315" s="19" t="s">
        <v>28</v>
      </c>
      <c r="G315" s="19" t="s">
        <v>1734</v>
      </c>
      <c r="H315" s="16" t="s">
        <v>1741</v>
      </c>
      <c r="I315" s="35">
        <v>12.16</v>
      </c>
      <c r="J315" s="35">
        <v>12.16</v>
      </c>
      <c r="K315" s="35"/>
      <c r="L315" s="34">
        <v>46053</v>
      </c>
      <c r="M315" s="16"/>
      <c r="N315" s="34"/>
      <c r="O315" s="35"/>
      <c r="P315" s="34"/>
      <c r="Q315" s="46">
        <f t="shared" si="11"/>
        <v>12.16</v>
      </c>
      <c r="R315" s="47">
        <f t="shared" si="10"/>
        <v>0</v>
      </c>
      <c r="S315" s="48"/>
    </row>
    <row r="316" s="1" customFormat="1" customHeight="1" spans="1:19">
      <c r="A316" s="14">
        <v>329</v>
      </c>
      <c r="B316" s="20">
        <v>45992</v>
      </c>
      <c r="C316" s="57" t="s">
        <v>16</v>
      </c>
      <c r="D316" s="58" t="s">
        <v>1781</v>
      </c>
      <c r="E316" s="18" t="s">
        <v>1782</v>
      </c>
      <c r="F316" s="19" t="s">
        <v>28</v>
      </c>
      <c r="G316" s="19" t="s">
        <v>1734</v>
      </c>
      <c r="H316" s="16" t="s">
        <v>1741</v>
      </c>
      <c r="I316" s="35">
        <v>12.16</v>
      </c>
      <c r="J316" s="35">
        <v>12.16</v>
      </c>
      <c r="K316" s="35"/>
      <c r="L316" s="34">
        <v>46016</v>
      </c>
      <c r="M316" s="16"/>
      <c r="N316" s="34"/>
      <c r="O316" s="16"/>
      <c r="P316" s="34"/>
      <c r="Q316" s="46">
        <f t="shared" si="11"/>
        <v>12.16</v>
      </c>
      <c r="R316" s="47">
        <f t="shared" si="10"/>
        <v>0</v>
      </c>
      <c r="S316" s="48"/>
    </row>
    <row r="317" s="1" customFormat="1" customHeight="1" spans="1:19">
      <c r="A317" s="14">
        <v>330</v>
      </c>
      <c r="B317" s="20">
        <v>45992</v>
      </c>
      <c r="C317" s="24" t="s">
        <v>16</v>
      </c>
      <c r="D317" s="17">
        <v>1003</v>
      </c>
      <c r="E317" s="18" t="s">
        <v>79</v>
      </c>
      <c r="F317" s="19" t="s">
        <v>28</v>
      </c>
      <c r="G317" s="19" t="s">
        <v>1734</v>
      </c>
      <c r="H317" s="16" t="s">
        <v>1741</v>
      </c>
      <c r="I317" s="35">
        <v>12.16</v>
      </c>
      <c r="J317" s="35">
        <v>12.16</v>
      </c>
      <c r="K317" s="35"/>
      <c r="L317" s="34">
        <v>46004</v>
      </c>
      <c r="M317" s="16"/>
      <c r="N317" s="34"/>
      <c r="O317" s="16"/>
      <c r="P317" s="34"/>
      <c r="Q317" s="46">
        <f t="shared" si="11"/>
        <v>12.16</v>
      </c>
      <c r="R317" s="47">
        <f t="shared" si="10"/>
        <v>0</v>
      </c>
      <c r="S317" s="48"/>
    </row>
    <row r="318" s="1" customFormat="1" customHeight="1" spans="1:19">
      <c r="A318" s="14">
        <v>331</v>
      </c>
      <c r="B318" s="20">
        <v>45992</v>
      </c>
      <c r="C318" s="16" t="s">
        <v>16</v>
      </c>
      <c r="D318" s="17">
        <v>1008</v>
      </c>
      <c r="E318" s="18" t="s">
        <v>114</v>
      </c>
      <c r="F318" s="19" t="s">
        <v>28</v>
      </c>
      <c r="G318" s="19" t="s">
        <v>1734</v>
      </c>
      <c r="H318" s="16" t="s">
        <v>1741</v>
      </c>
      <c r="I318" s="35">
        <v>589.76</v>
      </c>
      <c r="J318" s="35">
        <v>589.76</v>
      </c>
      <c r="K318" s="35"/>
      <c r="L318" s="34">
        <v>46003</v>
      </c>
      <c r="M318" s="16"/>
      <c r="N318" s="34"/>
      <c r="O318" s="16"/>
      <c r="P318" s="34"/>
      <c r="Q318" s="46">
        <f t="shared" si="11"/>
        <v>589.76</v>
      </c>
      <c r="R318" s="47">
        <f t="shared" si="10"/>
        <v>0</v>
      </c>
      <c r="S318" s="48"/>
    </row>
    <row r="319" s="1" customFormat="1" customHeight="1" spans="1:19">
      <c r="A319" s="14">
        <v>332</v>
      </c>
      <c r="B319" s="20">
        <v>45992</v>
      </c>
      <c r="C319" s="16" t="s">
        <v>16</v>
      </c>
      <c r="D319" s="17" t="s">
        <v>1747</v>
      </c>
      <c r="E319" s="18" t="s">
        <v>120</v>
      </c>
      <c r="F319" s="19" t="s">
        <v>28</v>
      </c>
      <c r="G319" s="19" t="s">
        <v>1734</v>
      </c>
      <c r="H319" s="16" t="s">
        <v>1741</v>
      </c>
      <c r="I319" s="35">
        <v>711.36</v>
      </c>
      <c r="J319" s="35">
        <v>711.36</v>
      </c>
      <c r="K319" s="35"/>
      <c r="L319" s="34">
        <v>46014</v>
      </c>
      <c r="M319" s="16"/>
      <c r="N319" s="34"/>
      <c r="O319" s="35"/>
      <c r="P319" s="34"/>
      <c r="Q319" s="46">
        <f t="shared" si="11"/>
        <v>711.36</v>
      </c>
      <c r="R319" s="47">
        <f t="shared" si="10"/>
        <v>0</v>
      </c>
      <c r="S319" s="48"/>
    </row>
    <row r="320" s="1" customFormat="1" customHeight="1" spans="1:19">
      <c r="A320" s="14">
        <v>333</v>
      </c>
      <c r="B320" s="20">
        <v>45992</v>
      </c>
      <c r="C320" s="16" t="s">
        <v>16</v>
      </c>
      <c r="D320" s="17" t="s">
        <v>1800</v>
      </c>
      <c r="E320" s="18" t="s">
        <v>126</v>
      </c>
      <c r="F320" s="19" t="s">
        <v>28</v>
      </c>
      <c r="G320" s="19" t="s">
        <v>1734</v>
      </c>
      <c r="H320" s="16" t="s">
        <v>1741</v>
      </c>
      <c r="I320" s="35">
        <v>370.88</v>
      </c>
      <c r="J320" s="35">
        <v>370.88</v>
      </c>
      <c r="K320" s="35"/>
      <c r="L320" s="34">
        <v>46004</v>
      </c>
      <c r="M320" s="16"/>
      <c r="N320" s="34"/>
      <c r="O320" s="35"/>
      <c r="P320" s="34"/>
      <c r="Q320" s="46">
        <f t="shared" si="11"/>
        <v>370.88</v>
      </c>
      <c r="R320" s="47">
        <f t="shared" si="10"/>
        <v>0</v>
      </c>
      <c r="S320" s="48"/>
    </row>
    <row r="321" s="1" customFormat="1" customHeight="1" spans="1:19">
      <c r="A321" s="14">
        <v>335</v>
      </c>
      <c r="B321" s="20">
        <v>45992</v>
      </c>
      <c r="C321" s="16" t="s">
        <v>16</v>
      </c>
      <c r="D321" s="25" t="s">
        <v>1767</v>
      </c>
      <c r="E321" s="18" t="s">
        <v>1768</v>
      </c>
      <c r="F321" s="19" t="s">
        <v>28</v>
      </c>
      <c r="G321" s="19" t="s">
        <v>1734</v>
      </c>
      <c r="H321" s="16" t="s">
        <v>1741</v>
      </c>
      <c r="I321" s="35">
        <v>918.08</v>
      </c>
      <c r="J321" s="35">
        <v>918.08</v>
      </c>
      <c r="K321" s="35"/>
      <c r="L321" s="34">
        <v>46006</v>
      </c>
      <c r="M321" s="16"/>
      <c r="N321" s="34"/>
      <c r="O321" s="35"/>
      <c r="P321" s="34"/>
      <c r="Q321" s="46">
        <f t="shared" si="11"/>
        <v>918.08</v>
      </c>
      <c r="R321" s="47">
        <f t="shared" si="10"/>
        <v>0</v>
      </c>
      <c r="S321" s="48"/>
    </row>
    <row r="322" s="1" customFormat="1" customHeight="1" spans="1:19">
      <c r="A322" s="14">
        <v>336</v>
      </c>
      <c r="B322" s="20">
        <v>45992</v>
      </c>
      <c r="C322" s="24" t="s">
        <v>285</v>
      </c>
      <c r="D322" s="25">
        <v>2001</v>
      </c>
      <c r="E322" s="18" t="s">
        <v>288</v>
      </c>
      <c r="F322" s="19" t="s">
        <v>28</v>
      </c>
      <c r="G322" s="19" t="s">
        <v>1734</v>
      </c>
      <c r="H322" s="16" t="s">
        <v>1741</v>
      </c>
      <c r="I322" s="35">
        <v>1222.08</v>
      </c>
      <c r="J322" s="35">
        <v>1222.08</v>
      </c>
      <c r="K322" s="35"/>
      <c r="L322" s="34">
        <v>46009</v>
      </c>
      <c r="M322" s="16"/>
      <c r="N322" s="34"/>
      <c r="O322" s="16"/>
      <c r="P322" s="34"/>
      <c r="Q322" s="46">
        <f t="shared" si="11"/>
        <v>1222.08</v>
      </c>
      <c r="R322" s="47">
        <f t="shared" si="10"/>
        <v>0</v>
      </c>
      <c r="S322" s="48"/>
    </row>
    <row r="323" s="1" customFormat="1" customHeight="1" spans="1:19">
      <c r="A323" s="14">
        <v>337</v>
      </c>
      <c r="B323" s="20">
        <v>45992</v>
      </c>
      <c r="C323" s="24" t="s">
        <v>285</v>
      </c>
      <c r="D323" s="17" t="s">
        <v>1756</v>
      </c>
      <c r="E323" s="18" t="s">
        <v>338</v>
      </c>
      <c r="F323" s="19" t="s">
        <v>28</v>
      </c>
      <c r="G323" s="19" t="s">
        <v>1734</v>
      </c>
      <c r="H323" s="16" t="s">
        <v>1741</v>
      </c>
      <c r="I323" s="35">
        <v>30.4</v>
      </c>
      <c r="J323" s="35">
        <v>30.4</v>
      </c>
      <c r="K323" s="35"/>
      <c r="L323" s="34">
        <v>46043</v>
      </c>
      <c r="M323" s="16"/>
      <c r="N323" s="34"/>
      <c r="O323" s="16"/>
      <c r="P323" s="34"/>
      <c r="Q323" s="46">
        <f t="shared" si="11"/>
        <v>30.4</v>
      </c>
      <c r="R323" s="47">
        <f t="shared" si="10"/>
        <v>0</v>
      </c>
      <c r="S323" s="48"/>
    </row>
    <row r="324" s="1" customFormat="1" customHeight="1" spans="1:19">
      <c r="A324" s="14">
        <v>338</v>
      </c>
      <c r="B324" s="20">
        <v>45992</v>
      </c>
      <c r="C324" s="66" t="s">
        <v>285</v>
      </c>
      <c r="D324" s="17">
        <v>2027</v>
      </c>
      <c r="E324" s="18" t="s">
        <v>452</v>
      </c>
      <c r="F324" s="19" t="s">
        <v>28</v>
      </c>
      <c r="G324" s="19" t="s">
        <v>1734</v>
      </c>
      <c r="H324" s="16" t="s">
        <v>1741</v>
      </c>
      <c r="I324" s="35">
        <v>19.58</v>
      </c>
      <c r="J324" s="35">
        <v>19.58</v>
      </c>
      <c r="K324" s="35"/>
      <c r="L324" s="34">
        <v>46228</v>
      </c>
      <c r="M324" s="16"/>
      <c r="N324" s="34"/>
      <c r="O324" s="16"/>
      <c r="P324" s="34"/>
      <c r="Q324" s="46">
        <f t="shared" si="11"/>
        <v>19.58</v>
      </c>
      <c r="R324" s="47">
        <f t="shared" si="10"/>
        <v>0</v>
      </c>
      <c r="S324" s="48"/>
    </row>
    <row r="325" s="1" customFormat="1" customHeight="1" spans="1:19">
      <c r="A325" s="14">
        <v>339</v>
      </c>
      <c r="B325" s="20">
        <v>45992</v>
      </c>
      <c r="C325" s="24" t="s">
        <v>285</v>
      </c>
      <c r="D325" s="17">
        <v>2036</v>
      </c>
      <c r="E325" s="18" t="s">
        <v>479</v>
      </c>
      <c r="F325" s="19" t="s">
        <v>28</v>
      </c>
      <c r="G325" s="19" t="s">
        <v>1734</v>
      </c>
      <c r="H325" s="16" t="s">
        <v>1741</v>
      </c>
      <c r="I325" s="35">
        <v>18.24</v>
      </c>
      <c r="J325" s="35">
        <v>18.24</v>
      </c>
      <c r="K325" s="35"/>
      <c r="L325" s="34">
        <v>46043</v>
      </c>
      <c r="M325" s="16"/>
      <c r="N325" s="34"/>
      <c r="O325" s="35"/>
      <c r="P325" s="34"/>
      <c r="Q325" s="46">
        <f t="shared" si="11"/>
        <v>18.24</v>
      </c>
      <c r="R325" s="47">
        <f t="shared" si="10"/>
        <v>0</v>
      </c>
      <c r="S325" s="48"/>
    </row>
    <row r="326" s="1" customFormat="1" customHeight="1" spans="1:19">
      <c r="A326" s="14">
        <v>340</v>
      </c>
      <c r="B326" s="20">
        <v>45992</v>
      </c>
      <c r="C326" s="16" t="s">
        <v>491</v>
      </c>
      <c r="D326" s="53" t="s">
        <v>1769</v>
      </c>
      <c r="E326" s="18" t="s">
        <v>494</v>
      </c>
      <c r="F326" s="19" t="s">
        <v>28</v>
      </c>
      <c r="G326" s="19" t="s">
        <v>1734</v>
      </c>
      <c r="H326" s="16" t="s">
        <v>1741</v>
      </c>
      <c r="I326" s="35">
        <v>85.12</v>
      </c>
      <c r="J326" s="35">
        <v>85.12</v>
      </c>
      <c r="K326" s="35"/>
      <c r="L326" s="34">
        <v>46016</v>
      </c>
      <c r="M326" s="16"/>
      <c r="N326" s="34"/>
      <c r="O326" s="35"/>
      <c r="P326" s="34"/>
      <c r="Q326" s="46">
        <f t="shared" si="11"/>
        <v>85.12</v>
      </c>
      <c r="R326" s="47">
        <f t="shared" si="10"/>
        <v>0</v>
      </c>
      <c r="S326" s="48"/>
    </row>
    <row r="327" s="1" customFormat="1" customHeight="1" spans="1:19">
      <c r="A327" s="14">
        <v>341</v>
      </c>
      <c r="B327" s="20">
        <v>45992</v>
      </c>
      <c r="C327" s="16"/>
      <c r="D327" s="17"/>
      <c r="E327" s="18" t="s">
        <v>565</v>
      </c>
      <c r="F327" s="19" t="s">
        <v>28</v>
      </c>
      <c r="G327" s="19" t="s">
        <v>1734</v>
      </c>
      <c r="H327" s="16" t="s">
        <v>1741</v>
      </c>
      <c r="I327" s="35">
        <v>18.24</v>
      </c>
      <c r="J327" s="35">
        <v>6.54</v>
      </c>
      <c r="K327" s="35"/>
      <c r="L327" s="34">
        <v>46020</v>
      </c>
      <c r="M327" s="16"/>
      <c r="N327" s="34"/>
      <c r="O327" s="35">
        <v>11.7</v>
      </c>
      <c r="P327" s="34">
        <v>46031</v>
      </c>
      <c r="Q327" s="46">
        <f t="shared" si="11"/>
        <v>18.24</v>
      </c>
      <c r="R327" s="47">
        <f t="shared" si="10"/>
        <v>0</v>
      </c>
      <c r="S327" s="48" t="s">
        <v>1854</v>
      </c>
    </row>
    <row r="328" s="1" customFormat="1" customHeight="1" spans="1:19">
      <c r="A328" s="14">
        <v>342</v>
      </c>
      <c r="B328" s="20">
        <v>45992</v>
      </c>
      <c r="C328" s="16" t="s">
        <v>491</v>
      </c>
      <c r="D328" s="17">
        <v>3023</v>
      </c>
      <c r="E328" s="18" t="s">
        <v>577</v>
      </c>
      <c r="F328" s="19" t="s">
        <v>28</v>
      </c>
      <c r="G328" s="19" t="s">
        <v>1734</v>
      </c>
      <c r="H328" s="16" t="s">
        <v>1741</v>
      </c>
      <c r="I328" s="35">
        <v>6.08</v>
      </c>
      <c r="J328" s="35">
        <v>6.08</v>
      </c>
      <c r="K328" s="35"/>
      <c r="L328" s="34">
        <v>45863</v>
      </c>
      <c r="M328" s="16"/>
      <c r="N328" s="34"/>
      <c r="O328" s="35"/>
      <c r="P328" s="34"/>
      <c r="Q328" s="46">
        <f t="shared" si="11"/>
        <v>6.08</v>
      </c>
      <c r="R328" s="47">
        <f t="shared" si="10"/>
        <v>0</v>
      </c>
      <c r="S328" s="48"/>
    </row>
    <row r="329" s="1" customFormat="1" customHeight="1" spans="1:19">
      <c r="A329" s="14">
        <v>343</v>
      </c>
      <c r="B329" s="20">
        <v>45992</v>
      </c>
      <c r="C329" s="16" t="s">
        <v>491</v>
      </c>
      <c r="D329" s="17">
        <v>3033</v>
      </c>
      <c r="E329" s="18" t="s">
        <v>617</v>
      </c>
      <c r="F329" s="19" t="s">
        <v>28</v>
      </c>
      <c r="G329" s="19" t="s">
        <v>1734</v>
      </c>
      <c r="H329" s="16" t="s">
        <v>1741</v>
      </c>
      <c r="I329" s="35">
        <v>24.32</v>
      </c>
      <c r="J329" s="35">
        <v>24.32</v>
      </c>
      <c r="K329" s="35"/>
      <c r="L329" s="34">
        <v>46042</v>
      </c>
      <c r="M329" s="16"/>
      <c r="N329" s="34"/>
      <c r="O329" s="16"/>
      <c r="P329" s="34"/>
      <c r="Q329" s="46">
        <f t="shared" si="11"/>
        <v>24.32</v>
      </c>
      <c r="R329" s="47">
        <f t="shared" si="10"/>
        <v>0</v>
      </c>
      <c r="S329" s="48"/>
    </row>
    <row r="330" s="1" customFormat="1" customHeight="1" spans="1:19">
      <c r="A330" s="14">
        <v>344</v>
      </c>
      <c r="B330" s="20">
        <v>45992</v>
      </c>
      <c r="C330" s="16" t="s">
        <v>630</v>
      </c>
      <c r="D330" s="17">
        <v>4002</v>
      </c>
      <c r="E330" s="18" t="s">
        <v>633</v>
      </c>
      <c r="F330" s="19" t="s">
        <v>28</v>
      </c>
      <c r="G330" s="19" t="s">
        <v>1734</v>
      </c>
      <c r="H330" s="16" t="s">
        <v>1741</v>
      </c>
      <c r="I330" s="35">
        <v>782.46</v>
      </c>
      <c r="J330" s="35">
        <v>782.46</v>
      </c>
      <c r="K330" s="35"/>
      <c r="L330" s="34">
        <v>46013</v>
      </c>
      <c r="M330" s="16"/>
      <c r="N330" s="34"/>
      <c r="O330" s="16"/>
      <c r="P330" s="34"/>
      <c r="Q330" s="46">
        <f t="shared" si="11"/>
        <v>782.46</v>
      </c>
      <c r="R330" s="47">
        <f t="shared" si="10"/>
        <v>0</v>
      </c>
      <c r="S330" s="48"/>
    </row>
    <row r="331" s="1" customFormat="1" customHeight="1" spans="1:19">
      <c r="A331" s="14">
        <v>345</v>
      </c>
      <c r="B331" s="20">
        <v>45992</v>
      </c>
      <c r="C331" s="16" t="s">
        <v>630</v>
      </c>
      <c r="D331" s="17" t="s">
        <v>1105</v>
      </c>
      <c r="E331" s="18" t="s">
        <v>1106</v>
      </c>
      <c r="F331" s="19" t="s">
        <v>28</v>
      </c>
      <c r="G331" s="19" t="s">
        <v>1734</v>
      </c>
      <c r="H331" s="16" t="s">
        <v>1741</v>
      </c>
      <c r="I331" s="35">
        <v>360.18</v>
      </c>
      <c r="J331" s="35">
        <v>360.18</v>
      </c>
      <c r="K331" s="35"/>
      <c r="L331" s="34">
        <v>46005</v>
      </c>
      <c r="M331" s="16"/>
      <c r="N331" s="34"/>
      <c r="O331" s="16"/>
      <c r="P331" s="34"/>
      <c r="Q331" s="46">
        <f t="shared" si="11"/>
        <v>360.18</v>
      </c>
      <c r="R331" s="47">
        <f t="shared" si="10"/>
        <v>0</v>
      </c>
      <c r="S331" s="48"/>
    </row>
    <row r="332" s="1" customFormat="1" customHeight="1" spans="1:19">
      <c r="A332" s="14">
        <v>346</v>
      </c>
      <c r="B332" s="20">
        <v>45992</v>
      </c>
      <c r="C332" s="16" t="s">
        <v>630</v>
      </c>
      <c r="D332" s="60" t="s">
        <v>1808</v>
      </c>
      <c r="E332" s="18" t="s">
        <v>647</v>
      </c>
      <c r="F332" s="19" t="s">
        <v>28</v>
      </c>
      <c r="G332" s="19" t="s">
        <v>1734</v>
      </c>
      <c r="H332" s="16" t="s">
        <v>1741</v>
      </c>
      <c r="I332" s="35">
        <v>79.04</v>
      </c>
      <c r="J332" s="35">
        <v>79.04</v>
      </c>
      <c r="K332" s="35"/>
      <c r="L332" s="34">
        <v>46002</v>
      </c>
      <c r="M332" s="16"/>
      <c r="N332" s="34"/>
      <c r="O332" s="35"/>
      <c r="P332" s="34"/>
      <c r="Q332" s="46">
        <f t="shared" si="11"/>
        <v>79.04</v>
      </c>
      <c r="R332" s="47">
        <f t="shared" si="10"/>
        <v>0</v>
      </c>
      <c r="S332" s="48"/>
    </row>
    <row r="333" s="1" customFormat="1" customHeight="1" spans="1:19">
      <c r="A333" s="14">
        <v>347</v>
      </c>
      <c r="B333" s="20">
        <v>45992</v>
      </c>
      <c r="C333" s="16"/>
      <c r="D333" s="17">
        <v>4025</v>
      </c>
      <c r="E333" s="18" t="s">
        <v>1855</v>
      </c>
      <c r="F333" s="19" t="s">
        <v>28</v>
      </c>
      <c r="G333" s="19" t="s">
        <v>1734</v>
      </c>
      <c r="H333" s="16" t="s">
        <v>1741</v>
      </c>
      <c r="I333" s="35">
        <v>18.24</v>
      </c>
      <c r="J333" s="35">
        <v>18.24</v>
      </c>
      <c r="K333" s="35"/>
      <c r="L333" s="34">
        <v>46002</v>
      </c>
      <c r="M333" s="16"/>
      <c r="N333" s="34"/>
      <c r="O333" s="35"/>
      <c r="P333" s="34"/>
      <c r="Q333" s="46">
        <f t="shared" si="11"/>
        <v>18.24</v>
      </c>
      <c r="R333" s="47">
        <f t="shared" ref="R333:R396" si="12">I333-Q333</f>
        <v>0</v>
      </c>
      <c r="S333" s="48"/>
    </row>
    <row r="334" s="1" customFormat="1" customHeight="1" spans="1:19">
      <c r="A334" s="14">
        <v>348</v>
      </c>
      <c r="B334" s="20">
        <v>45992</v>
      </c>
      <c r="C334" s="16" t="s">
        <v>630</v>
      </c>
      <c r="D334" s="17">
        <v>4027</v>
      </c>
      <c r="E334" s="18" t="s">
        <v>1757</v>
      </c>
      <c r="F334" s="19" t="s">
        <v>28</v>
      </c>
      <c r="G334" s="19" t="s">
        <v>1734</v>
      </c>
      <c r="H334" s="16" t="s">
        <v>1741</v>
      </c>
      <c r="I334" s="35">
        <v>6.08</v>
      </c>
      <c r="J334" s="35">
        <v>6.08</v>
      </c>
      <c r="K334" s="35"/>
      <c r="L334" s="34">
        <v>46002</v>
      </c>
      <c r="M334" s="16"/>
      <c r="N334" s="34"/>
      <c r="O334" s="35"/>
      <c r="P334" s="34"/>
      <c r="Q334" s="46">
        <f t="shared" si="11"/>
        <v>6.08</v>
      </c>
      <c r="R334" s="47">
        <f t="shared" si="12"/>
        <v>0</v>
      </c>
      <c r="S334" s="48"/>
    </row>
    <row r="335" s="1" customFormat="1" customHeight="1" spans="1:19">
      <c r="A335" s="14">
        <v>349</v>
      </c>
      <c r="B335" s="20">
        <v>45992</v>
      </c>
      <c r="C335" s="66" t="s">
        <v>679</v>
      </c>
      <c r="D335" s="17">
        <v>5001</v>
      </c>
      <c r="E335" s="18" t="s">
        <v>682</v>
      </c>
      <c r="F335" s="19" t="s">
        <v>28</v>
      </c>
      <c r="G335" s="19" t="s">
        <v>1734</v>
      </c>
      <c r="H335" s="16" t="s">
        <v>1741</v>
      </c>
      <c r="I335" s="35">
        <v>1647.68</v>
      </c>
      <c r="J335" s="35">
        <v>1647.68</v>
      </c>
      <c r="K335" s="35"/>
      <c r="L335" s="34">
        <v>45992</v>
      </c>
      <c r="M335" s="16"/>
      <c r="N335" s="34"/>
      <c r="O335" s="35"/>
      <c r="P335" s="34"/>
      <c r="Q335" s="46">
        <f t="shared" si="11"/>
        <v>1647.68</v>
      </c>
      <c r="R335" s="47">
        <f t="shared" si="12"/>
        <v>0</v>
      </c>
      <c r="S335" s="48"/>
    </row>
    <row r="336" s="1" customFormat="1" customHeight="1" spans="1:19">
      <c r="A336" s="14">
        <v>350</v>
      </c>
      <c r="B336" s="20">
        <v>45992</v>
      </c>
      <c r="C336" s="16" t="s">
        <v>679</v>
      </c>
      <c r="D336" s="25">
        <v>5003</v>
      </c>
      <c r="E336" s="18" t="s">
        <v>696</v>
      </c>
      <c r="F336" s="19" t="s">
        <v>28</v>
      </c>
      <c r="G336" s="19" t="s">
        <v>1734</v>
      </c>
      <c r="H336" s="16" t="s">
        <v>1741</v>
      </c>
      <c r="I336" s="35">
        <v>644.48</v>
      </c>
      <c r="J336" s="35">
        <v>644.48</v>
      </c>
      <c r="K336" s="35"/>
      <c r="L336" s="34">
        <v>46006</v>
      </c>
      <c r="M336" s="16"/>
      <c r="N336" s="34"/>
      <c r="O336" s="16"/>
      <c r="P336" s="34"/>
      <c r="Q336" s="46">
        <f t="shared" si="11"/>
        <v>644.48</v>
      </c>
      <c r="R336" s="47">
        <f t="shared" si="12"/>
        <v>0</v>
      </c>
      <c r="S336" s="48"/>
    </row>
    <row r="337" s="1" customFormat="1" customHeight="1" spans="1:19">
      <c r="A337" s="14">
        <v>351</v>
      </c>
      <c r="B337" s="20">
        <v>45992</v>
      </c>
      <c r="C337" s="16" t="s">
        <v>679</v>
      </c>
      <c r="D337" s="17">
        <v>5005</v>
      </c>
      <c r="E337" s="18" t="s">
        <v>702</v>
      </c>
      <c r="F337" s="19" t="s">
        <v>28</v>
      </c>
      <c r="G337" s="19" t="s">
        <v>1734</v>
      </c>
      <c r="H337" s="16" t="s">
        <v>1741</v>
      </c>
      <c r="I337" s="35">
        <v>91.2</v>
      </c>
      <c r="J337" s="35">
        <v>91.2</v>
      </c>
      <c r="K337" s="35"/>
      <c r="L337" s="34">
        <v>46002</v>
      </c>
      <c r="M337" s="16"/>
      <c r="N337" s="34"/>
      <c r="O337" s="16"/>
      <c r="P337" s="34"/>
      <c r="Q337" s="46">
        <f t="shared" si="11"/>
        <v>91.2</v>
      </c>
      <c r="R337" s="47">
        <f t="shared" si="12"/>
        <v>0</v>
      </c>
      <c r="S337" s="48"/>
    </row>
    <row r="338" s="1" customFormat="1" customHeight="1" spans="1:19">
      <c r="A338" s="14">
        <v>352</v>
      </c>
      <c r="B338" s="20">
        <v>45992</v>
      </c>
      <c r="C338" s="16" t="s">
        <v>679</v>
      </c>
      <c r="D338" s="25">
        <v>5006</v>
      </c>
      <c r="E338" s="18" t="s">
        <v>706</v>
      </c>
      <c r="F338" s="19" t="s">
        <v>28</v>
      </c>
      <c r="G338" s="19" t="s">
        <v>1734</v>
      </c>
      <c r="H338" s="16" t="s">
        <v>1741</v>
      </c>
      <c r="I338" s="35">
        <v>212.8</v>
      </c>
      <c r="J338" s="35">
        <v>212.8</v>
      </c>
      <c r="K338" s="35"/>
      <c r="L338" s="34">
        <v>46182</v>
      </c>
      <c r="M338" s="16"/>
      <c r="N338" s="34"/>
      <c r="O338" s="16"/>
      <c r="P338" s="34"/>
      <c r="Q338" s="46">
        <f t="shared" si="11"/>
        <v>212.8</v>
      </c>
      <c r="R338" s="47">
        <f t="shared" si="12"/>
        <v>0</v>
      </c>
      <c r="S338" s="48"/>
    </row>
    <row r="339" s="1" customFormat="1" customHeight="1" spans="1:19">
      <c r="A339" s="14">
        <v>353</v>
      </c>
      <c r="B339" s="20">
        <v>45992</v>
      </c>
      <c r="C339" s="16" t="s">
        <v>679</v>
      </c>
      <c r="D339" s="25">
        <v>5008</v>
      </c>
      <c r="E339" s="18" t="s">
        <v>713</v>
      </c>
      <c r="F339" s="19" t="s">
        <v>28</v>
      </c>
      <c r="G339" s="19" t="s">
        <v>1734</v>
      </c>
      <c r="H339" s="16" t="s">
        <v>1741</v>
      </c>
      <c r="I339" s="35">
        <v>2729.92</v>
      </c>
      <c r="J339" s="35">
        <v>2729.92</v>
      </c>
      <c r="K339" s="35"/>
      <c r="L339" s="34">
        <v>46062</v>
      </c>
      <c r="M339" s="16"/>
      <c r="N339" s="34"/>
      <c r="O339" s="35"/>
      <c r="P339" s="34"/>
      <c r="Q339" s="46">
        <f t="shared" si="11"/>
        <v>2729.92</v>
      </c>
      <c r="R339" s="47">
        <f t="shared" si="12"/>
        <v>0</v>
      </c>
      <c r="S339" s="48"/>
    </row>
    <row r="340" s="1" customFormat="1" customHeight="1" spans="1:19">
      <c r="A340" s="14">
        <v>354</v>
      </c>
      <c r="B340" s="20">
        <v>45992</v>
      </c>
      <c r="C340" s="16" t="s">
        <v>679</v>
      </c>
      <c r="D340" s="17" t="s">
        <v>1819</v>
      </c>
      <c r="E340" s="18" t="s">
        <v>720</v>
      </c>
      <c r="F340" s="19" t="s">
        <v>28</v>
      </c>
      <c r="G340" s="19" t="s">
        <v>1734</v>
      </c>
      <c r="H340" s="16" t="s">
        <v>1741</v>
      </c>
      <c r="I340" s="35">
        <v>158.08</v>
      </c>
      <c r="J340" s="35">
        <v>158.08</v>
      </c>
      <c r="K340" s="35"/>
      <c r="L340" s="34">
        <v>46013</v>
      </c>
      <c r="M340" s="16"/>
      <c r="N340" s="34"/>
      <c r="O340" s="35"/>
      <c r="P340" s="34"/>
      <c r="Q340" s="46">
        <f t="shared" si="11"/>
        <v>158.08</v>
      </c>
      <c r="R340" s="47">
        <f t="shared" si="12"/>
        <v>0</v>
      </c>
      <c r="S340" s="48"/>
    </row>
    <row r="341" s="1" customFormat="1" customHeight="1" spans="1:19">
      <c r="A341" s="14">
        <v>355</v>
      </c>
      <c r="B341" s="20">
        <v>45992</v>
      </c>
      <c r="C341" s="16" t="s">
        <v>679</v>
      </c>
      <c r="D341" s="25">
        <v>5010</v>
      </c>
      <c r="E341" s="18" t="s">
        <v>729</v>
      </c>
      <c r="F341" s="19" t="s">
        <v>28</v>
      </c>
      <c r="G341" s="19" t="s">
        <v>1734</v>
      </c>
      <c r="H341" s="16" t="s">
        <v>1741</v>
      </c>
      <c r="I341" s="35">
        <v>462.08</v>
      </c>
      <c r="J341" s="35">
        <v>462.08</v>
      </c>
      <c r="K341" s="35"/>
      <c r="L341" s="34">
        <v>46042</v>
      </c>
      <c r="M341" s="16"/>
      <c r="N341" s="34"/>
      <c r="O341" s="35"/>
      <c r="P341" s="34"/>
      <c r="Q341" s="46">
        <f t="shared" ref="Q341:Q404" si="13">J341+M341+O341</f>
        <v>462.08</v>
      </c>
      <c r="R341" s="47">
        <f t="shared" si="12"/>
        <v>0</v>
      </c>
      <c r="S341" s="48"/>
    </row>
    <row r="342" s="1" customFormat="1" customHeight="1" spans="1:19">
      <c r="A342" s="14">
        <v>356</v>
      </c>
      <c r="B342" s="20">
        <v>45992</v>
      </c>
      <c r="C342" s="16" t="s">
        <v>679</v>
      </c>
      <c r="D342" s="17">
        <v>5011</v>
      </c>
      <c r="E342" s="18" t="s">
        <v>1837</v>
      </c>
      <c r="F342" s="19" t="s">
        <v>28</v>
      </c>
      <c r="G342" s="19" t="s">
        <v>1734</v>
      </c>
      <c r="H342" s="16" t="s">
        <v>1741</v>
      </c>
      <c r="I342" s="35">
        <v>200.64</v>
      </c>
      <c r="J342" s="35">
        <v>200.64</v>
      </c>
      <c r="K342" s="35"/>
      <c r="L342" s="34">
        <v>46002</v>
      </c>
      <c r="M342" s="16"/>
      <c r="N342" s="34"/>
      <c r="O342" s="16"/>
      <c r="P342" s="34"/>
      <c r="Q342" s="46">
        <f t="shared" si="13"/>
        <v>200.64</v>
      </c>
      <c r="R342" s="47">
        <f t="shared" si="12"/>
        <v>0</v>
      </c>
      <c r="S342" s="48"/>
    </row>
    <row r="343" s="1" customFormat="1" customHeight="1" spans="1:19">
      <c r="A343" s="14">
        <v>357</v>
      </c>
      <c r="B343" s="20">
        <v>45992</v>
      </c>
      <c r="C343" s="16"/>
      <c r="D343" s="17"/>
      <c r="E343" s="18" t="s">
        <v>1856</v>
      </c>
      <c r="F343" s="19" t="s">
        <v>28</v>
      </c>
      <c r="G343" s="19" t="s">
        <v>1734</v>
      </c>
      <c r="H343" s="16" t="s">
        <v>1741</v>
      </c>
      <c r="I343" s="35">
        <v>279.68</v>
      </c>
      <c r="J343" s="35">
        <v>279.68</v>
      </c>
      <c r="K343" s="35"/>
      <c r="L343" s="34">
        <v>46031</v>
      </c>
      <c r="M343" s="16"/>
      <c r="N343" s="34"/>
      <c r="O343" s="16"/>
      <c r="P343" s="34"/>
      <c r="Q343" s="46">
        <f t="shared" si="13"/>
        <v>279.68</v>
      </c>
      <c r="R343" s="47">
        <f t="shared" si="12"/>
        <v>0</v>
      </c>
      <c r="S343" s="48"/>
    </row>
    <row r="344" s="1" customFormat="1" customHeight="1" spans="1:19">
      <c r="A344" s="14">
        <v>358</v>
      </c>
      <c r="B344" s="20">
        <v>45992</v>
      </c>
      <c r="C344" s="16" t="s">
        <v>679</v>
      </c>
      <c r="D344" s="17">
        <v>5016</v>
      </c>
      <c r="E344" s="18" t="s">
        <v>765</v>
      </c>
      <c r="F344" s="19" t="s">
        <v>28</v>
      </c>
      <c r="G344" s="19" t="s">
        <v>1734</v>
      </c>
      <c r="H344" s="16" t="s">
        <v>1741</v>
      </c>
      <c r="I344" s="35">
        <v>36.48</v>
      </c>
      <c r="J344" s="35">
        <v>36.48</v>
      </c>
      <c r="K344" s="35"/>
      <c r="L344" s="34">
        <v>46027</v>
      </c>
      <c r="M344" s="16"/>
      <c r="N344" s="34"/>
      <c r="O344" s="16"/>
      <c r="P344" s="34"/>
      <c r="Q344" s="46">
        <f t="shared" si="13"/>
        <v>36.48</v>
      </c>
      <c r="R344" s="47">
        <f t="shared" si="12"/>
        <v>0</v>
      </c>
      <c r="S344" s="48"/>
    </row>
    <row r="345" s="1" customFormat="1" customHeight="1" spans="1:19">
      <c r="A345" s="14">
        <v>359</v>
      </c>
      <c r="B345" s="20">
        <v>45992</v>
      </c>
      <c r="C345" s="16"/>
      <c r="D345" s="17"/>
      <c r="E345" s="18" t="s">
        <v>765</v>
      </c>
      <c r="F345" s="19" t="s">
        <v>28</v>
      </c>
      <c r="G345" s="19" t="s">
        <v>1734</v>
      </c>
      <c r="H345" s="16" t="s">
        <v>1741</v>
      </c>
      <c r="I345" s="35">
        <v>778.24</v>
      </c>
      <c r="J345" s="35">
        <v>778.24</v>
      </c>
      <c r="K345" s="35"/>
      <c r="L345" s="34">
        <v>46027</v>
      </c>
      <c r="M345" s="16"/>
      <c r="N345" s="34"/>
      <c r="O345" s="35"/>
      <c r="P345" s="34"/>
      <c r="Q345" s="46">
        <f t="shared" si="13"/>
        <v>778.24</v>
      </c>
      <c r="R345" s="47">
        <f t="shared" si="12"/>
        <v>0</v>
      </c>
      <c r="S345" s="48"/>
    </row>
    <row r="346" s="1" customFormat="1" customHeight="1" spans="1:19">
      <c r="A346" s="14">
        <v>360</v>
      </c>
      <c r="B346" s="20">
        <v>45992</v>
      </c>
      <c r="C346" s="16" t="s">
        <v>679</v>
      </c>
      <c r="D346" s="17">
        <v>5017</v>
      </c>
      <c r="E346" s="18" t="s">
        <v>1802</v>
      </c>
      <c r="F346" s="19" t="s">
        <v>28</v>
      </c>
      <c r="G346" s="19" t="s">
        <v>1734</v>
      </c>
      <c r="H346" s="16" t="s">
        <v>1741</v>
      </c>
      <c r="I346" s="35">
        <v>231.04</v>
      </c>
      <c r="J346" s="35">
        <v>231.04</v>
      </c>
      <c r="K346" s="35"/>
      <c r="L346" s="34">
        <v>46018</v>
      </c>
      <c r="M346" s="16"/>
      <c r="N346" s="34"/>
      <c r="O346" s="35"/>
      <c r="P346" s="34"/>
      <c r="Q346" s="46">
        <f t="shared" si="13"/>
        <v>231.04</v>
      </c>
      <c r="R346" s="47">
        <f t="shared" si="12"/>
        <v>0</v>
      </c>
      <c r="S346" s="48"/>
    </row>
    <row r="347" s="1" customFormat="1" customHeight="1" spans="1:19">
      <c r="A347" s="14">
        <v>361</v>
      </c>
      <c r="B347" s="20">
        <v>45992</v>
      </c>
      <c r="C347" s="16" t="s">
        <v>679</v>
      </c>
      <c r="D347" s="17">
        <v>5018</v>
      </c>
      <c r="E347" s="18" t="s">
        <v>780</v>
      </c>
      <c r="F347" s="19" t="s">
        <v>28</v>
      </c>
      <c r="G347" s="19" t="s">
        <v>1734</v>
      </c>
      <c r="H347" s="16" t="s">
        <v>1741</v>
      </c>
      <c r="I347" s="35">
        <v>60.8</v>
      </c>
      <c r="J347" s="35">
        <v>60.8</v>
      </c>
      <c r="K347" s="35"/>
      <c r="L347" s="34">
        <v>46002</v>
      </c>
      <c r="M347" s="16"/>
      <c r="N347" s="34"/>
      <c r="O347" s="35"/>
      <c r="P347" s="34"/>
      <c r="Q347" s="46">
        <f t="shared" si="13"/>
        <v>60.8</v>
      </c>
      <c r="R347" s="47">
        <f t="shared" si="12"/>
        <v>0</v>
      </c>
      <c r="S347" s="48"/>
    </row>
    <row r="348" s="1" customFormat="1" customHeight="1" spans="1:19">
      <c r="A348" s="14">
        <v>362</v>
      </c>
      <c r="B348" s="20">
        <v>45992</v>
      </c>
      <c r="C348" s="16" t="s">
        <v>679</v>
      </c>
      <c r="D348" s="17">
        <v>5019</v>
      </c>
      <c r="E348" s="18" t="s">
        <v>785</v>
      </c>
      <c r="F348" s="19" t="s">
        <v>28</v>
      </c>
      <c r="G348" s="19" t="s">
        <v>1734</v>
      </c>
      <c r="H348" s="16" t="s">
        <v>1741</v>
      </c>
      <c r="I348" s="35">
        <v>85.12</v>
      </c>
      <c r="J348" s="35">
        <v>85.12</v>
      </c>
      <c r="K348" s="35">
        <v>114.88</v>
      </c>
      <c r="L348" s="34">
        <v>46002</v>
      </c>
      <c r="M348" s="16"/>
      <c r="N348" s="34"/>
      <c r="O348" s="35"/>
      <c r="P348" s="34"/>
      <c r="Q348" s="46">
        <f t="shared" si="13"/>
        <v>85.12</v>
      </c>
      <c r="R348" s="47">
        <f t="shared" si="12"/>
        <v>0</v>
      </c>
      <c r="S348" s="48"/>
    </row>
    <row r="349" s="1" customFormat="1" customHeight="1" spans="1:19">
      <c r="A349" s="14">
        <v>363</v>
      </c>
      <c r="B349" s="20">
        <v>45992</v>
      </c>
      <c r="C349" s="16" t="s">
        <v>679</v>
      </c>
      <c r="D349" s="17">
        <v>5020</v>
      </c>
      <c r="E349" s="18" t="s">
        <v>791</v>
      </c>
      <c r="F349" s="19" t="s">
        <v>28</v>
      </c>
      <c r="G349" s="19" t="s">
        <v>1734</v>
      </c>
      <c r="H349" s="16" t="s">
        <v>1741</v>
      </c>
      <c r="I349" s="35">
        <v>206.72</v>
      </c>
      <c r="J349" s="35"/>
      <c r="K349" s="35"/>
      <c r="L349" s="34"/>
      <c r="M349" s="16"/>
      <c r="N349" s="34"/>
      <c r="O349" s="16">
        <v>206.72</v>
      </c>
      <c r="P349" s="34">
        <v>46060</v>
      </c>
      <c r="Q349" s="46">
        <f t="shared" si="13"/>
        <v>206.72</v>
      </c>
      <c r="R349" s="47">
        <f t="shared" si="12"/>
        <v>0</v>
      </c>
      <c r="S349" s="48" t="s">
        <v>1857</v>
      </c>
    </row>
    <row r="350" s="1" customFormat="1" customHeight="1" spans="1:19">
      <c r="A350" s="14">
        <v>364</v>
      </c>
      <c r="B350" s="20">
        <v>45992</v>
      </c>
      <c r="C350" s="16" t="s">
        <v>679</v>
      </c>
      <c r="D350" s="17" t="s">
        <v>1823</v>
      </c>
      <c r="E350" s="18" t="s">
        <v>799</v>
      </c>
      <c r="F350" s="19" t="s">
        <v>28</v>
      </c>
      <c r="G350" s="19" t="s">
        <v>1734</v>
      </c>
      <c r="H350" s="16" t="s">
        <v>1741</v>
      </c>
      <c r="I350" s="35">
        <v>699.2</v>
      </c>
      <c r="J350" s="35">
        <v>699.2</v>
      </c>
      <c r="K350" s="35"/>
      <c r="L350" s="34">
        <v>46002</v>
      </c>
      <c r="M350" s="16"/>
      <c r="N350" s="34"/>
      <c r="O350" s="16"/>
      <c r="P350" s="34"/>
      <c r="Q350" s="46">
        <f t="shared" si="13"/>
        <v>699.2</v>
      </c>
      <c r="R350" s="47">
        <f t="shared" si="12"/>
        <v>0</v>
      </c>
      <c r="S350" s="48"/>
    </row>
    <row r="351" s="1" customFormat="1" customHeight="1" spans="1:19">
      <c r="A351" s="14">
        <v>365</v>
      </c>
      <c r="B351" s="20">
        <v>45992</v>
      </c>
      <c r="C351" s="16" t="s">
        <v>679</v>
      </c>
      <c r="D351" s="17">
        <v>5022</v>
      </c>
      <c r="E351" s="18" t="s">
        <v>809</v>
      </c>
      <c r="F351" s="19" t="s">
        <v>28</v>
      </c>
      <c r="G351" s="19" t="s">
        <v>1734</v>
      </c>
      <c r="H351" s="16" t="s">
        <v>1741</v>
      </c>
      <c r="I351" s="35">
        <v>389.12</v>
      </c>
      <c r="J351" s="35">
        <v>389.12</v>
      </c>
      <c r="K351" s="35"/>
      <c r="L351" s="34">
        <v>46003</v>
      </c>
      <c r="M351" s="16"/>
      <c r="N351" s="34"/>
      <c r="O351" s="16"/>
      <c r="P351" s="34"/>
      <c r="Q351" s="46">
        <f t="shared" si="13"/>
        <v>389.12</v>
      </c>
      <c r="R351" s="47">
        <f t="shared" si="12"/>
        <v>0</v>
      </c>
      <c r="S351" s="48"/>
    </row>
    <row r="352" s="1" customFormat="1" customHeight="1" spans="1:19">
      <c r="A352" s="14">
        <v>366</v>
      </c>
      <c r="B352" s="20">
        <v>45992</v>
      </c>
      <c r="C352" s="16" t="s">
        <v>679</v>
      </c>
      <c r="D352" s="17" t="s">
        <v>1833</v>
      </c>
      <c r="E352" s="18" t="s">
        <v>813</v>
      </c>
      <c r="F352" s="19" t="s">
        <v>28</v>
      </c>
      <c r="G352" s="19" t="s">
        <v>1734</v>
      </c>
      <c r="H352" s="16" t="s">
        <v>1741</v>
      </c>
      <c r="I352" s="35">
        <v>504.64</v>
      </c>
      <c r="J352" s="35">
        <v>504.64</v>
      </c>
      <c r="K352" s="35"/>
      <c r="L352" s="34">
        <v>46008</v>
      </c>
      <c r="M352" s="16"/>
      <c r="N352" s="34"/>
      <c r="O352" s="35"/>
      <c r="P352" s="34"/>
      <c r="Q352" s="46">
        <f t="shared" si="13"/>
        <v>504.64</v>
      </c>
      <c r="R352" s="47">
        <f t="shared" si="12"/>
        <v>0</v>
      </c>
      <c r="S352" s="48"/>
    </row>
    <row r="353" s="1" customFormat="1" customHeight="1" spans="1:19">
      <c r="A353" s="14">
        <v>367</v>
      </c>
      <c r="B353" s="20">
        <v>45992</v>
      </c>
      <c r="C353" s="16" t="s">
        <v>679</v>
      </c>
      <c r="D353" s="17" t="s">
        <v>1775</v>
      </c>
      <c r="E353" s="18" t="s">
        <v>1124</v>
      </c>
      <c r="F353" s="19" t="s">
        <v>28</v>
      </c>
      <c r="G353" s="19" t="s">
        <v>1734</v>
      </c>
      <c r="H353" s="16" t="s">
        <v>1741</v>
      </c>
      <c r="I353" s="35">
        <v>346.56</v>
      </c>
      <c r="J353" s="35">
        <v>346.56</v>
      </c>
      <c r="K353" s="35"/>
      <c r="L353" s="34">
        <v>46008</v>
      </c>
      <c r="M353" s="16"/>
      <c r="N353" s="34"/>
      <c r="O353" s="35"/>
      <c r="P353" s="34"/>
      <c r="Q353" s="46">
        <f t="shared" si="13"/>
        <v>346.56</v>
      </c>
      <c r="R353" s="47">
        <f t="shared" si="12"/>
        <v>0</v>
      </c>
      <c r="S353" s="48"/>
    </row>
    <row r="354" s="1" customFormat="1" customHeight="1" spans="1:19">
      <c r="A354" s="14">
        <v>368</v>
      </c>
      <c r="B354" s="20">
        <v>45992</v>
      </c>
      <c r="C354" s="16" t="s">
        <v>1748</v>
      </c>
      <c r="D354" s="17" t="s">
        <v>935</v>
      </c>
      <c r="E354" s="18" t="s">
        <v>936</v>
      </c>
      <c r="F354" s="19" t="s">
        <v>28</v>
      </c>
      <c r="G354" s="19" t="s">
        <v>1734</v>
      </c>
      <c r="H354" s="16" t="s">
        <v>1741</v>
      </c>
      <c r="I354" s="35">
        <v>127.68</v>
      </c>
      <c r="J354" s="35">
        <v>127.68</v>
      </c>
      <c r="K354" s="35"/>
      <c r="L354" s="34">
        <v>46002</v>
      </c>
      <c r="M354" s="16"/>
      <c r="N354" s="34"/>
      <c r="O354" s="35"/>
      <c r="P354" s="34"/>
      <c r="Q354" s="46">
        <f t="shared" si="13"/>
        <v>127.68</v>
      </c>
      <c r="R354" s="47">
        <f t="shared" si="12"/>
        <v>0</v>
      </c>
      <c r="S354" s="48"/>
    </row>
    <row r="355" s="1" customFormat="1" customHeight="1" spans="1:19">
      <c r="A355" s="14">
        <v>369</v>
      </c>
      <c r="B355" s="20">
        <v>45992</v>
      </c>
      <c r="C355" s="16" t="s">
        <v>816</v>
      </c>
      <c r="D355" s="25" t="s">
        <v>1771</v>
      </c>
      <c r="E355" s="18" t="s">
        <v>819</v>
      </c>
      <c r="F355" s="19" t="s">
        <v>28</v>
      </c>
      <c r="G355" s="19" t="s">
        <v>1734</v>
      </c>
      <c r="H355" s="16" t="s">
        <v>1741</v>
      </c>
      <c r="I355" s="35">
        <v>662.72</v>
      </c>
      <c r="J355" s="35">
        <v>662.72</v>
      </c>
      <c r="K355" s="35"/>
      <c r="L355" s="34">
        <v>46053</v>
      </c>
      <c r="M355" s="16"/>
      <c r="N355" s="34"/>
      <c r="O355" s="16"/>
      <c r="P355" s="34"/>
      <c r="Q355" s="46">
        <f t="shared" si="13"/>
        <v>662.72</v>
      </c>
      <c r="R355" s="47">
        <f t="shared" si="12"/>
        <v>0</v>
      </c>
      <c r="S355" s="48"/>
    </row>
    <row r="356" s="1" customFormat="1" customHeight="1" spans="1:19">
      <c r="A356" s="14">
        <v>372</v>
      </c>
      <c r="B356" s="20">
        <v>45992</v>
      </c>
      <c r="C356" s="16" t="s">
        <v>679</v>
      </c>
      <c r="D356" s="17">
        <v>5013</v>
      </c>
      <c r="E356" s="18" t="s">
        <v>760</v>
      </c>
      <c r="F356" s="19" t="s">
        <v>28</v>
      </c>
      <c r="G356" s="19" t="s">
        <v>1734</v>
      </c>
      <c r="H356" s="16" t="s">
        <v>1741</v>
      </c>
      <c r="I356" s="35">
        <v>352.64</v>
      </c>
      <c r="J356" s="35">
        <v>352.64</v>
      </c>
      <c r="K356" s="35"/>
      <c r="L356" s="34">
        <v>46012</v>
      </c>
      <c r="M356" s="16"/>
      <c r="N356" s="34"/>
      <c r="O356" s="35"/>
      <c r="P356" s="34" t="s">
        <v>1858</v>
      </c>
      <c r="Q356" s="46">
        <f t="shared" si="13"/>
        <v>352.64</v>
      </c>
      <c r="R356" s="47">
        <f t="shared" si="12"/>
        <v>0</v>
      </c>
      <c r="S356" s="48"/>
    </row>
    <row r="357" s="1" customFormat="1" customHeight="1" spans="1:19">
      <c r="A357" s="14">
        <v>373</v>
      </c>
      <c r="B357" s="20">
        <v>45992</v>
      </c>
      <c r="C357" s="16"/>
      <c r="D357" s="17" t="s">
        <v>1859</v>
      </c>
      <c r="E357" s="18" t="s">
        <v>1260</v>
      </c>
      <c r="F357" s="19" t="s">
        <v>28</v>
      </c>
      <c r="G357" s="19" t="s">
        <v>1734</v>
      </c>
      <c r="H357" s="16" t="s">
        <v>1741</v>
      </c>
      <c r="I357" s="35">
        <v>139.84</v>
      </c>
      <c r="J357" s="35">
        <v>139.84</v>
      </c>
      <c r="K357" s="35"/>
      <c r="L357" s="34">
        <v>46002</v>
      </c>
      <c r="M357" s="16"/>
      <c r="N357" s="34"/>
      <c r="O357" s="35"/>
      <c r="P357" s="34"/>
      <c r="Q357" s="46">
        <f t="shared" si="13"/>
        <v>139.84</v>
      </c>
      <c r="R357" s="47">
        <f t="shared" si="12"/>
        <v>0</v>
      </c>
      <c r="S357" s="48"/>
    </row>
    <row r="358" s="1" customFormat="1" customHeight="1" spans="1:19">
      <c r="A358" s="14">
        <v>374</v>
      </c>
      <c r="B358" s="20">
        <v>45992</v>
      </c>
      <c r="C358" s="16" t="s">
        <v>16</v>
      </c>
      <c r="D358" s="17">
        <v>1008</v>
      </c>
      <c r="E358" s="18" t="s">
        <v>114</v>
      </c>
      <c r="F358" s="19" t="s">
        <v>28</v>
      </c>
      <c r="G358" s="19" t="s">
        <v>1734</v>
      </c>
      <c r="H358" s="16" t="s">
        <v>1735</v>
      </c>
      <c r="I358" s="35">
        <v>18639.25</v>
      </c>
      <c r="J358" s="35">
        <v>18639.25</v>
      </c>
      <c r="K358" s="35"/>
      <c r="L358" s="34">
        <v>46003</v>
      </c>
      <c r="M358" s="16"/>
      <c r="N358" s="34"/>
      <c r="O358" s="35"/>
      <c r="P358" s="34"/>
      <c r="Q358" s="46">
        <f t="shared" si="13"/>
        <v>18639.25</v>
      </c>
      <c r="R358" s="47">
        <f t="shared" si="12"/>
        <v>0</v>
      </c>
      <c r="S358" s="48"/>
    </row>
    <row r="359" s="1" customFormat="1" customHeight="1" spans="1:19">
      <c r="A359" s="14">
        <v>375</v>
      </c>
      <c r="B359" s="20">
        <v>45992</v>
      </c>
      <c r="C359" s="16" t="s">
        <v>16</v>
      </c>
      <c r="D359" s="25" t="s">
        <v>1767</v>
      </c>
      <c r="E359" s="18" t="s">
        <v>1768</v>
      </c>
      <c r="F359" s="19" t="s">
        <v>28</v>
      </c>
      <c r="G359" s="19" t="s">
        <v>1734</v>
      </c>
      <c r="H359" s="16" t="s">
        <v>1735</v>
      </c>
      <c r="I359" s="35">
        <v>15672.31</v>
      </c>
      <c r="J359" s="35">
        <v>15672.31</v>
      </c>
      <c r="K359" s="35"/>
      <c r="L359" s="34">
        <v>46006</v>
      </c>
      <c r="M359" s="16"/>
      <c r="N359" s="34"/>
      <c r="O359" s="35"/>
      <c r="P359" s="34"/>
      <c r="Q359" s="46">
        <f t="shared" si="13"/>
        <v>15672.31</v>
      </c>
      <c r="R359" s="47">
        <f t="shared" si="12"/>
        <v>0</v>
      </c>
      <c r="S359" s="48"/>
    </row>
    <row r="360" s="1" customFormat="1" customHeight="1" spans="1:19">
      <c r="A360" s="14">
        <v>376</v>
      </c>
      <c r="B360" s="20">
        <v>45992</v>
      </c>
      <c r="C360" s="16"/>
      <c r="D360" s="17">
        <v>5016</v>
      </c>
      <c r="E360" s="18" t="s">
        <v>765</v>
      </c>
      <c r="F360" s="19" t="s">
        <v>28</v>
      </c>
      <c r="G360" s="19" t="s">
        <v>1734</v>
      </c>
      <c r="H360" s="16" t="s">
        <v>1735</v>
      </c>
      <c r="I360" s="35">
        <v>1493.096734</v>
      </c>
      <c r="J360" s="35">
        <v>1493.096734</v>
      </c>
      <c r="K360" s="35"/>
      <c r="L360" s="34">
        <v>45662</v>
      </c>
      <c r="M360" s="16"/>
      <c r="N360" s="34"/>
      <c r="O360" s="16"/>
      <c r="P360" s="34"/>
      <c r="Q360" s="46">
        <f t="shared" si="13"/>
        <v>1493.096734</v>
      </c>
      <c r="R360" s="47">
        <f t="shared" si="12"/>
        <v>0</v>
      </c>
      <c r="S360" s="48"/>
    </row>
    <row r="361" s="1" customFormat="1" customHeight="1" spans="1:19">
      <c r="A361" s="14">
        <v>377</v>
      </c>
      <c r="B361" s="20">
        <v>45992</v>
      </c>
      <c r="C361" s="16"/>
      <c r="D361" s="17">
        <v>5016</v>
      </c>
      <c r="E361" s="18" t="s">
        <v>765</v>
      </c>
      <c r="F361" s="19" t="s">
        <v>28</v>
      </c>
      <c r="G361" s="19" t="s">
        <v>1734</v>
      </c>
      <c r="H361" s="16" t="s">
        <v>1735</v>
      </c>
      <c r="I361" s="35">
        <v>0</v>
      </c>
      <c r="J361" s="35"/>
      <c r="K361" s="35"/>
      <c r="L361" s="34"/>
      <c r="M361" s="16"/>
      <c r="N361" s="34"/>
      <c r="O361" s="16"/>
      <c r="P361" s="34"/>
      <c r="Q361" s="46">
        <f t="shared" si="13"/>
        <v>0</v>
      </c>
      <c r="R361" s="47">
        <f t="shared" si="12"/>
        <v>0</v>
      </c>
      <c r="S361" s="48"/>
    </row>
    <row r="362" s="1" customFormat="1" customHeight="1" spans="1:19">
      <c r="A362" s="14">
        <v>378</v>
      </c>
      <c r="B362" s="20">
        <v>45992</v>
      </c>
      <c r="C362" s="16"/>
      <c r="D362" s="17">
        <v>5016</v>
      </c>
      <c r="E362" s="18" t="s">
        <v>765</v>
      </c>
      <c r="F362" s="19" t="s">
        <v>28</v>
      </c>
      <c r="G362" s="19" t="s">
        <v>1734</v>
      </c>
      <c r="H362" s="16" t="s">
        <v>1735</v>
      </c>
      <c r="I362" s="35">
        <v>11428.8571679999</v>
      </c>
      <c r="J362" s="35">
        <v>11428.8571679999</v>
      </c>
      <c r="K362" s="35"/>
      <c r="L362" s="34">
        <v>45662</v>
      </c>
      <c r="M362" s="16"/>
      <c r="N362" s="34"/>
      <c r="O362" s="16"/>
      <c r="P362" s="34"/>
      <c r="Q362" s="46">
        <f t="shared" si="13"/>
        <v>11428.8571679999</v>
      </c>
      <c r="R362" s="47">
        <f t="shared" si="12"/>
        <v>0</v>
      </c>
      <c r="S362" s="48"/>
    </row>
    <row r="363" s="1" customFormat="1" customHeight="1" spans="1:19">
      <c r="A363" s="14">
        <v>395</v>
      </c>
      <c r="B363" s="20">
        <v>45992</v>
      </c>
      <c r="C363" s="16"/>
      <c r="D363" s="17" t="s">
        <v>1772</v>
      </c>
      <c r="E363" s="18" t="s">
        <v>819</v>
      </c>
      <c r="F363" s="19" t="s">
        <v>28</v>
      </c>
      <c r="G363" s="19" t="s">
        <v>1734</v>
      </c>
      <c r="H363" s="16" t="s">
        <v>1735</v>
      </c>
      <c r="I363" s="35">
        <v>518.27</v>
      </c>
      <c r="J363" s="35">
        <v>518.27</v>
      </c>
      <c r="K363" s="35"/>
      <c r="L363" s="34">
        <v>46053</v>
      </c>
      <c r="M363" s="16"/>
      <c r="N363" s="34"/>
      <c r="O363" s="35"/>
      <c r="P363" s="34"/>
      <c r="Q363" s="46">
        <f t="shared" si="13"/>
        <v>518.27</v>
      </c>
      <c r="R363" s="47">
        <f t="shared" si="12"/>
        <v>0</v>
      </c>
      <c r="S363" s="48"/>
    </row>
    <row r="364" s="1" customFormat="1" customHeight="1" spans="1:19">
      <c r="A364" s="14">
        <v>396</v>
      </c>
      <c r="B364" s="20">
        <v>45992</v>
      </c>
      <c r="C364" s="16"/>
      <c r="D364" s="17" t="s">
        <v>1758</v>
      </c>
      <c r="E364" s="18" t="s">
        <v>1106</v>
      </c>
      <c r="F364" s="19" t="s">
        <v>28</v>
      </c>
      <c r="G364" s="19" t="s">
        <v>1734</v>
      </c>
      <c r="H364" s="16" t="s">
        <v>1735</v>
      </c>
      <c r="I364" s="35">
        <v>81.8852</v>
      </c>
      <c r="J364" s="35">
        <v>81.87</v>
      </c>
      <c r="K364" s="35"/>
      <c r="L364" s="34">
        <v>46005</v>
      </c>
      <c r="M364" s="16"/>
      <c r="N364" s="34"/>
      <c r="O364" s="16"/>
      <c r="P364" s="34"/>
      <c r="Q364" s="46">
        <f t="shared" si="13"/>
        <v>81.87</v>
      </c>
      <c r="R364" s="47">
        <f t="shared" si="12"/>
        <v>0.015199999999993</v>
      </c>
      <c r="S364" s="48"/>
    </row>
    <row r="365" s="1" customFormat="1" customHeight="1" spans="1:19">
      <c r="A365" s="14">
        <v>397</v>
      </c>
      <c r="B365" s="20">
        <v>45992</v>
      </c>
      <c r="C365" s="16" t="s">
        <v>679</v>
      </c>
      <c r="D365" s="17" t="s">
        <v>1831</v>
      </c>
      <c r="E365" s="18" t="s">
        <v>1832</v>
      </c>
      <c r="F365" s="19" t="s">
        <v>28</v>
      </c>
      <c r="G365" s="19" t="s">
        <v>1734</v>
      </c>
      <c r="H365" s="16" t="s">
        <v>1735</v>
      </c>
      <c r="I365" s="35">
        <v>181.75</v>
      </c>
      <c r="J365" s="35">
        <v>181.75</v>
      </c>
      <c r="K365" s="35"/>
      <c r="L365" s="34">
        <v>46062</v>
      </c>
      <c r="M365" s="16"/>
      <c r="N365" s="34"/>
      <c r="O365" s="16"/>
      <c r="P365" s="34"/>
      <c r="Q365" s="46">
        <f t="shared" si="13"/>
        <v>181.75</v>
      </c>
      <c r="R365" s="47">
        <f t="shared" si="12"/>
        <v>0</v>
      </c>
      <c r="S365" s="48"/>
    </row>
    <row r="366" s="1" customFormat="1" customHeight="1" spans="1:19">
      <c r="A366" s="14">
        <v>398</v>
      </c>
      <c r="B366" s="20">
        <v>45992</v>
      </c>
      <c r="C366" s="16"/>
      <c r="D366" s="17" t="s">
        <v>1797</v>
      </c>
      <c r="E366" s="18" t="s">
        <v>1798</v>
      </c>
      <c r="F366" s="19" t="s">
        <v>28</v>
      </c>
      <c r="G366" s="19" t="s">
        <v>1734</v>
      </c>
      <c r="H366" s="16" t="s">
        <v>1735</v>
      </c>
      <c r="I366" s="35">
        <v>109.85</v>
      </c>
      <c r="J366" s="35"/>
      <c r="K366" s="35"/>
      <c r="L366" s="34"/>
      <c r="M366" s="16"/>
      <c r="N366" s="34"/>
      <c r="O366" s="16">
        <v>109.85</v>
      </c>
      <c r="P366" s="34"/>
      <c r="Q366" s="46">
        <f t="shared" si="13"/>
        <v>109.85</v>
      </c>
      <c r="R366" s="47">
        <f t="shared" si="12"/>
        <v>0</v>
      </c>
      <c r="S366" s="48" t="s">
        <v>1799</v>
      </c>
    </row>
    <row r="367" s="1" customFormat="1" customHeight="1" spans="1:19">
      <c r="A367" s="14">
        <v>402</v>
      </c>
      <c r="B367" s="20">
        <v>45992</v>
      </c>
      <c r="C367" s="16"/>
      <c r="D367" s="17" t="s">
        <v>935</v>
      </c>
      <c r="E367" s="18" t="s">
        <v>936</v>
      </c>
      <c r="F367" s="19" t="s">
        <v>28</v>
      </c>
      <c r="G367" s="19" t="s">
        <v>1734</v>
      </c>
      <c r="H367" s="16" t="s">
        <v>1735</v>
      </c>
      <c r="I367" s="35">
        <v>1224.28</v>
      </c>
      <c r="J367" s="35">
        <v>1224.28</v>
      </c>
      <c r="K367" s="35"/>
      <c r="L367" s="34">
        <v>46002</v>
      </c>
      <c r="M367" s="16"/>
      <c r="N367" s="34"/>
      <c r="O367" s="35"/>
      <c r="P367" s="34"/>
      <c r="Q367" s="46">
        <f t="shared" si="13"/>
        <v>1224.28</v>
      </c>
      <c r="R367" s="47">
        <f t="shared" si="12"/>
        <v>0</v>
      </c>
      <c r="S367" s="48"/>
    </row>
    <row r="368" s="1" customFormat="1" customHeight="1" spans="1:19">
      <c r="A368" s="14">
        <v>403</v>
      </c>
      <c r="B368" s="20">
        <v>45992</v>
      </c>
      <c r="C368" s="16"/>
      <c r="D368" s="17" t="s">
        <v>943</v>
      </c>
      <c r="E368" s="18" t="s">
        <v>1836</v>
      </c>
      <c r="F368" s="19" t="s">
        <v>28</v>
      </c>
      <c r="G368" s="19" t="s">
        <v>1734</v>
      </c>
      <c r="H368" s="16" t="s">
        <v>1735</v>
      </c>
      <c r="I368" s="35">
        <v>1402.03</v>
      </c>
      <c r="J368" s="35"/>
      <c r="K368" s="35"/>
      <c r="L368" s="34"/>
      <c r="M368" s="16"/>
      <c r="N368" s="34"/>
      <c r="O368" s="16">
        <v>1402.03</v>
      </c>
      <c r="P368" s="34"/>
      <c r="Q368" s="46">
        <f t="shared" si="13"/>
        <v>1402.03</v>
      </c>
      <c r="R368" s="47">
        <f t="shared" si="12"/>
        <v>0</v>
      </c>
      <c r="S368" s="48" t="s">
        <v>1860</v>
      </c>
    </row>
    <row r="369" s="1" customFormat="1" customHeight="1" spans="1:19">
      <c r="A369" s="14">
        <v>404</v>
      </c>
      <c r="B369" s="20">
        <v>45992</v>
      </c>
      <c r="C369" s="16"/>
      <c r="D369" s="17" t="s">
        <v>1861</v>
      </c>
      <c r="E369" s="18" t="s">
        <v>933</v>
      </c>
      <c r="F369" s="19" t="s">
        <v>28</v>
      </c>
      <c r="G369" s="19" t="s">
        <v>1734</v>
      </c>
      <c r="H369" s="16" t="s">
        <v>1735</v>
      </c>
      <c r="I369" s="35">
        <v>218.69</v>
      </c>
      <c r="J369" s="35">
        <v>218.69</v>
      </c>
      <c r="K369" s="35"/>
      <c r="L369" s="34">
        <v>46010</v>
      </c>
      <c r="M369" s="16"/>
      <c r="N369" s="34"/>
      <c r="O369" s="16"/>
      <c r="P369" s="34"/>
      <c r="Q369" s="46">
        <f t="shared" si="13"/>
        <v>218.69</v>
      </c>
      <c r="R369" s="47">
        <f t="shared" si="12"/>
        <v>0</v>
      </c>
      <c r="S369" s="48"/>
    </row>
    <row r="370" s="1" customFormat="1" customHeight="1" spans="1:19">
      <c r="A370" s="14">
        <v>405</v>
      </c>
      <c r="B370" s="20">
        <v>45992</v>
      </c>
      <c r="C370" s="16"/>
      <c r="D370" s="17" t="s">
        <v>976</v>
      </c>
      <c r="E370" s="18" t="s">
        <v>978</v>
      </c>
      <c r="F370" s="19" t="s">
        <v>28</v>
      </c>
      <c r="G370" s="19" t="s">
        <v>1734</v>
      </c>
      <c r="H370" s="16" t="s">
        <v>1735</v>
      </c>
      <c r="I370" s="35">
        <v>36.95</v>
      </c>
      <c r="J370" s="35">
        <v>36.95</v>
      </c>
      <c r="K370" s="35"/>
      <c r="L370" s="34">
        <v>46017</v>
      </c>
      <c r="M370" s="16"/>
      <c r="N370" s="34"/>
      <c r="O370" s="35"/>
      <c r="P370" s="34"/>
      <c r="Q370" s="46">
        <f t="shared" si="13"/>
        <v>36.95</v>
      </c>
      <c r="R370" s="47">
        <f t="shared" si="12"/>
        <v>0</v>
      </c>
      <c r="S370" s="48"/>
    </row>
    <row r="371" s="1" customFormat="1" customHeight="1" spans="1:19">
      <c r="A371" s="14">
        <v>406</v>
      </c>
      <c r="B371" s="20">
        <v>45992</v>
      </c>
      <c r="C371" s="16" t="s">
        <v>1044</v>
      </c>
      <c r="D371" s="17" t="s">
        <v>1803</v>
      </c>
      <c r="E371" s="18" t="s">
        <v>982</v>
      </c>
      <c r="F371" s="19" t="s">
        <v>28</v>
      </c>
      <c r="G371" s="19" t="s">
        <v>1734</v>
      </c>
      <c r="H371" s="16" t="s">
        <v>1735</v>
      </c>
      <c r="I371" s="35">
        <v>60.91</v>
      </c>
      <c r="J371" s="35">
        <v>60.91</v>
      </c>
      <c r="K371" s="35"/>
      <c r="L371" s="34">
        <v>46004</v>
      </c>
      <c r="M371" s="16"/>
      <c r="N371" s="34"/>
      <c r="O371" s="35"/>
      <c r="P371" s="34"/>
      <c r="Q371" s="46">
        <f t="shared" si="13"/>
        <v>60.91</v>
      </c>
      <c r="R371" s="47">
        <f t="shared" si="12"/>
        <v>0</v>
      </c>
      <c r="S371" s="48"/>
    </row>
    <row r="372" s="1" customFormat="1" customHeight="1" spans="1:19">
      <c r="A372" s="14">
        <v>407</v>
      </c>
      <c r="B372" s="20">
        <v>45992</v>
      </c>
      <c r="C372" s="16"/>
      <c r="D372" s="17" t="s">
        <v>1805</v>
      </c>
      <c r="E372" s="18" t="s">
        <v>985</v>
      </c>
      <c r="F372" s="19" t="s">
        <v>28</v>
      </c>
      <c r="G372" s="19" t="s">
        <v>1734</v>
      </c>
      <c r="H372" s="16" t="s">
        <v>1735</v>
      </c>
      <c r="I372" s="35">
        <v>173.76</v>
      </c>
      <c r="J372" s="35">
        <v>116.4</v>
      </c>
      <c r="K372" s="35"/>
      <c r="L372" s="34">
        <v>45986</v>
      </c>
      <c r="M372" s="16">
        <v>57.36</v>
      </c>
      <c r="N372" s="34">
        <v>46004</v>
      </c>
      <c r="O372" s="35"/>
      <c r="P372" s="34"/>
      <c r="Q372" s="46">
        <f t="shared" si="13"/>
        <v>173.76</v>
      </c>
      <c r="R372" s="47">
        <f t="shared" si="12"/>
        <v>0</v>
      </c>
      <c r="S372" s="48"/>
    </row>
    <row r="373" s="1" customFormat="1" customHeight="1" spans="1:19">
      <c r="A373" s="14">
        <v>408</v>
      </c>
      <c r="B373" s="20">
        <v>45992</v>
      </c>
      <c r="C373" s="16"/>
      <c r="D373" s="17" t="s">
        <v>1816</v>
      </c>
      <c r="E373" s="18" t="s">
        <v>978</v>
      </c>
      <c r="F373" s="19" t="s">
        <v>28</v>
      </c>
      <c r="G373" s="19" t="s">
        <v>1734</v>
      </c>
      <c r="H373" s="16" t="s">
        <v>1735</v>
      </c>
      <c r="I373" s="35">
        <v>90.87</v>
      </c>
      <c r="J373" s="35">
        <v>90.87</v>
      </c>
      <c r="K373" s="35"/>
      <c r="L373" s="34">
        <v>46017</v>
      </c>
      <c r="M373" s="16"/>
      <c r="N373" s="34"/>
      <c r="O373" s="35"/>
      <c r="P373" s="34"/>
      <c r="Q373" s="46">
        <f t="shared" si="13"/>
        <v>90.87</v>
      </c>
      <c r="R373" s="47">
        <f t="shared" si="12"/>
        <v>0</v>
      </c>
      <c r="S373" s="48"/>
    </row>
    <row r="374" s="1" customFormat="1" customHeight="1" spans="1:19">
      <c r="A374" s="14">
        <v>409</v>
      </c>
      <c r="B374" s="20">
        <v>45992</v>
      </c>
      <c r="C374" s="16" t="s">
        <v>1044</v>
      </c>
      <c r="D374" s="17" t="s">
        <v>873</v>
      </c>
      <c r="E374" s="18" t="s">
        <v>875</v>
      </c>
      <c r="F374" s="19" t="s">
        <v>28</v>
      </c>
      <c r="G374" s="19" t="s">
        <v>1734</v>
      </c>
      <c r="H374" s="16" t="s">
        <v>1735</v>
      </c>
      <c r="I374" s="35">
        <v>754.94</v>
      </c>
      <c r="J374" s="35">
        <v>754.94</v>
      </c>
      <c r="K374" s="35"/>
      <c r="L374" s="34">
        <v>46005</v>
      </c>
      <c r="M374" s="16"/>
      <c r="N374" s="34"/>
      <c r="O374" s="16"/>
      <c r="P374" s="34"/>
      <c r="Q374" s="46">
        <f t="shared" si="13"/>
        <v>754.94</v>
      </c>
      <c r="R374" s="47">
        <f t="shared" si="12"/>
        <v>0</v>
      </c>
      <c r="S374" s="48"/>
    </row>
    <row r="375" s="1" customFormat="1" customHeight="1" spans="1:19">
      <c r="A375" s="14">
        <v>411</v>
      </c>
      <c r="B375" s="20">
        <v>45992</v>
      </c>
      <c r="C375" s="16" t="s">
        <v>1044</v>
      </c>
      <c r="D375" s="17" t="s">
        <v>890</v>
      </c>
      <c r="E375" s="18" t="s">
        <v>892</v>
      </c>
      <c r="F375" s="19" t="s">
        <v>28</v>
      </c>
      <c r="G375" s="19" t="s">
        <v>1734</v>
      </c>
      <c r="H375" s="16" t="s">
        <v>1735</v>
      </c>
      <c r="I375" s="35">
        <v>595.17</v>
      </c>
      <c r="J375" s="35">
        <v>595.17</v>
      </c>
      <c r="K375" s="35"/>
      <c r="L375" s="34">
        <v>46034</v>
      </c>
      <c r="M375" s="16"/>
      <c r="N375" s="34"/>
      <c r="O375" s="16"/>
      <c r="P375" s="34"/>
      <c r="Q375" s="46">
        <f t="shared" si="13"/>
        <v>595.17</v>
      </c>
      <c r="R375" s="47">
        <f t="shared" si="12"/>
        <v>0</v>
      </c>
      <c r="S375" s="48"/>
    </row>
    <row r="376" s="1" customFormat="1" customHeight="1" spans="1:19">
      <c r="A376" s="14">
        <v>412</v>
      </c>
      <c r="B376" s="20">
        <v>45992</v>
      </c>
      <c r="C376" s="16"/>
      <c r="D376" s="17" t="s">
        <v>1847</v>
      </c>
      <c r="E376" s="18" t="s">
        <v>1848</v>
      </c>
      <c r="F376" s="19" t="s">
        <v>28</v>
      </c>
      <c r="G376" s="19" t="s">
        <v>1734</v>
      </c>
      <c r="H376" s="16" t="s">
        <v>1735</v>
      </c>
      <c r="I376" s="35">
        <v>2150.98</v>
      </c>
      <c r="J376" s="35">
        <v>2150.98</v>
      </c>
      <c r="K376" s="35"/>
      <c r="L376" s="34">
        <v>46002</v>
      </c>
      <c r="M376" s="16"/>
      <c r="N376" s="34"/>
      <c r="O376" s="35"/>
      <c r="P376" s="34"/>
      <c r="Q376" s="46">
        <f t="shared" si="13"/>
        <v>2150.98</v>
      </c>
      <c r="R376" s="47">
        <f t="shared" si="12"/>
        <v>0</v>
      </c>
      <c r="S376" s="48"/>
    </row>
    <row r="377" s="1" customFormat="1" customHeight="1" spans="1:19">
      <c r="A377" s="14">
        <v>413</v>
      </c>
      <c r="B377" s="20">
        <v>45992</v>
      </c>
      <c r="C377" s="16"/>
      <c r="D377" s="17" t="s">
        <v>991</v>
      </c>
      <c r="E377" s="18" t="s">
        <v>1862</v>
      </c>
      <c r="F377" s="19" t="s">
        <v>28</v>
      </c>
      <c r="G377" s="19" t="s">
        <v>1734</v>
      </c>
      <c r="H377" s="16" t="s">
        <v>1735</v>
      </c>
      <c r="I377" s="35">
        <v>0</v>
      </c>
      <c r="J377" s="35"/>
      <c r="K377" s="35"/>
      <c r="L377" s="34"/>
      <c r="M377" s="16"/>
      <c r="N377" s="34"/>
      <c r="O377" s="35"/>
      <c r="P377" s="34"/>
      <c r="Q377" s="46">
        <f t="shared" si="13"/>
        <v>0</v>
      </c>
      <c r="R377" s="47">
        <f t="shared" si="12"/>
        <v>0</v>
      </c>
      <c r="S377" s="48"/>
    </row>
    <row r="378" s="1" customFormat="1" customHeight="1" spans="1:19">
      <c r="A378" s="14">
        <v>414</v>
      </c>
      <c r="B378" s="20">
        <v>45992</v>
      </c>
      <c r="C378" s="16"/>
      <c r="D378" s="17" t="s">
        <v>1863</v>
      </c>
      <c r="E378" s="18" t="s">
        <v>799</v>
      </c>
      <c r="F378" s="19" t="s">
        <v>28</v>
      </c>
      <c r="G378" s="19" t="s">
        <v>1734</v>
      </c>
      <c r="H378" s="16" t="s">
        <v>1735</v>
      </c>
      <c r="I378" s="35">
        <v>0</v>
      </c>
      <c r="J378" s="35"/>
      <c r="K378" s="35"/>
      <c r="L378" s="34"/>
      <c r="M378" s="16"/>
      <c r="N378" s="34"/>
      <c r="O378" s="35"/>
      <c r="P378" s="34"/>
      <c r="Q378" s="46">
        <f t="shared" si="13"/>
        <v>0</v>
      </c>
      <c r="R378" s="47">
        <f t="shared" si="12"/>
        <v>0</v>
      </c>
      <c r="S378" s="48"/>
    </row>
    <row r="379" s="1" customFormat="1" customHeight="1" spans="1:19">
      <c r="A379" s="14">
        <v>415</v>
      </c>
      <c r="B379" s="20">
        <v>45992</v>
      </c>
      <c r="C379" s="16" t="s">
        <v>1127</v>
      </c>
      <c r="D379" s="17" t="s">
        <v>835</v>
      </c>
      <c r="E379" s="18" t="s">
        <v>836</v>
      </c>
      <c r="F379" s="19" t="s">
        <v>28</v>
      </c>
      <c r="G379" s="19" t="s">
        <v>1734</v>
      </c>
      <c r="H379" s="16" t="s">
        <v>1735</v>
      </c>
      <c r="I379" s="35">
        <v>393.45</v>
      </c>
      <c r="J379" s="35">
        <v>393.45</v>
      </c>
      <c r="K379" s="35"/>
      <c r="L379" s="34">
        <v>46182</v>
      </c>
      <c r="M379" s="16"/>
      <c r="N379" s="34"/>
      <c r="O379" s="35"/>
      <c r="P379" s="34"/>
      <c r="Q379" s="46">
        <f t="shared" si="13"/>
        <v>393.45</v>
      </c>
      <c r="R379" s="47">
        <f t="shared" si="12"/>
        <v>0</v>
      </c>
      <c r="S379" s="48"/>
    </row>
    <row r="380" s="1" customFormat="1" customHeight="1" spans="1:19">
      <c r="A380" s="14">
        <v>416</v>
      </c>
      <c r="B380" s="20">
        <v>45992</v>
      </c>
      <c r="C380" s="16"/>
      <c r="D380" s="17" t="s">
        <v>1864</v>
      </c>
      <c r="E380" s="18" t="s">
        <v>1865</v>
      </c>
      <c r="F380" s="19" t="s">
        <v>28</v>
      </c>
      <c r="G380" s="19" t="s">
        <v>1734</v>
      </c>
      <c r="H380" s="16" t="s">
        <v>1735</v>
      </c>
      <c r="I380" s="35">
        <v>0</v>
      </c>
      <c r="J380" s="35"/>
      <c r="K380" s="35"/>
      <c r="L380" s="34"/>
      <c r="M380" s="16"/>
      <c r="N380" s="34"/>
      <c r="O380" s="16"/>
      <c r="P380" s="34"/>
      <c r="Q380" s="46">
        <f t="shared" si="13"/>
        <v>0</v>
      </c>
      <c r="R380" s="47">
        <f t="shared" si="12"/>
        <v>0</v>
      </c>
      <c r="S380" s="48"/>
    </row>
    <row r="381" s="1" customFormat="1" customHeight="1" spans="1:19">
      <c r="A381" s="14">
        <v>417</v>
      </c>
      <c r="B381" s="20">
        <v>45992</v>
      </c>
      <c r="C381" s="16"/>
      <c r="D381" s="17" t="s">
        <v>1415</v>
      </c>
      <c r="E381" s="18" t="s">
        <v>1866</v>
      </c>
      <c r="F381" s="19" t="s">
        <v>28</v>
      </c>
      <c r="G381" s="19" t="s">
        <v>1734</v>
      </c>
      <c r="H381" s="16" t="s">
        <v>1735</v>
      </c>
      <c r="I381" s="35">
        <v>0</v>
      </c>
      <c r="J381" s="35"/>
      <c r="K381" s="35"/>
      <c r="L381" s="34"/>
      <c r="M381" s="16"/>
      <c r="N381" s="34"/>
      <c r="O381" s="16"/>
      <c r="P381" s="34"/>
      <c r="Q381" s="46">
        <f t="shared" si="13"/>
        <v>0</v>
      </c>
      <c r="R381" s="47">
        <f t="shared" si="12"/>
        <v>0</v>
      </c>
      <c r="S381" s="48"/>
    </row>
    <row r="382" s="1" customFormat="1" customHeight="1" spans="1:19">
      <c r="A382" s="14">
        <v>418</v>
      </c>
      <c r="B382" s="20">
        <v>45992</v>
      </c>
      <c r="C382" s="16"/>
      <c r="D382" s="17" t="s">
        <v>1102</v>
      </c>
      <c r="E382" s="18" t="s">
        <v>1867</v>
      </c>
      <c r="F382" s="19" t="s">
        <v>28</v>
      </c>
      <c r="G382" s="19" t="s">
        <v>1734</v>
      </c>
      <c r="H382" s="16" t="s">
        <v>1735</v>
      </c>
      <c r="I382" s="35">
        <v>0</v>
      </c>
      <c r="J382" s="16"/>
      <c r="K382" s="35"/>
      <c r="L382" s="34"/>
      <c r="M382" s="16"/>
      <c r="N382" s="34"/>
      <c r="O382" s="16"/>
      <c r="P382" s="34"/>
      <c r="Q382" s="46">
        <f t="shared" si="13"/>
        <v>0</v>
      </c>
      <c r="R382" s="47">
        <f t="shared" si="12"/>
        <v>0</v>
      </c>
      <c r="S382" s="48"/>
    </row>
    <row r="383" s="1" customFormat="1" customHeight="1" spans="1:19">
      <c r="A383" s="14">
        <v>419</v>
      </c>
      <c r="B383" s="20">
        <v>45992</v>
      </c>
      <c r="C383" s="16"/>
      <c r="D383" s="17" t="s">
        <v>1868</v>
      </c>
      <c r="E383" s="18" t="s">
        <v>1869</v>
      </c>
      <c r="F383" s="19" t="s">
        <v>28</v>
      </c>
      <c r="G383" s="19" t="s">
        <v>1734</v>
      </c>
      <c r="H383" s="16" t="s">
        <v>1735</v>
      </c>
      <c r="I383" s="35">
        <v>0</v>
      </c>
      <c r="J383" s="35"/>
      <c r="K383" s="35"/>
      <c r="L383" s="34"/>
      <c r="M383" s="16"/>
      <c r="N383" s="34"/>
      <c r="O383" s="35"/>
      <c r="P383" s="34"/>
      <c r="Q383" s="46">
        <f t="shared" si="13"/>
        <v>0</v>
      </c>
      <c r="R383" s="47">
        <f t="shared" si="12"/>
        <v>0</v>
      </c>
      <c r="S383" s="48"/>
    </row>
    <row r="384" s="1" customFormat="1" customHeight="1" spans="1:19">
      <c r="A384" s="14">
        <v>420</v>
      </c>
      <c r="B384" s="20">
        <v>45992</v>
      </c>
      <c r="C384" s="16"/>
      <c r="D384" s="17" t="s">
        <v>838</v>
      </c>
      <c r="E384" s="18" t="s">
        <v>936</v>
      </c>
      <c r="F384" s="19" t="s">
        <v>28</v>
      </c>
      <c r="G384" s="19" t="s">
        <v>1734</v>
      </c>
      <c r="H384" s="16" t="s">
        <v>1735</v>
      </c>
      <c r="I384" s="35">
        <v>0</v>
      </c>
      <c r="J384" s="35"/>
      <c r="K384" s="35"/>
      <c r="L384" s="34"/>
      <c r="M384" s="16"/>
      <c r="N384" s="34"/>
      <c r="O384" s="35"/>
      <c r="P384" s="34"/>
      <c r="Q384" s="46">
        <f t="shared" si="13"/>
        <v>0</v>
      </c>
      <c r="R384" s="47">
        <f t="shared" si="12"/>
        <v>0</v>
      </c>
      <c r="S384" s="48"/>
    </row>
    <row r="385" s="1" customFormat="1" customHeight="1" spans="1:19">
      <c r="A385" s="14">
        <v>421</v>
      </c>
      <c r="B385" s="20">
        <v>45992</v>
      </c>
      <c r="C385" s="16"/>
      <c r="D385" s="17" t="s">
        <v>1870</v>
      </c>
      <c r="E385" s="18" t="s">
        <v>1871</v>
      </c>
      <c r="F385" s="19" t="s">
        <v>28</v>
      </c>
      <c r="G385" s="19" t="s">
        <v>1734</v>
      </c>
      <c r="H385" s="16" t="s">
        <v>1735</v>
      </c>
      <c r="I385" s="35">
        <v>0</v>
      </c>
      <c r="J385" s="35"/>
      <c r="K385" s="35"/>
      <c r="L385" s="34"/>
      <c r="M385" s="16"/>
      <c r="N385" s="34"/>
      <c r="O385" s="35"/>
      <c r="P385" s="34"/>
      <c r="Q385" s="46">
        <f t="shared" si="13"/>
        <v>0</v>
      </c>
      <c r="R385" s="47">
        <f t="shared" si="12"/>
        <v>0</v>
      </c>
      <c r="S385" s="48"/>
    </row>
    <row r="386" s="1" customFormat="1" customHeight="1" spans="1:19">
      <c r="A386" s="14">
        <v>422</v>
      </c>
      <c r="B386" s="20">
        <v>45992</v>
      </c>
      <c r="C386" s="16"/>
      <c r="D386" s="17" t="s">
        <v>842</v>
      </c>
      <c r="E386" s="18" t="s">
        <v>844</v>
      </c>
      <c r="F386" s="19" t="s">
        <v>28</v>
      </c>
      <c r="G386" s="19" t="s">
        <v>1734</v>
      </c>
      <c r="H386" s="16" t="s">
        <v>1735</v>
      </c>
      <c r="I386" s="35">
        <v>1364.09</v>
      </c>
      <c r="J386" s="35">
        <v>1364.09</v>
      </c>
      <c r="K386" s="35"/>
      <c r="L386" s="34">
        <v>45992</v>
      </c>
      <c r="M386" s="16"/>
      <c r="N386" s="34"/>
      <c r="O386" s="35"/>
      <c r="P386" s="34"/>
      <c r="Q386" s="46">
        <f t="shared" si="13"/>
        <v>1364.09</v>
      </c>
      <c r="R386" s="47">
        <f t="shared" si="12"/>
        <v>0</v>
      </c>
      <c r="S386" s="48"/>
    </row>
    <row r="387" s="1" customFormat="1" customHeight="1" spans="1:19">
      <c r="A387" s="14">
        <v>424</v>
      </c>
      <c r="B387" s="20">
        <v>45992</v>
      </c>
      <c r="C387" s="16"/>
      <c r="D387" s="17" t="s">
        <v>1872</v>
      </c>
      <c r="E387" s="18" t="s">
        <v>1865</v>
      </c>
      <c r="F387" s="19" t="s">
        <v>28</v>
      </c>
      <c r="G387" s="19" t="s">
        <v>1734</v>
      </c>
      <c r="H387" s="16" t="s">
        <v>1735</v>
      </c>
      <c r="I387" s="35">
        <v>0</v>
      </c>
      <c r="J387" s="35"/>
      <c r="K387" s="35"/>
      <c r="L387" s="34"/>
      <c r="M387" s="16"/>
      <c r="N387" s="34"/>
      <c r="O387" s="16"/>
      <c r="P387" s="34"/>
      <c r="Q387" s="46">
        <f t="shared" si="13"/>
        <v>0</v>
      </c>
      <c r="R387" s="47">
        <f t="shared" si="12"/>
        <v>0</v>
      </c>
      <c r="S387" s="48"/>
    </row>
    <row r="388" s="1" customFormat="1" customHeight="1" spans="1:19">
      <c r="A388" s="14">
        <v>425</v>
      </c>
      <c r="B388" s="20">
        <v>45992</v>
      </c>
      <c r="C388" s="16"/>
      <c r="D388" s="17" t="s">
        <v>1873</v>
      </c>
      <c r="E388" s="18" t="s">
        <v>686</v>
      </c>
      <c r="F388" s="19" t="s">
        <v>28</v>
      </c>
      <c r="G388" s="19" t="s">
        <v>1734</v>
      </c>
      <c r="H388" s="16" t="s">
        <v>1735</v>
      </c>
      <c r="I388" s="35">
        <v>0</v>
      </c>
      <c r="J388" s="35"/>
      <c r="K388" s="35"/>
      <c r="L388" s="34"/>
      <c r="M388" s="16"/>
      <c r="N388" s="34"/>
      <c r="O388" s="16"/>
      <c r="P388" s="34"/>
      <c r="Q388" s="46">
        <f t="shared" si="13"/>
        <v>0</v>
      </c>
      <c r="R388" s="47">
        <f t="shared" si="12"/>
        <v>0</v>
      </c>
      <c r="S388" s="48"/>
    </row>
    <row r="389" s="1" customFormat="1" customHeight="1" spans="1:19">
      <c r="A389" s="14">
        <v>426</v>
      </c>
      <c r="B389" s="20">
        <v>45992</v>
      </c>
      <c r="C389" s="16"/>
      <c r="D389" s="17" t="s">
        <v>1874</v>
      </c>
      <c r="E389" s="18" t="s">
        <v>1865</v>
      </c>
      <c r="F389" s="19" t="s">
        <v>28</v>
      </c>
      <c r="G389" s="19" t="s">
        <v>1734</v>
      </c>
      <c r="H389" s="16" t="s">
        <v>1735</v>
      </c>
      <c r="I389" s="35">
        <v>0</v>
      </c>
      <c r="J389" s="35"/>
      <c r="K389" s="35"/>
      <c r="L389" s="34"/>
      <c r="M389" s="16"/>
      <c r="N389" s="34"/>
      <c r="O389" s="35"/>
      <c r="P389" s="34"/>
      <c r="Q389" s="46">
        <f t="shared" si="13"/>
        <v>0</v>
      </c>
      <c r="R389" s="47">
        <f t="shared" si="12"/>
        <v>0</v>
      </c>
      <c r="S389" s="48"/>
    </row>
    <row r="390" s="1" customFormat="1" customHeight="1" spans="1:19">
      <c r="A390" s="14">
        <v>427</v>
      </c>
      <c r="B390" s="20">
        <v>45992</v>
      </c>
      <c r="C390" s="16"/>
      <c r="D390" s="17" t="s">
        <v>1662</v>
      </c>
      <c r="E390" s="18" t="s">
        <v>1875</v>
      </c>
      <c r="F390" s="19" t="s">
        <v>28</v>
      </c>
      <c r="G390" s="19" t="s">
        <v>1734</v>
      </c>
      <c r="H390" s="16" t="s">
        <v>1735</v>
      </c>
      <c r="I390" s="35">
        <v>0</v>
      </c>
      <c r="J390" s="35"/>
      <c r="K390" s="35"/>
      <c r="L390" s="34"/>
      <c r="M390" s="16"/>
      <c r="N390" s="34"/>
      <c r="O390" s="35"/>
      <c r="P390" s="34"/>
      <c r="Q390" s="46">
        <f t="shared" si="13"/>
        <v>0</v>
      </c>
      <c r="R390" s="47">
        <f t="shared" si="12"/>
        <v>0</v>
      </c>
      <c r="S390" s="48"/>
    </row>
    <row r="391" s="1" customFormat="1" customHeight="1" spans="1:19">
      <c r="A391" s="14">
        <v>428</v>
      </c>
      <c r="B391" s="20">
        <v>45992</v>
      </c>
      <c r="C391" s="16"/>
      <c r="D391" s="17" t="s">
        <v>1876</v>
      </c>
      <c r="E391" s="18" t="s">
        <v>1865</v>
      </c>
      <c r="F391" s="19" t="s">
        <v>28</v>
      </c>
      <c r="G391" s="19" t="s">
        <v>1734</v>
      </c>
      <c r="H391" s="16" t="s">
        <v>1735</v>
      </c>
      <c r="I391" s="35">
        <v>0</v>
      </c>
      <c r="J391" s="35"/>
      <c r="K391" s="35"/>
      <c r="L391" s="34"/>
      <c r="M391" s="16"/>
      <c r="N391" s="34"/>
      <c r="O391" s="35"/>
      <c r="P391" s="34"/>
      <c r="Q391" s="46">
        <f t="shared" si="13"/>
        <v>0</v>
      </c>
      <c r="R391" s="47">
        <f t="shared" si="12"/>
        <v>0</v>
      </c>
      <c r="S391" s="48"/>
    </row>
    <row r="392" s="1" customFormat="1" customHeight="1" spans="1:19">
      <c r="A392" s="14">
        <v>429</v>
      </c>
      <c r="B392" s="20">
        <v>45992</v>
      </c>
      <c r="C392" s="16"/>
      <c r="D392" s="17" t="s">
        <v>1877</v>
      </c>
      <c r="E392" s="18" t="s">
        <v>1878</v>
      </c>
      <c r="F392" s="19" t="s">
        <v>28</v>
      </c>
      <c r="G392" s="19" t="s">
        <v>1734</v>
      </c>
      <c r="H392" s="16" t="s">
        <v>1735</v>
      </c>
      <c r="I392" s="35">
        <v>99.86</v>
      </c>
      <c r="J392" s="35">
        <v>99.86</v>
      </c>
      <c r="K392" s="35"/>
      <c r="L392" s="34">
        <v>45662</v>
      </c>
      <c r="M392" s="16"/>
      <c r="N392" s="34"/>
      <c r="O392" s="35"/>
      <c r="P392" s="34"/>
      <c r="Q392" s="46">
        <f t="shared" si="13"/>
        <v>99.86</v>
      </c>
      <c r="R392" s="47">
        <f t="shared" si="12"/>
        <v>0</v>
      </c>
      <c r="S392" s="48"/>
    </row>
    <row r="393" s="1" customFormat="1" customHeight="1" spans="1:19">
      <c r="A393" s="14">
        <v>430</v>
      </c>
      <c r="B393" s="20">
        <v>45992</v>
      </c>
      <c r="C393" s="16" t="s">
        <v>16</v>
      </c>
      <c r="D393" s="17" t="s">
        <v>864</v>
      </c>
      <c r="E393" s="18" t="s">
        <v>866</v>
      </c>
      <c r="F393" s="19" t="s">
        <v>28</v>
      </c>
      <c r="G393" s="19" t="s">
        <v>1734</v>
      </c>
      <c r="H393" s="16" t="s">
        <v>1735</v>
      </c>
      <c r="I393" s="35">
        <v>1489.91</v>
      </c>
      <c r="J393" s="35">
        <v>1489.91</v>
      </c>
      <c r="K393" s="35">
        <f>10.09+2046.47</f>
        <v>2056.56</v>
      </c>
      <c r="L393" s="34">
        <v>46021</v>
      </c>
      <c r="M393" s="16"/>
      <c r="N393" s="34"/>
      <c r="O393" s="16"/>
      <c r="P393" s="34"/>
      <c r="Q393" s="46">
        <f t="shared" si="13"/>
        <v>1489.91</v>
      </c>
      <c r="R393" s="47">
        <f t="shared" si="12"/>
        <v>0</v>
      </c>
      <c r="S393" s="48"/>
    </row>
    <row r="394" s="1" customFormat="1" customHeight="1" spans="1:19">
      <c r="A394" s="14">
        <v>431</v>
      </c>
      <c r="B394" s="20">
        <v>45992</v>
      </c>
      <c r="C394" s="16"/>
      <c r="D394" s="17" t="s">
        <v>1879</v>
      </c>
      <c r="E394" s="18" t="s">
        <v>1880</v>
      </c>
      <c r="F394" s="19" t="s">
        <v>28</v>
      </c>
      <c r="G394" s="19" t="s">
        <v>1734</v>
      </c>
      <c r="H394" s="16" t="s">
        <v>1735</v>
      </c>
      <c r="I394" s="35">
        <v>0</v>
      </c>
      <c r="J394" s="35"/>
      <c r="K394" s="35"/>
      <c r="L394" s="34"/>
      <c r="M394" s="16"/>
      <c r="N394" s="34"/>
      <c r="O394" s="16"/>
      <c r="P394" s="34"/>
      <c r="Q394" s="46">
        <f t="shared" si="13"/>
        <v>0</v>
      </c>
      <c r="R394" s="47">
        <f t="shared" si="12"/>
        <v>0</v>
      </c>
      <c r="S394" s="48"/>
    </row>
    <row r="395" s="1" customFormat="1" customHeight="1" spans="1:19">
      <c r="A395" s="14">
        <v>432</v>
      </c>
      <c r="B395" s="20">
        <v>45992</v>
      </c>
      <c r="C395" s="16"/>
      <c r="D395" s="17" t="s">
        <v>1881</v>
      </c>
      <c r="E395" s="18" t="s">
        <v>1880</v>
      </c>
      <c r="F395" s="19" t="s">
        <v>28</v>
      </c>
      <c r="G395" s="19" t="s">
        <v>1734</v>
      </c>
      <c r="H395" s="16" t="s">
        <v>1735</v>
      </c>
      <c r="I395" s="35">
        <v>0</v>
      </c>
      <c r="J395" s="35"/>
      <c r="K395" s="35"/>
      <c r="L395" s="34"/>
      <c r="M395" s="16"/>
      <c r="N395" s="34"/>
      <c r="O395" s="16"/>
      <c r="P395" s="34"/>
      <c r="Q395" s="46">
        <f t="shared" si="13"/>
        <v>0</v>
      </c>
      <c r="R395" s="47">
        <f t="shared" si="12"/>
        <v>0</v>
      </c>
      <c r="S395" s="48"/>
    </row>
    <row r="396" s="1" customFormat="1" customHeight="1" spans="1:19">
      <c r="A396" s="14">
        <v>433</v>
      </c>
      <c r="B396" s="20">
        <v>45992</v>
      </c>
      <c r="C396" s="16"/>
      <c r="D396" s="17" t="s">
        <v>1882</v>
      </c>
      <c r="E396" s="18" t="s">
        <v>1880</v>
      </c>
      <c r="F396" s="19" t="s">
        <v>28</v>
      </c>
      <c r="G396" s="19" t="s">
        <v>1734</v>
      </c>
      <c r="H396" s="16" t="s">
        <v>1735</v>
      </c>
      <c r="I396" s="35">
        <v>0</v>
      </c>
      <c r="J396" s="35"/>
      <c r="K396" s="35"/>
      <c r="L396" s="34"/>
      <c r="M396" s="16"/>
      <c r="N396" s="34"/>
      <c r="O396" s="35"/>
      <c r="P396" s="34"/>
      <c r="Q396" s="46">
        <f t="shared" si="13"/>
        <v>0</v>
      </c>
      <c r="R396" s="47">
        <f t="shared" si="12"/>
        <v>0</v>
      </c>
      <c r="S396" s="48"/>
    </row>
    <row r="397" s="1" customFormat="1" customHeight="1" spans="1:19">
      <c r="A397" s="14">
        <v>434</v>
      </c>
      <c r="B397" s="20">
        <v>45992</v>
      </c>
      <c r="C397" s="16"/>
      <c r="D397" s="17" t="s">
        <v>1883</v>
      </c>
      <c r="E397" s="18" t="s">
        <v>1106</v>
      </c>
      <c r="F397" s="19" t="s">
        <v>28</v>
      </c>
      <c r="G397" s="19" t="s">
        <v>1734</v>
      </c>
      <c r="H397" s="16" t="s">
        <v>1735</v>
      </c>
      <c r="I397" s="35">
        <v>435.39</v>
      </c>
      <c r="J397" s="35">
        <v>435.39</v>
      </c>
      <c r="K397" s="35"/>
      <c r="L397" s="34">
        <v>46005</v>
      </c>
      <c r="M397" s="16"/>
      <c r="N397" s="34"/>
      <c r="O397" s="35"/>
      <c r="P397" s="34"/>
      <c r="Q397" s="46">
        <f t="shared" si="13"/>
        <v>435.39</v>
      </c>
      <c r="R397" s="47">
        <f t="shared" ref="R397:R460" si="14">I397-Q397</f>
        <v>0</v>
      </c>
      <c r="S397" s="48"/>
    </row>
    <row r="398" s="1" customFormat="1" customHeight="1" spans="1:19">
      <c r="A398" s="14">
        <v>435</v>
      </c>
      <c r="B398" s="20">
        <v>45992</v>
      </c>
      <c r="C398" s="16"/>
      <c r="D398" s="17" t="s">
        <v>1011</v>
      </c>
      <c r="E398" s="18" t="s">
        <v>1013</v>
      </c>
      <c r="F398" s="19" t="s">
        <v>28</v>
      </c>
      <c r="G398" s="19" t="s">
        <v>1734</v>
      </c>
      <c r="H398" s="16" t="s">
        <v>1735</v>
      </c>
      <c r="I398" s="35">
        <v>0</v>
      </c>
      <c r="J398" s="35"/>
      <c r="K398" s="35"/>
      <c r="L398" s="34"/>
      <c r="M398" s="16"/>
      <c r="N398" s="34"/>
      <c r="O398" s="35"/>
      <c r="P398" s="34"/>
      <c r="Q398" s="46">
        <f t="shared" si="13"/>
        <v>0</v>
      </c>
      <c r="R398" s="47">
        <f t="shared" si="14"/>
        <v>0</v>
      </c>
      <c r="S398" s="48"/>
    </row>
    <row r="399" s="1" customFormat="1" customHeight="1" spans="1:19">
      <c r="A399" s="14">
        <v>436</v>
      </c>
      <c r="B399" s="20">
        <v>45992</v>
      </c>
      <c r="C399" s="16"/>
      <c r="D399" s="17" t="s">
        <v>1884</v>
      </c>
      <c r="E399" s="18" t="s">
        <v>1885</v>
      </c>
      <c r="F399" s="19" t="s">
        <v>28</v>
      </c>
      <c r="G399" s="19" t="s">
        <v>1734</v>
      </c>
      <c r="H399" s="16" t="s">
        <v>1735</v>
      </c>
      <c r="I399" s="35">
        <v>0</v>
      </c>
      <c r="J399" s="35"/>
      <c r="K399" s="35"/>
      <c r="L399" s="34"/>
      <c r="M399" s="16"/>
      <c r="N399" s="34"/>
      <c r="O399" s="35"/>
      <c r="P399" s="34"/>
      <c r="Q399" s="46">
        <f t="shared" si="13"/>
        <v>0</v>
      </c>
      <c r="R399" s="47">
        <f t="shared" si="14"/>
        <v>0</v>
      </c>
      <c r="S399" s="48"/>
    </row>
    <row r="400" s="1" customFormat="1" customHeight="1" spans="1:19">
      <c r="A400" s="14">
        <v>440</v>
      </c>
      <c r="B400" s="20">
        <v>45992</v>
      </c>
      <c r="C400" s="16"/>
      <c r="D400" s="17" t="s">
        <v>1886</v>
      </c>
      <c r="E400" s="18" t="s">
        <v>1880</v>
      </c>
      <c r="F400" s="19" t="s">
        <v>28</v>
      </c>
      <c r="G400" s="19" t="s">
        <v>1734</v>
      </c>
      <c r="H400" s="16" t="s">
        <v>1735</v>
      </c>
      <c r="I400" s="35">
        <v>0</v>
      </c>
      <c r="J400" s="35"/>
      <c r="K400" s="35"/>
      <c r="L400" s="34"/>
      <c r="M400" s="16"/>
      <c r="N400" s="34"/>
      <c r="O400" s="35"/>
      <c r="P400" s="34"/>
      <c r="Q400" s="46">
        <f t="shared" si="13"/>
        <v>0</v>
      </c>
      <c r="R400" s="47">
        <f t="shared" si="14"/>
        <v>0</v>
      </c>
      <c r="S400" s="48"/>
    </row>
    <row r="401" s="1" customFormat="1" customHeight="1" spans="1:19">
      <c r="A401" s="14">
        <v>444</v>
      </c>
      <c r="B401" s="20">
        <v>45992</v>
      </c>
      <c r="C401" s="16"/>
      <c r="D401" s="17" t="s">
        <v>1887</v>
      </c>
      <c r="E401" s="18" t="s">
        <v>1888</v>
      </c>
      <c r="F401" s="19" t="s">
        <v>28</v>
      </c>
      <c r="G401" s="19" t="s">
        <v>1734</v>
      </c>
      <c r="H401" s="16" t="s">
        <v>1735</v>
      </c>
      <c r="I401" s="35">
        <v>0</v>
      </c>
      <c r="J401" s="35"/>
      <c r="K401" s="35"/>
      <c r="L401" s="34"/>
      <c r="M401" s="16"/>
      <c r="N401" s="34"/>
      <c r="O401" s="16"/>
      <c r="P401" s="34"/>
      <c r="Q401" s="46">
        <f t="shared" si="13"/>
        <v>0</v>
      </c>
      <c r="R401" s="47">
        <f t="shared" si="14"/>
        <v>0</v>
      </c>
      <c r="S401" s="48"/>
    </row>
    <row r="402" s="1" customFormat="1" customHeight="1" spans="1:19">
      <c r="A402" s="14">
        <v>445</v>
      </c>
      <c r="B402" s="20">
        <v>45992</v>
      </c>
      <c r="C402" s="16"/>
      <c r="D402" s="17" t="s">
        <v>1151</v>
      </c>
      <c r="E402" s="18" t="s">
        <v>1880</v>
      </c>
      <c r="F402" s="19" t="s">
        <v>28</v>
      </c>
      <c r="G402" s="19" t="s">
        <v>1734</v>
      </c>
      <c r="H402" s="16" t="s">
        <v>1735</v>
      </c>
      <c r="I402" s="35">
        <v>0</v>
      </c>
      <c r="J402" s="35"/>
      <c r="K402" s="35"/>
      <c r="L402" s="34"/>
      <c r="M402" s="16"/>
      <c r="N402" s="34"/>
      <c r="O402" s="16"/>
      <c r="P402" s="34"/>
      <c r="Q402" s="46">
        <f t="shared" si="13"/>
        <v>0</v>
      </c>
      <c r="R402" s="47">
        <f t="shared" si="14"/>
        <v>0</v>
      </c>
      <c r="S402" s="48"/>
    </row>
    <row r="403" s="1" customFormat="1" customHeight="1" spans="1:19">
      <c r="A403" s="14">
        <v>446</v>
      </c>
      <c r="B403" s="20">
        <v>45992</v>
      </c>
      <c r="C403" s="16" t="s">
        <v>1044</v>
      </c>
      <c r="D403" s="17" t="s">
        <v>858</v>
      </c>
      <c r="E403" s="18" t="s">
        <v>860</v>
      </c>
      <c r="F403" s="19" t="s">
        <v>28</v>
      </c>
      <c r="G403" s="19" t="s">
        <v>1734</v>
      </c>
      <c r="H403" s="16" t="s">
        <v>1735</v>
      </c>
      <c r="I403" s="35">
        <v>405.4316</v>
      </c>
      <c r="J403" s="35">
        <v>405.4316</v>
      </c>
      <c r="K403" s="35"/>
      <c r="L403" s="34">
        <v>46004</v>
      </c>
      <c r="M403" s="16"/>
      <c r="N403" s="34"/>
      <c r="O403" s="16"/>
      <c r="P403" s="34"/>
      <c r="Q403" s="46">
        <f t="shared" si="13"/>
        <v>405.4316</v>
      </c>
      <c r="R403" s="47">
        <f t="shared" si="14"/>
        <v>0</v>
      </c>
      <c r="S403" s="48"/>
    </row>
    <row r="404" s="1" customFormat="1" customHeight="1" spans="1:19">
      <c r="A404" s="14">
        <v>448</v>
      </c>
      <c r="B404" s="20">
        <v>45992</v>
      </c>
      <c r="C404" s="16" t="s">
        <v>909</v>
      </c>
      <c r="D404" s="17" t="s">
        <v>993</v>
      </c>
      <c r="E404" s="18" t="s">
        <v>1889</v>
      </c>
      <c r="F404" s="19" t="s">
        <v>28</v>
      </c>
      <c r="G404" s="19" t="s">
        <v>1734</v>
      </c>
      <c r="H404" s="16" t="s">
        <v>1735</v>
      </c>
      <c r="I404" s="35">
        <v>371.48</v>
      </c>
      <c r="J404" s="35">
        <v>371.48</v>
      </c>
      <c r="K404" s="35"/>
      <c r="L404" s="34">
        <v>46011</v>
      </c>
      <c r="M404" s="16"/>
      <c r="N404" s="34"/>
      <c r="O404" s="35"/>
      <c r="P404" s="34"/>
      <c r="Q404" s="46">
        <f t="shared" si="13"/>
        <v>371.48</v>
      </c>
      <c r="R404" s="47">
        <f t="shared" si="14"/>
        <v>0</v>
      </c>
      <c r="S404" s="48"/>
    </row>
    <row r="405" s="1" customFormat="1" customHeight="1" spans="1:19">
      <c r="A405" s="14">
        <v>449</v>
      </c>
      <c r="B405" s="20">
        <v>45992</v>
      </c>
      <c r="C405" s="16"/>
      <c r="D405" s="17" t="s">
        <v>1890</v>
      </c>
      <c r="E405" s="18" t="s">
        <v>1891</v>
      </c>
      <c r="F405" s="19" t="s">
        <v>28</v>
      </c>
      <c r="G405" s="19" t="s">
        <v>1734</v>
      </c>
      <c r="H405" s="16" t="s">
        <v>1735</v>
      </c>
      <c r="I405" s="35">
        <v>0</v>
      </c>
      <c r="J405" s="35"/>
      <c r="K405" s="35"/>
      <c r="L405" s="34"/>
      <c r="M405" s="16"/>
      <c r="N405" s="34"/>
      <c r="O405" s="35"/>
      <c r="P405" s="34"/>
      <c r="Q405" s="46">
        <f t="shared" ref="Q405:Q468" si="15">J405+M405+O405</f>
        <v>0</v>
      </c>
      <c r="R405" s="47">
        <f t="shared" si="14"/>
        <v>0</v>
      </c>
      <c r="S405" s="48"/>
    </row>
    <row r="406" s="1" customFormat="1" customHeight="1" spans="1:19">
      <c r="A406" s="14">
        <v>450</v>
      </c>
      <c r="B406" s="20">
        <v>45992</v>
      </c>
      <c r="C406" s="16" t="s">
        <v>1820</v>
      </c>
      <c r="D406" s="17" t="s">
        <v>946</v>
      </c>
      <c r="E406" s="18" t="s">
        <v>948</v>
      </c>
      <c r="F406" s="19" t="s">
        <v>28</v>
      </c>
      <c r="G406" s="19" t="s">
        <v>1734</v>
      </c>
      <c r="H406" s="16" t="s">
        <v>1735</v>
      </c>
      <c r="I406" s="35">
        <v>4461.74</v>
      </c>
      <c r="J406" s="35">
        <v>4461.74</v>
      </c>
      <c r="K406" s="35"/>
      <c r="L406" s="34">
        <v>46008</v>
      </c>
      <c r="M406" s="16"/>
      <c r="N406" s="34"/>
      <c r="O406" s="35"/>
      <c r="P406" s="34"/>
      <c r="Q406" s="46">
        <f t="shared" si="15"/>
        <v>4461.74</v>
      </c>
      <c r="R406" s="47">
        <f t="shared" si="14"/>
        <v>0</v>
      </c>
      <c r="S406" s="48"/>
    </row>
    <row r="407" s="1" customFormat="1" customHeight="1" spans="1:19">
      <c r="A407" s="14">
        <v>451</v>
      </c>
      <c r="B407" s="20">
        <v>45992</v>
      </c>
      <c r="C407" s="16"/>
      <c r="D407" s="17"/>
      <c r="E407" s="18" t="s">
        <v>1892</v>
      </c>
      <c r="F407" s="19" t="s">
        <v>28</v>
      </c>
      <c r="G407" s="19" t="s">
        <v>1734</v>
      </c>
      <c r="H407" s="16" t="s">
        <v>1735</v>
      </c>
      <c r="I407" s="35">
        <v>0</v>
      </c>
      <c r="J407" s="35"/>
      <c r="K407" s="35"/>
      <c r="L407" s="34"/>
      <c r="M407" s="16"/>
      <c r="N407" s="34"/>
      <c r="O407" s="16"/>
      <c r="P407" s="34"/>
      <c r="Q407" s="46">
        <f t="shared" si="15"/>
        <v>0</v>
      </c>
      <c r="R407" s="47">
        <f t="shared" si="14"/>
        <v>0</v>
      </c>
      <c r="S407" s="48"/>
    </row>
    <row r="408" s="1" customFormat="1" customHeight="1" spans="1:19">
      <c r="A408" s="14">
        <v>452</v>
      </c>
      <c r="B408" s="20">
        <v>45992</v>
      </c>
      <c r="C408" s="16" t="s">
        <v>909</v>
      </c>
      <c r="D408" s="17" t="s">
        <v>1003</v>
      </c>
      <c r="E408" s="18" t="s">
        <v>1005</v>
      </c>
      <c r="F408" s="19" t="s">
        <v>28</v>
      </c>
      <c r="G408" s="19" t="s">
        <v>1734</v>
      </c>
      <c r="H408" s="16" t="s">
        <v>1735</v>
      </c>
      <c r="I408" s="35">
        <v>43.94</v>
      </c>
      <c r="J408" s="35">
        <v>43.94</v>
      </c>
      <c r="K408" s="35"/>
      <c r="L408" s="34">
        <v>46004</v>
      </c>
      <c r="M408" s="16"/>
      <c r="N408" s="34"/>
      <c r="O408" s="16"/>
      <c r="P408" s="34"/>
      <c r="Q408" s="46">
        <f t="shared" si="15"/>
        <v>43.94</v>
      </c>
      <c r="R408" s="47">
        <f t="shared" si="14"/>
        <v>0</v>
      </c>
      <c r="S408" s="48"/>
    </row>
    <row r="409" s="1" customFormat="1" customHeight="1" spans="1:19">
      <c r="A409" s="14">
        <v>453</v>
      </c>
      <c r="B409" s="20">
        <v>45992</v>
      </c>
      <c r="C409" s="16"/>
      <c r="D409" s="17" t="s">
        <v>1893</v>
      </c>
      <c r="E409" s="18" t="s">
        <v>1880</v>
      </c>
      <c r="F409" s="19" t="s">
        <v>28</v>
      </c>
      <c r="G409" s="19" t="s">
        <v>1734</v>
      </c>
      <c r="H409" s="16" t="s">
        <v>1735</v>
      </c>
      <c r="I409" s="35">
        <v>0</v>
      </c>
      <c r="J409" s="35"/>
      <c r="K409" s="35"/>
      <c r="L409" s="34"/>
      <c r="M409" s="16"/>
      <c r="N409" s="34"/>
      <c r="O409" s="35"/>
      <c r="P409" s="34"/>
      <c r="Q409" s="46">
        <f t="shared" si="15"/>
        <v>0</v>
      </c>
      <c r="R409" s="47">
        <f t="shared" si="14"/>
        <v>0</v>
      </c>
      <c r="S409" s="48"/>
    </row>
    <row r="410" s="1" customFormat="1" customHeight="1" spans="1:19">
      <c r="A410" s="14">
        <v>454</v>
      </c>
      <c r="B410" s="20">
        <v>45992</v>
      </c>
      <c r="C410" s="16"/>
      <c r="D410" s="17" t="s">
        <v>885</v>
      </c>
      <c r="E410" s="18" t="s">
        <v>886</v>
      </c>
      <c r="F410" s="19" t="s">
        <v>28</v>
      </c>
      <c r="G410" s="19" t="s">
        <v>1734</v>
      </c>
      <c r="H410" s="16" t="s">
        <v>1735</v>
      </c>
      <c r="I410" s="35">
        <v>1100.46</v>
      </c>
      <c r="J410" s="35">
        <v>1100.46</v>
      </c>
      <c r="K410" s="35"/>
      <c r="L410" s="34">
        <v>46004</v>
      </c>
      <c r="M410" s="16"/>
      <c r="N410" s="34"/>
      <c r="O410" s="35"/>
      <c r="P410" s="34"/>
      <c r="Q410" s="46">
        <f t="shared" si="15"/>
        <v>1100.46</v>
      </c>
      <c r="R410" s="47">
        <f t="shared" si="14"/>
        <v>0</v>
      </c>
      <c r="S410" s="48"/>
    </row>
    <row r="411" s="1" customFormat="1" customHeight="1" spans="1:19">
      <c r="A411" s="14">
        <v>455</v>
      </c>
      <c r="B411" s="20">
        <v>45992</v>
      </c>
      <c r="C411" s="16"/>
      <c r="D411" s="17" t="s">
        <v>881</v>
      </c>
      <c r="E411" s="18" t="s">
        <v>1780</v>
      </c>
      <c r="F411" s="19" t="s">
        <v>28</v>
      </c>
      <c r="G411" s="19" t="s">
        <v>1734</v>
      </c>
      <c r="H411" s="16" t="s">
        <v>1735</v>
      </c>
      <c r="I411" s="35">
        <v>969.64</v>
      </c>
      <c r="J411" s="35">
        <v>969.64</v>
      </c>
      <c r="K411" s="35"/>
      <c r="L411" s="34">
        <v>46053</v>
      </c>
      <c r="M411" s="16"/>
      <c r="N411" s="34"/>
      <c r="O411" s="35"/>
      <c r="P411" s="34"/>
      <c r="Q411" s="46">
        <f t="shared" si="15"/>
        <v>969.64</v>
      </c>
      <c r="R411" s="47">
        <f t="shared" si="14"/>
        <v>0</v>
      </c>
      <c r="S411" s="48"/>
    </row>
    <row r="412" s="1" customFormat="1" customHeight="1" spans="1:19">
      <c r="A412" s="14">
        <v>456</v>
      </c>
      <c r="B412" s="20">
        <v>45992</v>
      </c>
      <c r="C412" s="16"/>
      <c r="D412" s="17" t="s">
        <v>1775</v>
      </c>
      <c r="E412" s="18" t="s">
        <v>1124</v>
      </c>
      <c r="F412" s="19" t="s">
        <v>28</v>
      </c>
      <c r="G412" s="19" t="s">
        <v>1734</v>
      </c>
      <c r="H412" s="16" t="s">
        <v>1735</v>
      </c>
      <c r="I412" s="35">
        <v>4092.76</v>
      </c>
      <c r="J412" s="35">
        <v>4092.76</v>
      </c>
      <c r="K412" s="35"/>
      <c r="L412" s="34">
        <v>45980</v>
      </c>
      <c r="M412" s="16"/>
      <c r="N412" s="34"/>
      <c r="O412" s="35"/>
      <c r="P412" s="34"/>
      <c r="Q412" s="46">
        <f t="shared" si="15"/>
        <v>4092.76</v>
      </c>
      <c r="R412" s="47">
        <f t="shared" si="14"/>
        <v>0</v>
      </c>
      <c r="S412" s="48" t="s">
        <v>1894</v>
      </c>
    </row>
    <row r="413" s="1" customFormat="1" customHeight="1" spans="1:19">
      <c r="A413" s="14">
        <v>457</v>
      </c>
      <c r="B413" s="20">
        <v>45992</v>
      </c>
      <c r="C413" s="16"/>
      <c r="D413" s="17" t="s">
        <v>1859</v>
      </c>
      <c r="E413" s="18" t="s">
        <v>1260</v>
      </c>
      <c r="F413" s="19" t="s">
        <v>28</v>
      </c>
      <c r="G413" s="19" t="s">
        <v>1734</v>
      </c>
      <c r="H413" s="16" t="s">
        <v>1735</v>
      </c>
      <c r="I413" s="35">
        <v>497.3</v>
      </c>
      <c r="J413" s="35">
        <v>497.3</v>
      </c>
      <c r="K413" s="35"/>
      <c r="L413" s="34">
        <v>46002</v>
      </c>
      <c r="M413" s="16"/>
      <c r="N413" s="34"/>
      <c r="O413" s="16"/>
      <c r="P413" s="34"/>
      <c r="Q413" s="46">
        <f t="shared" si="15"/>
        <v>497.3</v>
      </c>
      <c r="R413" s="47">
        <f t="shared" si="14"/>
        <v>0</v>
      </c>
      <c r="S413" s="48"/>
    </row>
    <row r="414" s="1" customFormat="1" customHeight="1" spans="1:19">
      <c r="A414" s="14">
        <v>458</v>
      </c>
      <c r="B414" s="20">
        <v>45992</v>
      </c>
      <c r="C414" s="16"/>
      <c r="D414" s="17" t="s">
        <v>1895</v>
      </c>
      <c r="E414" s="18" t="s">
        <v>1896</v>
      </c>
      <c r="F414" s="19" t="s">
        <v>28</v>
      </c>
      <c r="G414" s="19" t="s">
        <v>1734</v>
      </c>
      <c r="H414" s="16" t="s">
        <v>1735</v>
      </c>
      <c r="I414" s="35"/>
      <c r="J414" s="35"/>
      <c r="K414" s="35"/>
      <c r="L414" s="34"/>
      <c r="M414" s="16"/>
      <c r="N414" s="34"/>
      <c r="O414" s="16"/>
      <c r="P414" s="34"/>
      <c r="Q414" s="46">
        <f t="shared" si="15"/>
        <v>0</v>
      </c>
      <c r="R414" s="47">
        <f t="shared" si="14"/>
        <v>0</v>
      </c>
      <c r="S414" s="48"/>
    </row>
    <row r="415" s="1" customFormat="1" customHeight="1" spans="1:19">
      <c r="A415" s="14">
        <v>459</v>
      </c>
      <c r="B415" s="20">
        <v>45992</v>
      </c>
      <c r="C415" s="16"/>
      <c r="D415" s="17" t="s">
        <v>1897</v>
      </c>
      <c r="E415" s="23" t="s">
        <v>1740</v>
      </c>
      <c r="F415" s="19" t="s">
        <v>28</v>
      </c>
      <c r="G415" s="19" t="s">
        <v>1734</v>
      </c>
      <c r="H415" s="16" t="s">
        <v>1735</v>
      </c>
      <c r="I415" s="33">
        <v>293.59</v>
      </c>
      <c r="J415" s="35">
        <v>293.59</v>
      </c>
      <c r="K415" s="35"/>
      <c r="L415" s="34">
        <v>46008</v>
      </c>
      <c r="M415" s="16"/>
      <c r="N415" s="34"/>
      <c r="O415" s="16"/>
      <c r="P415" s="34"/>
      <c r="Q415" s="46">
        <f t="shared" si="15"/>
        <v>293.59</v>
      </c>
      <c r="R415" s="47">
        <f t="shared" si="14"/>
        <v>0</v>
      </c>
      <c r="S415" s="48"/>
    </row>
    <row r="416" s="1" customFormat="1" customHeight="1" spans="1:19">
      <c r="A416" s="14">
        <v>460</v>
      </c>
      <c r="B416" s="20">
        <v>45992</v>
      </c>
      <c r="C416" s="16"/>
      <c r="D416" s="334" t="s">
        <v>1898</v>
      </c>
      <c r="E416" s="23" t="s">
        <v>1899</v>
      </c>
      <c r="F416" s="19" t="s">
        <v>28</v>
      </c>
      <c r="G416" s="19" t="s">
        <v>1734</v>
      </c>
      <c r="H416" s="16" t="s">
        <v>1735</v>
      </c>
      <c r="I416" s="33">
        <v>10.98</v>
      </c>
      <c r="J416" s="35">
        <v>10.98</v>
      </c>
      <c r="K416" s="35"/>
      <c r="L416" s="34">
        <v>46008</v>
      </c>
      <c r="M416" s="16"/>
      <c r="N416" s="34"/>
      <c r="O416" s="35"/>
      <c r="P416" s="34"/>
      <c r="Q416" s="46">
        <f t="shared" si="15"/>
        <v>10.98</v>
      </c>
      <c r="R416" s="47">
        <f t="shared" si="14"/>
        <v>0</v>
      </c>
      <c r="S416" s="48"/>
    </row>
    <row r="417" s="1" customFormat="1" customHeight="1" spans="1:19">
      <c r="A417" s="14">
        <v>461</v>
      </c>
      <c r="B417" s="20">
        <v>45992</v>
      </c>
      <c r="C417" s="16"/>
      <c r="D417" s="334" t="s">
        <v>1900</v>
      </c>
      <c r="E417" s="23" t="s">
        <v>1828</v>
      </c>
      <c r="F417" s="19" t="s">
        <v>28</v>
      </c>
      <c r="G417" s="19" t="s">
        <v>1734</v>
      </c>
      <c r="H417" s="16" t="s">
        <v>1735</v>
      </c>
      <c r="I417" s="33">
        <v>99.86</v>
      </c>
      <c r="J417" s="35">
        <v>99.86</v>
      </c>
      <c r="K417" s="35"/>
      <c r="L417" s="34">
        <v>46008</v>
      </c>
      <c r="M417" s="16"/>
      <c r="N417" s="34"/>
      <c r="O417" s="35"/>
      <c r="P417" s="34"/>
      <c r="Q417" s="46">
        <f t="shared" si="15"/>
        <v>99.86</v>
      </c>
      <c r="R417" s="47">
        <f t="shared" si="14"/>
        <v>0</v>
      </c>
      <c r="S417" s="48"/>
    </row>
    <row r="418" s="1" customFormat="1" customHeight="1" spans="1:19">
      <c r="A418" s="14">
        <v>462</v>
      </c>
      <c r="B418" s="20">
        <v>45992</v>
      </c>
      <c r="C418" s="16"/>
      <c r="D418" s="334" t="s">
        <v>1761</v>
      </c>
      <c r="E418" s="23" t="s">
        <v>1762</v>
      </c>
      <c r="F418" s="19" t="s">
        <v>28</v>
      </c>
      <c r="G418" s="19" t="s">
        <v>1734</v>
      </c>
      <c r="H418" s="16" t="s">
        <v>1735</v>
      </c>
      <c r="I418" s="33">
        <v>463.35</v>
      </c>
      <c r="J418" s="35">
        <v>463.35</v>
      </c>
      <c r="K418" s="35"/>
      <c r="L418" s="34">
        <v>46008</v>
      </c>
      <c r="M418" s="16"/>
      <c r="N418" s="34"/>
      <c r="O418" s="35"/>
      <c r="P418" s="34"/>
      <c r="Q418" s="46">
        <f t="shared" si="15"/>
        <v>463.35</v>
      </c>
      <c r="R418" s="47">
        <f t="shared" si="14"/>
        <v>0</v>
      </c>
      <c r="S418" s="48"/>
    </row>
    <row r="419" s="1" customFormat="1" customHeight="1" spans="1:19">
      <c r="A419" s="14">
        <v>463</v>
      </c>
      <c r="B419" s="20">
        <v>45992</v>
      </c>
      <c r="C419" s="16"/>
      <c r="D419" s="334" t="s">
        <v>1901</v>
      </c>
      <c r="E419" s="23" t="s">
        <v>1902</v>
      </c>
      <c r="F419" s="19" t="s">
        <v>28</v>
      </c>
      <c r="G419" s="19" t="s">
        <v>1734</v>
      </c>
      <c r="H419" s="16" t="s">
        <v>1735</v>
      </c>
      <c r="I419" s="33">
        <v>199.72</v>
      </c>
      <c r="J419" s="35">
        <v>199.72</v>
      </c>
      <c r="K419" s="35"/>
      <c r="L419" s="34">
        <v>46008</v>
      </c>
      <c r="M419" s="16"/>
      <c r="N419" s="34"/>
      <c r="O419" s="35"/>
      <c r="P419" s="34"/>
      <c r="Q419" s="46">
        <f t="shared" si="15"/>
        <v>199.72</v>
      </c>
      <c r="R419" s="47">
        <f t="shared" si="14"/>
        <v>0</v>
      </c>
      <c r="S419" s="48"/>
    </row>
    <row r="420" s="1" customFormat="1" customHeight="1" spans="1:19">
      <c r="A420" s="14">
        <v>464</v>
      </c>
      <c r="B420" s="20">
        <v>45992</v>
      </c>
      <c r="C420" s="16"/>
      <c r="D420" s="334" t="s">
        <v>1821</v>
      </c>
      <c r="E420" s="23" t="s">
        <v>1822</v>
      </c>
      <c r="F420" s="19" t="s">
        <v>28</v>
      </c>
      <c r="G420" s="19" t="s">
        <v>1734</v>
      </c>
      <c r="H420" s="16" t="s">
        <v>1735</v>
      </c>
      <c r="I420" s="33">
        <v>88.88</v>
      </c>
      <c r="J420" s="35">
        <v>88.88</v>
      </c>
      <c r="K420" s="35"/>
      <c r="L420" s="34">
        <v>46008</v>
      </c>
      <c r="M420" s="16"/>
      <c r="N420" s="34"/>
      <c r="O420" s="16"/>
      <c r="P420" s="34"/>
      <c r="Q420" s="46">
        <f t="shared" si="15"/>
        <v>88.88</v>
      </c>
      <c r="R420" s="47">
        <f t="shared" si="14"/>
        <v>0</v>
      </c>
      <c r="S420" s="48"/>
    </row>
    <row r="421" s="1" customFormat="1" customHeight="1" spans="1:19">
      <c r="A421" s="14">
        <v>465</v>
      </c>
      <c r="B421" s="20">
        <v>45992</v>
      </c>
      <c r="C421" s="16"/>
      <c r="D421" s="334" t="s">
        <v>1764</v>
      </c>
      <c r="E421" s="23" t="s">
        <v>1765</v>
      </c>
      <c r="F421" s="19" t="s">
        <v>28</v>
      </c>
      <c r="G421" s="19" t="s">
        <v>1734</v>
      </c>
      <c r="H421" s="16" t="s">
        <v>1735</v>
      </c>
      <c r="I421" s="33">
        <v>485.32</v>
      </c>
      <c r="J421" s="35">
        <v>485.32</v>
      </c>
      <c r="K421" s="35"/>
      <c r="L421" s="34">
        <v>46008</v>
      </c>
      <c r="M421" s="16"/>
      <c r="N421" s="34"/>
      <c r="O421" s="16"/>
      <c r="P421" s="34"/>
      <c r="Q421" s="46">
        <f t="shared" si="15"/>
        <v>485.32</v>
      </c>
      <c r="R421" s="47">
        <f t="shared" si="14"/>
        <v>0</v>
      </c>
      <c r="S421" s="48"/>
    </row>
    <row r="422" s="1" customFormat="1" customHeight="1" spans="1:19">
      <c r="A422" s="14">
        <v>466</v>
      </c>
      <c r="B422" s="20">
        <v>45992</v>
      </c>
      <c r="C422" s="16"/>
      <c r="D422" s="334" t="s">
        <v>1842</v>
      </c>
      <c r="E422" s="23" t="s">
        <v>1843</v>
      </c>
      <c r="F422" s="19" t="s">
        <v>28</v>
      </c>
      <c r="G422" s="19" t="s">
        <v>1734</v>
      </c>
      <c r="H422" s="16" t="s">
        <v>1735</v>
      </c>
      <c r="I422" s="33">
        <v>84.88</v>
      </c>
      <c r="J422" s="35">
        <v>84.88</v>
      </c>
      <c r="K422" s="35"/>
      <c r="L422" s="34">
        <v>46009</v>
      </c>
      <c r="M422" s="16"/>
      <c r="N422" s="34"/>
      <c r="O422" s="16"/>
      <c r="P422" s="34"/>
      <c r="Q422" s="46">
        <f t="shared" si="15"/>
        <v>84.88</v>
      </c>
      <c r="R422" s="47">
        <f t="shared" si="14"/>
        <v>0</v>
      </c>
      <c r="S422" s="48"/>
    </row>
    <row r="423" s="1" customFormat="1" customHeight="1" spans="1:19">
      <c r="A423" s="14">
        <v>467</v>
      </c>
      <c r="B423" s="20">
        <v>45992</v>
      </c>
      <c r="C423" s="16" t="s">
        <v>1737</v>
      </c>
      <c r="D423" s="17">
        <v>10</v>
      </c>
      <c r="E423" s="23" t="s">
        <v>1903</v>
      </c>
      <c r="F423" s="19" t="s">
        <v>28</v>
      </c>
      <c r="G423" s="19" t="s">
        <v>1734</v>
      </c>
      <c r="H423" s="16" t="s">
        <v>1735</v>
      </c>
      <c r="I423" s="33">
        <v>200.72</v>
      </c>
      <c r="J423" s="35">
        <v>200.72</v>
      </c>
      <c r="K423" s="35"/>
      <c r="L423" s="34">
        <v>46008</v>
      </c>
      <c r="M423" s="16"/>
      <c r="N423" s="34"/>
      <c r="O423" s="35"/>
      <c r="P423" s="34"/>
      <c r="Q423" s="46">
        <f t="shared" si="15"/>
        <v>200.72</v>
      </c>
      <c r="R423" s="47">
        <f t="shared" si="14"/>
        <v>0</v>
      </c>
      <c r="S423" s="48"/>
    </row>
    <row r="424" s="1" customFormat="1" customHeight="1" spans="1:19">
      <c r="A424" s="14">
        <v>468</v>
      </c>
      <c r="B424" s="20">
        <v>45992</v>
      </c>
      <c r="C424" s="16"/>
      <c r="D424" s="17">
        <v>21</v>
      </c>
      <c r="E424" s="23" t="s">
        <v>1739</v>
      </c>
      <c r="F424" s="19" t="s">
        <v>28</v>
      </c>
      <c r="G424" s="19" t="s">
        <v>1734</v>
      </c>
      <c r="H424" s="16" t="s">
        <v>1735</v>
      </c>
      <c r="I424" s="33">
        <v>120.83</v>
      </c>
      <c r="J424" s="35">
        <v>120.83</v>
      </c>
      <c r="K424" s="35"/>
      <c r="L424" s="34">
        <v>46008</v>
      </c>
      <c r="M424" s="16"/>
      <c r="N424" s="34"/>
      <c r="O424" s="35"/>
      <c r="P424" s="34"/>
      <c r="Q424" s="46">
        <f t="shared" si="15"/>
        <v>120.83</v>
      </c>
      <c r="R424" s="47">
        <f t="shared" si="14"/>
        <v>0</v>
      </c>
      <c r="S424" s="48"/>
    </row>
    <row r="425" s="1" customFormat="1" customHeight="1" spans="1:19">
      <c r="A425" s="14">
        <v>469</v>
      </c>
      <c r="B425" s="20">
        <v>45992</v>
      </c>
      <c r="C425" s="16"/>
      <c r="D425" s="17" t="s">
        <v>1904</v>
      </c>
      <c r="E425" s="23" t="s">
        <v>1774</v>
      </c>
      <c r="F425" s="19" t="s">
        <v>28</v>
      </c>
      <c r="G425" s="19" t="s">
        <v>1734</v>
      </c>
      <c r="H425" s="16" t="s">
        <v>1735</v>
      </c>
      <c r="I425" s="33">
        <v>184.74</v>
      </c>
      <c r="J425" s="35">
        <v>184.74</v>
      </c>
      <c r="K425" s="35"/>
      <c r="L425" s="34">
        <v>46008</v>
      </c>
      <c r="M425" s="16"/>
      <c r="N425" s="34"/>
      <c r="O425" s="35"/>
      <c r="P425" s="34"/>
      <c r="Q425" s="46">
        <f t="shared" si="15"/>
        <v>184.74</v>
      </c>
      <c r="R425" s="47">
        <f t="shared" si="14"/>
        <v>0</v>
      </c>
      <c r="S425" s="48"/>
    </row>
    <row r="426" s="1" customFormat="1" customHeight="1" spans="1:19">
      <c r="A426" s="14">
        <v>470</v>
      </c>
      <c r="B426" s="20">
        <v>45992</v>
      </c>
      <c r="C426" s="16"/>
      <c r="D426" s="334" t="s">
        <v>1838</v>
      </c>
      <c r="E426" s="23" t="s">
        <v>1839</v>
      </c>
      <c r="F426" s="19" t="s">
        <v>28</v>
      </c>
      <c r="G426" s="19" t="s">
        <v>1734</v>
      </c>
      <c r="H426" s="16" t="s">
        <v>1735</v>
      </c>
      <c r="I426" s="33">
        <v>358.5</v>
      </c>
      <c r="J426" s="35">
        <v>358.5</v>
      </c>
      <c r="K426" s="35"/>
      <c r="L426" s="34">
        <v>46008</v>
      </c>
      <c r="M426" s="16"/>
      <c r="N426" s="34"/>
      <c r="O426" s="35"/>
      <c r="P426" s="34"/>
      <c r="Q426" s="46">
        <f t="shared" si="15"/>
        <v>358.5</v>
      </c>
      <c r="R426" s="47">
        <f t="shared" si="14"/>
        <v>0</v>
      </c>
      <c r="S426" s="48"/>
    </row>
    <row r="427" s="1" customFormat="1" customHeight="1" spans="1:19">
      <c r="A427" s="14">
        <v>471</v>
      </c>
      <c r="B427" s="20">
        <v>45992</v>
      </c>
      <c r="C427" s="16"/>
      <c r="D427" s="17">
        <v>13</v>
      </c>
      <c r="E427" s="23" t="s">
        <v>1763</v>
      </c>
      <c r="F427" s="19" t="s">
        <v>28</v>
      </c>
      <c r="G427" s="19" t="s">
        <v>1734</v>
      </c>
      <c r="H427" s="16" t="s">
        <v>1735</v>
      </c>
      <c r="I427" s="33">
        <v>424.41</v>
      </c>
      <c r="J427" s="35">
        <v>424.41</v>
      </c>
      <c r="K427" s="35"/>
      <c r="L427" s="34">
        <v>46008</v>
      </c>
      <c r="M427" s="16"/>
      <c r="N427" s="34"/>
      <c r="O427" s="16"/>
      <c r="P427" s="34"/>
      <c r="Q427" s="46">
        <f t="shared" si="15"/>
        <v>424.41</v>
      </c>
      <c r="R427" s="47">
        <f t="shared" si="14"/>
        <v>0</v>
      </c>
      <c r="S427" s="48"/>
    </row>
    <row r="428" s="1" customFormat="1" customHeight="1" spans="1:19">
      <c r="A428" s="14">
        <v>472</v>
      </c>
      <c r="B428" s="20">
        <v>45992</v>
      </c>
      <c r="C428" s="16"/>
      <c r="D428" s="17" t="s">
        <v>1834</v>
      </c>
      <c r="E428" s="23" t="s">
        <v>1835</v>
      </c>
      <c r="F428" s="19" t="s">
        <v>28</v>
      </c>
      <c r="G428" s="19" t="s">
        <v>1734</v>
      </c>
      <c r="H428" s="16" t="s">
        <v>1735</v>
      </c>
      <c r="I428" s="33">
        <v>175.75</v>
      </c>
      <c r="J428" s="35">
        <v>175.75</v>
      </c>
      <c r="K428" s="35"/>
      <c r="L428" s="34">
        <v>46009</v>
      </c>
      <c r="M428" s="16"/>
      <c r="N428" s="34"/>
      <c r="O428" s="16"/>
      <c r="P428" s="34"/>
      <c r="Q428" s="46">
        <f t="shared" si="15"/>
        <v>175.75</v>
      </c>
      <c r="R428" s="47">
        <f t="shared" si="14"/>
        <v>0</v>
      </c>
      <c r="S428" s="48"/>
    </row>
    <row r="429" s="1" customFormat="1" customHeight="1" spans="1:19">
      <c r="A429" s="14">
        <v>473</v>
      </c>
      <c r="B429" s="20">
        <v>45992</v>
      </c>
      <c r="C429" s="16"/>
      <c r="D429" s="17" t="s">
        <v>1759</v>
      </c>
      <c r="E429" s="67" t="s">
        <v>1760</v>
      </c>
      <c r="F429" s="19" t="s">
        <v>28</v>
      </c>
      <c r="G429" s="19" t="s">
        <v>1734</v>
      </c>
      <c r="H429" s="16" t="s">
        <v>1735</v>
      </c>
      <c r="I429" s="33">
        <v>312.56</v>
      </c>
      <c r="J429" s="35">
        <v>312.56</v>
      </c>
      <c r="K429" s="35"/>
      <c r="L429" s="34">
        <v>46008</v>
      </c>
      <c r="M429" s="16"/>
      <c r="N429" s="34"/>
      <c r="O429" s="16"/>
      <c r="P429" s="34"/>
      <c r="Q429" s="46">
        <f t="shared" si="15"/>
        <v>312.56</v>
      </c>
      <c r="R429" s="47">
        <f t="shared" si="14"/>
        <v>0</v>
      </c>
      <c r="S429" s="48"/>
    </row>
    <row r="430" s="1" customFormat="1" customHeight="1" spans="1:19">
      <c r="A430" s="14">
        <v>474</v>
      </c>
      <c r="B430" s="20">
        <v>45992</v>
      </c>
      <c r="C430" s="16"/>
      <c r="D430" s="17">
        <v>12</v>
      </c>
      <c r="E430" s="23" t="s">
        <v>1814</v>
      </c>
      <c r="F430" s="19" t="s">
        <v>28</v>
      </c>
      <c r="G430" s="19" t="s">
        <v>1734</v>
      </c>
      <c r="H430" s="16" t="s">
        <v>1735</v>
      </c>
      <c r="I430" s="33">
        <v>88.88</v>
      </c>
      <c r="J430" s="35">
        <v>88.88</v>
      </c>
      <c r="K430" s="35"/>
      <c r="L430" s="34">
        <v>46008</v>
      </c>
      <c r="M430" s="16"/>
      <c r="N430" s="34"/>
      <c r="O430" s="35"/>
      <c r="P430" s="34"/>
      <c r="Q430" s="46">
        <f t="shared" si="15"/>
        <v>88.88</v>
      </c>
      <c r="R430" s="47">
        <f t="shared" si="14"/>
        <v>0</v>
      </c>
      <c r="S430" s="48"/>
    </row>
    <row r="431" s="1" customFormat="1" customHeight="1" spans="1:19">
      <c r="A431" s="14">
        <v>475</v>
      </c>
      <c r="B431" s="20">
        <v>45992</v>
      </c>
      <c r="C431" s="16" t="s">
        <v>1737</v>
      </c>
      <c r="D431" s="17">
        <v>11</v>
      </c>
      <c r="E431" s="23" t="s">
        <v>1829</v>
      </c>
      <c r="F431" s="19" t="s">
        <v>28</v>
      </c>
      <c r="G431" s="19" t="s">
        <v>1734</v>
      </c>
      <c r="H431" s="16" t="s">
        <v>1735</v>
      </c>
      <c r="I431" s="33">
        <v>111.84</v>
      </c>
      <c r="J431" s="35">
        <v>111.84</v>
      </c>
      <c r="K431" s="35"/>
      <c r="L431" s="34">
        <v>46008</v>
      </c>
      <c r="M431" s="16"/>
      <c r="N431" s="34"/>
      <c r="O431" s="35"/>
      <c r="P431" s="34"/>
      <c r="Q431" s="46">
        <f t="shared" si="15"/>
        <v>111.84</v>
      </c>
      <c r="R431" s="47">
        <f t="shared" si="14"/>
        <v>0</v>
      </c>
      <c r="S431" s="48"/>
    </row>
    <row r="432" s="1" customFormat="1" customHeight="1" spans="1:19">
      <c r="A432" s="14">
        <v>476</v>
      </c>
      <c r="B432" s="20">
        <v>45992</v>
      </c>
      <c r="C432" s="16"/>
      <c r="D432" s="17" t="s">
        <v>1905</v>
      </c>
      <c r="E432" s="23" t="s">
        <v>1906</v>
      </c>
      <c r="F432" s="19" t="s">
        <v>28</v>
      </c>
      <c r="G432" s="19" t="s">
        <v>1734</v>
      </c>
      <c r="H432" s="16" t="s">
        <v>1735</v>
      </c>
      <c r="I432" s="33">
        <v>8.99</v>
      </c>
      <c r="J432" s="35">
        <v>8.99</v>
      </c>
      <c r="K432" s="35"/>
      <c r="L432" s="34">
        <v>46008</v>
      </c>
      <c r="M432" s="16"/>
      <c r="N432" s="34"/>
      <c r="O432" s="35"/>
      <c r="P432" s="34"/>
      <c r="Q432" s="46">
        <f t="shared" si="15"/>
        <v>8.99</v>
      </c>
      <c r="R432" s="47">
        <f t="shared" si="14"/>
        <v>0</v>
      </c>
      <c r="S432" s="48"/>
    </row>
    <row r="433" s="1" customFormat="1" customHeight="1" spans="1:19">
      <c r="A433" s="14">
        <v>477</v>
      </c>
      <c r="B433" s="20">
        <v>45992</v>
      </c>
      <c r="C433" s="16"/>
      <c r="D433" s="334" t="s">
        <v>1907</v>
      </c>
      <c r="E433" s="23" t="s">
        <v>1815</v>
      </c>
      <c r="F433" s="19" t="s">
        <v>28</v>
      </c>
      <c r="G433" s="19" t="s">
        <v>1734</v>
      </c>
      <c r="H433" s="16" t="s">
        <v>1735</v>
      </c>
      <c r="I433" s="33">
        <v>18.97</v>
      </c>
      <c r="J433" s="35">
        <v>18.97</v>
      </c>
      <c r="K433" s="35"/>
      <c r="L433" s="34">
        <v>46008</v>
      </c>
      <c r="M433" s="16"/>
      <c r="N433" s="34"/>
      <c r="O433" s="35"/>
      <c r="P433" s="34"/>
      <c r="Q433" s="46">
        <f t="shared" si="15"/>
        <v>18.97</v>
      </c>
      <c r="R433" s="47">
        <f t="shared" si="14"/>
        <v>0</v>
      </c>
      <c r="S433" s="48"/>
    </row>
    <row r="434" s="1" customFormat="1" customHeight="1" spans="1:19">
      <c r="A434" s="14">
        <v>478</v>
      </c>
      <c r="B434" s="20">
        <v>45992</v>
      </c>
      <c r="C434" s="16"/>
      <c r="D434" s="17">
        <v>20</v>
      </c>
      <c r="E434" s="23" t="s">
        <v>1766</v>
      </c>
      <c r="F434" s="19" t="s">
        <v>28</v>
      </c>
      <c r="G434" s="19" t="s">
        <v>1734</v>
      </c>
      <c r="H434" s="16" t="s">
        <v>1735</v>
      </c>
      <c r="I434" s="33">
        <v>30.96</v>
      </c>
      <c r="J434" s="35">
        <v>30.96</v>
      </c>
      <c r="K434" s="35"/>
      <c r="L434" s="34">
        <v>46008</v>
      </c>
      <c r="M434" s="16"/>
      <c r="N434" s="34"/>
      <c r="O434" s="16"/>
      <c r="P434" s="34"/>
      <c r="Q434" s="46">
        <f t="shared" si="15"/>
        <v>30.96</v>
      </c>
      <c r="R434" s="47">
        <f t="shared" si="14"/>
        <v>0</v>
      </c>
      <c r="S434" s="48"/>
    </row>
    <row r="435" s="1" customFormat="1" customHeight="1" spans="1:19">
      <c r="A435" s="14">
        <v>479</v>
      </c>
      <c r="B435" s="20">
        <v>45992</v>
      </c>
      <c r="C435" s="16"/>
      <c r="D435" s="17">
        <v>14</v>
      </c>
      <c r="E435" s="23" t="s">
        <v>1908</v>
      </c>
      <c r="F435" s="19" t="s">
        <v>28</v>
      </c>
      <c r="G435" s="19" t="s">
        <v>1734</v>
      </c>
      <c r="H435" s="16" t="s">
        <v>1735</v>
      </c>
      <c r="I435" s="33">
        <v>112.84</v>
      </c>
      <c r="J435" s="35">
        <v>112.84</v>
      </c>
      <c r="K435" s="35"/>
      <c r="L435" s="34">
        <v>46008</v>
      </c>
      <c r="M435" s="16"/>
      <c r="N435" s="34"/>
      <c r="O435" s="16"/>
      <c r="P435" s="34"/>
      <c r="Q435" s="46">
        <f t="shared" si="15"/>
        <v>112.84</v>
      </c>
      <c r="R435" s="47">
        <f t="shared" si="14"/>
        <v>0</v>
      </c>
      <c r="S435" s="48"/>
    </row>
    <row r="436" s="1" customFormat="1" customHeight="1" spans="1:19">
      <c r="A436" s="14">
        <v>480</v>
      </c>
      <c r="B436" s="20">
        <v>45992</v>
      </c>
      <c r="C436" s="16"/>
      <c r="D436" s="17" t="s">
        <v>1909</v>
      </c>
      <c r="E436" s="23" t="s">
        <v>1910</v>
      </c>
      <c r="F436" s="19" t="s">
        <v>28</v>
      </c>
      <c r="G436" s="19" t="s">
        <v>1734</v>
      </c>
      <c r="H436" s="16" t="s">
        <v>1735</v>
      </c>
      <c r="I436" s="33">
        <v>206.71</v>
      </c>
      <c r="J436" s="35">
        <v>206.71</v>
      </c>
      <c r="K436" s="35"/>
      <c r="L436" s="34">
        <v>46008</v>
      </c>
      <c r="M436" s="16"/>
      <c r="N436" s="34"/>
      <c r="O436" s="16"/>
      <c r="P436" s="34"/>
      <c r="Q436" s="46">
        <f t="shared" si="15"/>
        <v>206.71</v>
      </c>
      <c r="R436" s="47">
        <f t="shared" si="14"/>
        <v>0</v>
      </c>
      <c r="S436" s="48"/>
    </row>
    <row r="437" s="1" customFormat="1" customHeight="1" spans="1:19">
      <c r="A437" s="14">
        <v>481</v>
      </c>
      <c r="B437" s="20">
        <v>45992</v>
      </c>
      <c r="C437" s="16"/>
      <c r="D437" s="17" t="s">
        <v>1897</v>
      </c>
      <c r="E437" s="23" t="s">
        <v>1740</v>
      </c>
      <c r="F437" s="19" t="s">
        <v>28</v>
      </c>
      <c r="G437" s="19" t="s">
        <v>1734</v>
      </c>
      <c r="H437" s="16" t="s">
        <v>1741</v>
      </c>
      <c r="I437" s="33">
        <v>11.06</v>
      </c>
      <c r="J437" s="35">
        <v>11.06</v>
      </c>
      <c r="K437" s="35">
        <f>0.35-0.18</f>
        <v>0.17</v>
      </c>
      <c r="L437" s="34">
        <v>46008</v>
      </c>
      <c r="M437" s="16"/>
      <c r="N437" s="34"/>
      <c r="O437" s="35"/>
      <c r="P437" s="34"/>
      <c r="Q437" s="46">
        <f t="shared" si="15"/>
        <v>11.06</v>
      </c>
      <c r="R437" s="47">
        <f t="shared" si="14"/>
        <v>0</v>
      </c>
      <c r="S437" s="48"/>
    </row>
    <row r="438" s="1" customFormat="1" customHeight="1" spans="1:19">
      <c r="A438" s="14">
        <v>482</v>
      </c>
      <c r="B438" s="20">
        <v>45992</v>
      </c>
      <c r="C438" s="16"/>
      <c r="D438" s="334" t="s">
        <v>1898</v>
      </c>
      <c r="E438" s="23" t="s">
        <v>1899</v>
      </c>
      <c r="F438" s="19" t="s">
        <v>28</v>
      </c>
      <c r="G438" s="19" t="s">
        <v>1734</v>
      </c>
      <c r="H438" s="16" t="s">
        <v>1741</v>
      </c>
      <c r="I438" s="33">
        <v>11.06</v>
      </c>
      <c r="J438" s="35">
        <v>11.06</v>
      </c>
      <c r="K438" s="35"/>
      <c r="L438" s="34">
        <v>46008</v>
      </c>
      <c r="M438" s="16"/>
      <c r="N438" s="34"/>
      <c r="O438" s="35"/>
      <c r="P438" s="34"/>
      <c r="Q438" s="46">
        <f t="shared" si="15"/>
        <v>11.06</v>
      </c>
      <c r="R438" s="47">
        <f t="shared" si="14"/>
        <v>0</v>
      </c>
      <c r="S438" s="48"/>
    </row>
    <row r="439" s="1" customFormat="1" customHeight="1" spans="1:19">
      <c r="A439" s="14">
        <v>483</v>
      </c>
      <c r="B439" s="20">
        <v>45992</v>
      </c>
      <c r="C439" s="16"/>
      <c r="D439" s="334" t="s">
        <v>1900</v>
      </c>
      <c r="E439" s="23" t="s">
        <v>1828</v>
      </c>
      <c r="F439" s="19" t="s">
        <v>28</v>
      </c>
      <c r="G439" s="19" t="s">
        <v>1734</v>
      </c>
      <c r="H439" s="16" t="s">
        <v>1741</v>
      </c>
      <c r="I439" s="33">
        <v>11.06</v>
      </c>
      <c r="J439" s="35">
        <v>11.06</v>
      </c>
      <c r="K439" s="35">
        <v>0.04</v>
      </c>
      <c r="L439" s="34">
        <v>46008</v>
      </c>
      <c r="M439" s="16"/>
      <c r="N439" s="34"/>
      <c r="O439" s="35"/>
      <c r="P439" s="34"/>
      <c r="Q439" s="46">
        <f t="shared" si="15"/>
        <v>11.06</v>
      </c>
      <c r="R439" s="47">
        <f t="shared" si="14"/>
        <v>0</v>
      </c>
      <c r="S439" s="48"/>
    </row>
    <row r="440" s="1" customFormat="1" customHeight="1" spans="1:19">
      <c r="A440" s="14">
        <v>484</v>
      </c>
      <c r="B440" s="20">
        <v>45992</v>
      </c>
      <c r="C440" s="16"/>
      <c r="D440" s="334" t="s">
        <v>1761</v>
      </c>
      <c r="E440" s="23" t="s">
        <v>1762</v>
      </c>
      <c r="F440" s="19" t="s">
        <v>28</v>
      </c>
      <c r="G440" s="19" t="s">
        <v>1734</v>
      </c>
      <c r="H440" s="16" t="s">
        <v>1741</v>
      </c>
      <c r="I440" s="33">
        <v>11.06</v>
      </c>
      <c r="J440" s="35">
        <v>11.06</v>
      </c>
      <c r="K440" s="35">
        <f>0.09-0.01</f>
        <v>0.08</v>
      </c>
      <c r="L440" s="34">
        <v>46008</v>
      </c>
      <c r="M440" s="16"/>
      <c r="N440" s="34"/>
      <c r="O440" s="35"/>
      <c r="P440" s="34"/>
      <c r="Q440" s="46">
        <f t="shared" si="15"/>
        <v>11.06</v>
      </c>
      <c r="R440" s="47">
        <f t="shared" si="14"/>
        <v>0</v>
      </c>
      <c r="S440" s="48"/>
    </row>
    <row r="441" s="1" customFormat="1" customHeight="1" spans="1:19">
      <c r="A441" s="14">
        <v>485</v>
      </c>
      <c r="B441" s="20">
        <v>45992</v>
      </c>
      <c r="C441" s="16"/>
      <c r="D441" s="334" t="s">
        <v>1901</v>
      </c>
      <c r="E441" s="23" t="s">
        <v>1902</v>
      </c>
      <c r="F441" s="19" t="s">
        <v>28</v>
      </c>
      <c r="G441" s="19" t="s">
        <v>1734</v>
      </c>
      <c r="H441" s="16" t="s">
        <v>1741</v>
      </c>
      <c r="I441" s="33">
        <v>11.06</v>
      </c>
      <c r="J441" s="35">
        <v>11.06</v>
      </c>
      <c r="K441" s="35"/>
      <c r="L441" s="34">
        <v>46008</v>
      </c>
      <c r="M441" s="16"/>
      <c r="N441" s="34"/>
      <c r="O441" s="16"/>
      <c r="P441" s="34"/>
      <c r="Q441" s="46">
        <f t="shared" si="15"/>
        <v>11.06</v>
      </c>
      <c r="R441" s="47">
        <f t="shared" si="14"/>
        <v>0</v>
      </c>
      <c r="S441" s="48"/>
    </row>
    <row r="442" s="1" customFormat="1" customHeight="1" spans="1:19">
      <c r="A442" s="14">
        <v>486</v>
      </c>
      <c r="B442" s="20">
        <v>45992</v>
      </c>
      <c r="C442" s="16"/>
      <c r="D442" s="334" t="s">
        <v>1821</v>
      </c>
      <c r="E442" s="23" t="s">
        <v>1822</v>
      </c>
      <c r="F442" s="19" t="s">
        <v>28</v>
      </c>
      <c r="G442" s="19" t="s">
        <v>1734</v>
      </c>
      <c r="H442" s="16" t="s">
        <v>1741</v>
      </c>
      <c r="I442" s="33">
        <v>11.06</v>
      </c>
      <c r="J442" s="35">
        <v>11.06</v>
      </c>
      <c r="K442" s="35"/>
      <c r="L442" s="34">
        <v>46008</v>
      </c>
      <c r="M442" s="16"/>
      <c r="N442" s="34"/>
      <c r="O442" s="16"/>
      <c r="P442" s="34"/>
      <c r="Q442" s="46">
        <f t="shared" si="15"/>
        <v>11.06</v>
      </c>
      <c r="R442" s="47">
        <f t="shared" si="14"/>
        <v>0</v>
      </c>
      <c r="S442" s="48"/>
    </row>
    <row r="443" s="1" customFormat="1" customHeight="1" spans="1:19">
      <c r="A443" s="14">
        <v>487</v>
      </c>
      <c r="B443" s="20">
        <v>45992</v>
      </c>
      <c r="C443" s="16"/>
      <c r="D443" s="334" t="s">
        <v>1764</v>
      </c>
      <c r="E443" s="23" t="s">
        <v>1765</v>
      </c>
      <c r="F443" s="19" t="s">
        <v>28</v>
      </c>
      <c r="G443" s="19" t="s">
        <v>1734</v>
      </c>
      <c r="H443" s="16" t="s">
        <v>1741</v>
      </c>
      <c r="I443" s="33">
        <v>11.06</v>
      </c>
      <c r="J443" s="35">
        <v>11.06</v>
      </c>
      <c r="K443" s="35"/>
      <c r="L443" s="34">
        <v>46008</v>
      </c>
      <c r="M443" s="16"/>
      <c r="N443" s="34"/>
      <c r="O443" s="16"/>
      <c r="P443" s="34"/>
      <c r="Q443" s="46">
        <f t="shared" si="15"/>
        <v>11.06</v>
      </c>
      <c r="R443" s="47">
        <f t="shared" si="14"/>
        <v>0</v>
      </c>
      <c r="S443" s="48"/>
    </row>
    <row r="444" s="1" customFormat="1" customHeight="1" spans="1:19">
      <c r="A444" s="14">
        <v>488</v>
      </c>
      <c r="B444" s="20">
        <v>45992</v>
      </c>
      <c r="C444" s="16"/>
      <c r="D444" s="334" t="s">
        <v>1842</v>
      </c>
      <c r="E444" s="23" t="s">
        <v>1843</v>
      </c>
      <c r="F444" s="19" t="s">
        <v>28</v>
      </c>
      <c r="G444" s="19" t="s">
        <v>1734</v>
      </c>
      <c r="H444" s="16" t="s">
        <v>1741</v>
      </c>
      <c r="I444" s="33">
        <v>11.06</v>
      </c>
      <c r="J444" s="35">
        <v>11.06</v>
      </c>
      <c r="K444" s="35"/>
      <c r="L444" s="34">
        <v>46009</v>
      </c>
      <c r="M444" s="16"/>
      <c r="N444" s="34"/>
      <c r="O444" s="35"/>
      <c r="P444" s="34"/>
      <c r="Q444" s="46">
        <f t="shared" si="15"/>
        <v>11.06</v>
      </c>
      <c r="R444" s="47">
        <f t="shared" si="14"/>
        <v>0</v>
      </c>
      <c r="S444" s="48"/>
    </row>
    <row r="445" s="1" customFormat="1" customHeight="1" spans="1:19">
      <c r="A445" s="14">
        <v>489</v>
      </c>
      <c r="B445" s="20">
        <v>45992</v>
      </c>
      <c r="C445" s="16" t="s">
        <v>1737</v>
      </c>
      <c r="D445" s="17">
        <v>10</v>
      </c>
      <c r="E445" s="23" t="s">
        <v>1903</v>
      </c>
      <c r="F445" s="19" t="s">
        <v>28</v>
      </c>
      <c r="G445" s="19" t="s">
        <v>1734</v>
      </c>
      <c r="H445" s="16" t="s">
        <v>1741</v>
      </c>
      <c r="I445" s="33">
        <v>11.06</v>
      </c>
      <c r="J445" s="35">
        <v>11.06</v>
      </c>
      <c r="K445" s="35"/>
      <c r="L445" s="34">
        <v>46008</v>
      </c>
      <c r="M445" s="16"/>
      <c r="N445" s="34"/>
      <c r="O445" s="35"/>
      <c r="P445" s="34"/>
      <c r="Q445" s="46">
        <f t="shared" si="15"/>
        <v>11.06</v>
      </c>
      <c r="R445" s="47">
        <f t="shared" si="14"/>
        <v>0</v>
      </c>
      <c r="S445" s="48"/>
    </row>
    <row r="446" s="1" customFormat="1" customHeight="1" spans="1:19">
      <c r="A446" s="14">
        <v>490</v>
      </c>
      <c r="B446" s="20">
        <v>45992</v>
      </c>
      <c r="C446" s="16"/>
      <c r="D446" s="17">
        <v>21</v>
      </c>
      <c r="E446" s="23" t="s">
        <v>1739</v>
      </c>
      <c r="F446" s="19" t="s">
        <v>28</v>
      </c>
      <c r="G446" s="19" t="s">
        <v>1734</v>
      </c>
      <c r="H446" s="16" t="s">
        <v>1741</v>
      </c>
      <c r="I446" s="33">
        <v>11.06</v>
      </c>
      <c r="J446" s="35">
        <v>11.06</v>
      </c>
      <c r="K446" s="35">
        <v>0.11</v>
      </c>
      <c r="L446" s="34">
        <v>46008</v>
      </c>
      <c r="M446" s="16"/>
      <c r="N446" s="34"/>
      <c r="O446" s="35"/>
      <c r="P446" s="34"/>
      <c r="Q446" s="46">
        <f t="shared" si="15"/>
        <v>11.06</v>
      </c>
      <c r="R446" s="47">
        <f t="shared" si="14"/>
        <v>0</v>
      </c>
      <c r="S446" s="48"/>
    </row>
    <row r="447" s="1" customFormat="1" customHeight="1" spans="1:19">
      <c r="A447" s="14">
        <v>491</v>
      </c>
      <c r="B447" s="20">
        <v>45992</v>
      </c>
      <c r="C447" s="16"/>
      <c r="D447" s="17" t="s">
        <v>1904</v>
      </c>
      <c r="E447" s="23" t="s">
        <v>1774</v>
      </c>
      <c r="F447" s="19" t="s">
        <v>28</v>
      </c>
      <c r="G447" s="19" t="s">
        <v>1734</v>
      </c>
      <c r="H447" s="16" t="s">
        <v>1741</v>
      </c>
      <c r="I447" s="33">
        <v>11.06</v>
      </c>
      <c r="J447" s="35">
        <v>11.06</v>
      </c>
      <c r="K447" s="35"/>
      <c r="L447" s="34">
        <v>46008</v>
      </c>
      <c r="M447" s="16"/>
      <c r="N447" s="34"/>
      <c r="O447" s="35"/>
      <c r="P447" s="34"/>
      <c r="Q447" s="46">
        <f t="shared" si="15"/>
        <v>11.06</v>
      </c>
      <c r="R447" s="47">
        <f t="shared" si="14"/>
        <v>0</v>
      </c>
      <c r="S447" s="48"/>
    </row>
    <row r="448" s="1" customFormat="1" customHeight="1" spans="1:19">
      <c r="A448" s="14">
        <v>492</v>
      </c>
      <c r="B448" s="20">
        <v>45992</v>
      </c>
      <c r="C448" s="16"/>
      <c r="D448" s="334" t="s">
        <v>1838</v>
      </c>
      <c r="E448" s="23" t="s">
        <v>1839</v>
      </c>
      <c r="F448" s="19" t="s">
        <v>28</v>
      </c>
      <c r="G448" s="19" t="s">
        <v>1734</v>
      </c>
      <c r="H448" s="16" t="s">
        <v>1741</v>
      </c>
      <c r="I448" s="33">
        <v>11.06</v>
      </c>
      <c r="J448" s="35">
        <v>11</v>
      </c>
      <c r="K448" s="35"/>
      <c r="L448" s="34">
        <v>46008</v>
      </c>
      <c r="M448" s="16"/>
      <c r="N448" s="34"/>
      <c r="O448" s="16">
        <v>0.06</v>
      </c>
      <c r="P448" s="34"/>
      <c r="Q448" s="46">
        <f t="shared" si="15"/>
        <v>11.06</v>
      </c>
      <c r="R448" s="47">
        <f t="shared" si="14"/>
        <v>0</v>
      </c>
      <c r="S448" s="48"/>
    </row>
    <row r="449" s="1" customFormat="1" customHeight="1" spans="1:19">
      <c r="A449" s="14">
        <v>493</v>
      </c>
      <c r="B449" s="20">
        <v>45992</v>
      </c>
      <c r="C449" s="16"/>
      <c r="D449" s="17">
        <v>13</v>
      </c>
      <c r="E449" s="23" t="s">
        <v>1763</v>
      </c>
      <c r="F449" s="19" t="s">
        <v>28</v>
      </c>
      <c r="G449" s="19" t="s">
        <v>1734</v>
      </c>
      <c r="H449" s="16" t="s">
        <v>1741</v>
      </c>
      <c r="I449" s="33">
        <v>11.06</v>
      </c>
      <c r="J449" s="35">
        <v>11.06</v>
      </c>
      <c r="K449" s="35"/>
      <c r="L449" s="34">
        <v>46008</v>
      </c>
      <c r="M449" s="16"/>
      <c r="N449" s="34"/>
      <c r="O449" s="16"/>
      <c r="P449" s="34"/>
      <c r="Q449" s="46">
        <f t="shared" si="15"/>
        <v>11.06</v>
      </c>
      <c r="R449" s="47">
        <f t="shared" si="14"/>
        <v>0</v>
      </c>
      <c r="S449" s="48"/>
    </row>
    <row r="450" s="1" customFormat="1" customHeight="1" spans="1:19">
      <c r="A450" s="14">
        <v>494</v>
      </c>
      <c r="B450" s="20">
        <v>45992</v>
      </c>
      <c r="C450" s="16"/>
      <c r="D450" s="17" t="s">
        <v>1834</v>
      </c>
      <c r="E450" s="23" t="s">
        <v>1835</v>
      </c>
      <c r="F450" s="19" t="s">
        <v>28</v>
      </c>
      <c r="G450" s="19" t="s">
        <v>1734</v>
      </c>
      <c r="H450" s="16" t="s">
        <v>1741</v>
      </c>
      <c r="I450" s="33">
        <v>11.06</v>
      </c>
      <c r="J450" s="35">
        <v>10.25</v>
      </c>
      <c r="K450" s="35"/>
      <c r="L450" s="34">
        <v>46009</v>
      </c>
      <c r="M450" s="16"/>
      <c r="N450" s="34"/>
      <c r="O450" s="16">
        <v>0.81</v>
      </c>
      <c r="P450" s="34">
        <v>46120</v>
      </c>
      <c r="Q450" s="46">
        <f t="shared" si="15"/>
        <v>11.06</v>
      </c>
      <c r="R450" s="47">
        <f t="shared" si="14"/>
        <v>0</v>
      </c>
      <c r="S450" s="48"/>
    </row>
    <row r="451" s="1" customFormat="1" customHeight="1" spans="1:19">
      <c r="A451" s="14">
        <v>495</v>
      </c>
      <c r="B451" s="20">
        <v>45992</v>
      </c>
      <c r="C451" s="16"/>
      <c r="D451" s="17" t="s">
        <v>1759</v>
      </c>
      <c r="E451" s="23" t="s">
        <v>1760</v>
      </c>
      <c r="F451" s="19" t="s">
        <v>28</v>
      </c>
      <c r="G451" s="19" t="s">
        <v>1734</v>
      </c>
      <c r="H451" s="16" t="s">
        <v>1741</v>
      </c>
      <c r="I451" s="33">
        <v>11.06</v>
      </c>
      <c r="J451" s="35">
        <v>11.06</v>
      </c>
      <c r="K451" s="35"/>
      <c r="L451" s="34">
        <v>46008</v>
      </c>
      <c r="M451" s="16"/>
      <c r="N451" s="34"/>
      <c r="O451" s="35"/>
      <c r="P451" s="34"/>
      <c r="Q451" s="46">
        <f t="shared" si="15"/>
        <v>11.06</v>
      </c>
      <c r="R451" s="47">
        <f t="shared" si="14"/>
        <v>0</v>
      </c>
      <c r="S451" s="48"/>
    </row>
    <row r="452" s="1" customFormat="1" customHeight="1" spans="1:19">
      <c r="A452" s="14">
        <v>496</v>
      </c>
      <c r="B452" s="20">
        <v>45992</v>
      </c>
      <c r="C452" s="16"/>
      <c r="D452" s="17">
        <v>12</v>
      </c>
      <c r="E452" s="23" t="s">
        <v>1814</v>
      </c>
      <c r="F452" s="19" t="s">
        <v>28</v>
      </c>
      <c r="G452" s="19" t="s">
        <v>1734</v>
      </c>
      <c r="H452" s="16" t="s">
        <v>1741</v>
      </c>
      <c r="I452" s="33">
        <v>11.06</v>
      </c>
      <c r="J452" s="35">
        <v>11.06</v>
      </c>
      <c r="K452" s="35"/>
      <c r="L452" s="34">
        <v>46008</v>
      </c>
      <c r="M452" s="16"/>
      <c r="N452" s="34"/>
      <c r="O452" s="35"/>
      <c r="P452" s="34"/>
      <c r="Q452" s="46">
        <f t="shared" si="15"/>
        <v>11.06</v>
      </c>
      <c r="R452" s="47">
        <f t="shared" si="14"/>
        <v>0</v>
      </c>
      <c r="S452" s="48"/>
    </row>
    <row r="453" s="1" customFormat="1" customHeight="1" spans="1:19">
      <c r="A453" s="14">
        <v>497</v>
      </c>
      <c r="B453" s="20">
        <v>45992</v>
      </c>
      <c r="C453" s="16" t="s">
        <v>1737</v>
      </c>
      <c r="D453" s="17">
        <v>11</v>
      </c>
      <c r="E453" s="23" t="s">
        <v>1829</v>
      </c>
      <c r="F453" s="19" t="s">
        <v>28</v>
      </c>
      <c r="G453" s="19" t="s">
        <v>1734</v>
      </c>
      <c r="H453" s="16" t="s">
        <v>1741</v>
      </c>
      <c r="I453" s="33">
        <v>11.06</v>
      </c>
      <c r="J453" s="35">
        <v>11.06</v>
      </c>
      <c r="K453" s="35"/>
      <c r="L453" s="34">
        <v>46008</v>
      </c>
      <c r="M453" s="16"/>
      <c r="N453" s="34"/>
      <c r="O453" s="35"/>
      <c r="P453" s="34"/>
      <c r="Q453" s="46">
        <f t="shared" si="15"/>
        <v>11.06</v>
      </c>
      <c r="R453" s="47">
        <f t="shared" si="14"/>
        <v>0</v>
      </c>
      <c r="S453" s="48"/>
    </row>
    <row r="454" s="1" customFormat="1" customHeight="1" spans="1:19">
      <c r="A454" s="14">
        <v>498</v>
      </c>
      <c r="B454" s="20">
        <v>45992</v>
      </c>
      <c r="C454" s="16"/>
      <c r="D454" s="17" t="s">
        <v>1905</v>
      </c>
      <c r="E454" s="23" t="s">
        <v>1906</v>
      </c>
      <c r="F454" s="19" t="s">
        <v>28</v>
      </c>
      <c r="G454" s="19" t="s">
        <v>1734</v>
      </c>
      <c r="H454" s="16" t="s">
        <v>1741</v>
      </c>
      <c r="I454" s="33">
        <v>11.06</v>
      </c>
      <c r="J454" s="35">
        <v>11.06</v>
      </c>
      <c r="K454" s="35"/>
      <c r="L454" s="34">
        <v>46008</v>
      </c>
      <c r="M454" s="16"/>
      <c r="N454" s="34"/>
      <c r="O454" s="35"/>
      <c r="P454" s="34"/>
      <c r="Q454" s="46">
        <f t="shared" si="15"/>
        <v>11.06</v>
      </c>
      <c r="R454" s="47">
        <f t="shared" si="14"/>
        <v>0</v>
      </c>
      <c r="S454" s="48"/>
    </row>
    <row r="455" s="1" customFormat="1" customHeight="1" spans="1:19">
      <c r="A455" s="14">
        <v>499</v>
      </c>
      <c r="B455" s="20">
        <v>45992</v>
      </c>
      <c r="C455" s="16"/>
      <c r="D455" s="334" t="s">
        <v>1907</v>
      </c>
      <c r="E455" s="23" t="s">
        <v>1815</v>
      </c>
      <c r="F455" s="19" t="s">
        <v>28</v>
      </c>
      <c r="G455" s="19" t="s">
        <v>1734</v>
      </c>
      <c r="H455" s="16" t="s">
        <v>1741</v>
      </c>
      <c r="I455" s="33">
        <v>11.05</v>
      </c>
      <c r="J455" s="35">
        <v>11.05</v>
      </c>
      <c r="K455" s="35"/>
      <c r="L455" s="34">
        <v>46008</v>
      </c>
      <c r="M455" s="16"/>
      <c r="N455" s="34"/>
      <c r="O455" s="16"/>
      <c r="P455" s="34"/>
      <c r="Q455" s="46">
        <f t="shared" si="15"/>
        <v>11.05</v>
      </c>
      <c r="R455" s="47">
        <f t="shared" si="14"/>
        <v>0</v>
      </c>
      <c r="S455" s="48"/>
    </row>
    <row r="456" s="1" customFormat="1" customHeight="1" spans="1:19">
      <c r="A456" s="14">
        <v>500</v>
      </c>
      <c r="B456" s="20">
        <v>45992</v>
      </c>
      <c r="C456" s="16"/>
      <c r="D456" s="17">
        <v>20</v>
      </c>
      <c r="E456" s="23" t="s">
        <v>1766</v>
      </c>
      <c r="F456" s="19" t="s">
        <v>28</v>
      </c>
      <c r="G456" s="19" t="s">
        <v>1734</v>
      </c>
      <c r="H456" s="16" t="s">
        <v>1741</v>
      </c>
      <c r="I456" s="33">
        <v>11.06</v>
      </c>
      <c r="J456" s="35">
        <v>11.06</v>
      </c>
      <c r="K456" s="35"/>
      <c r="L456" s="34">
        <v>46008</v>
      </c>
      <c r="M456" s="16"/>
      <c r="N456" s="34"/>
      <c r="O456" s="16"/>
      <c r="P456" s="34"/>
      <c r="Q456" s="46">
        <f t="shared" si="15"/>
        <v>11.06</v>
      </c>
      <c r="R456" s="47">
        <f t="shared" si="14"/>
        <v>0</v>
      </c>
      <c r="S456" s="48"/>
    </row>
    <row r="457" s="1" customFormat="1" customHeight="1" spans="1:19">
      <c r="A457" s="14">
        <v>501</v>
      </c>
      <c r="B457" s="20">
        <v>45992</v>
      </c>
      <c r="C457" s="16"/>
      <c r="D457" s="17">
        <v>14</v>
      </c>
      <c r="E457" s="23" t="s">
        <v>1908</v>
      </c>
      <c r="F457" s="19" t="s">
        <v>28</v>
      </c>
      <c r="G457" s="19" t="s">
        <v>1734</v>
      </c>
      <c r="H457" s="16" t="s">
        <v>1741</v>
      </c>
      <c r="I457" s="33">
        <v>11.06</v>
      </c>
      <c r="J457" s="35">
        <v>11.06</v>
      </c>
      <c r="K457" s="35"/>
      <c r="L457" s="34">
        <v>46008</v>
      </c>
      <c r="M457" s="16"/>
      <c r="N457" s="34"/>
      <c r="O457" s="16"/>
      <c r="P457" s="34"/>
      <c r="Q457" s="46">
        <f t="shared" si="15"/>
        <v>11.06</v>
      </c>
      <c r="R457" s="47">
        <f t="shared" si="14"/>
        <v>0</v>
      </c>
      <c r="S457" s="48"/>
    </row>
    <row r="458" s="1" customFormat="1" customHeight="1" spans="1:19">
      <c r="A458" s="14">
        <v>502</v>
      </c>
      <c r="B458" s="20">
        <v>45992</v>
      </c>
      <c r="C458" s="16"/>
      <c r="D458" s="17" t="s">
        <v>1909</v>
      </c>
      <c r="E458" s="23" t="s">
        <v>1910</v>
      </c>
      <c r="F458" s="19" t="s">
        <v>28</v>
      </c>
      <c r="G458" s="19" t="s">
        <v>1734</v>
      </c>
      <c r="H458" s="16" t="s">
        <v>1741</v>
      </c>
      <c r="I458" s="33">
        <v>11.06</v>
      </c>
      <c r="J458" s="35">
        <v>11.06</v>
      </c>
      <c r="K458" s="35"/>
      <c r="L458" s="34">
        <v>46008</v>
      </c>
      <c r="M458" s="16"/>
      <c r="N458" s="34"/>
      <c r="O458" s="35"/>
      <c r="P458" s="34"/>
      <c r="Q458" s="46">
        <f t="shared" si="15"/>
        <v>11.06</v>
      </c>
      <c r="R458" s="47">
        <f t="shared" si="14"/>
        <v>0</v>
      </c>
      <c r="S458" s="48"/>
    </row>
    <row r="459" s="1" customFormat="1" customHeight="1" spans="1:19">
      <c r="A459" s="14">
        <v>503</v>
      </c>
      <c r="B459" s="15">
        <v>45839</v>
      </c>
      <c r="C459" s="16"/>
      <c r="D459" s="17">
        <v>3011</v>
      </c>
      <c r="E459" s="18" t="s">
        <v>1911</v>
      </c>
      <c r="F459" s="26" t="s">
        <v>55</v>
      </c>
      <c r="G459" s="26" t="s">
        <v>1734</v>
      </c>
      <c r="H459" s="16" t="s">
        <v>1741</v>
      </c>
      <c r="I459" s="33">
        <v>253.92</v>
      </c>
      <c r="J459" s="35">
        <v>253.92</v>
      </c>
      <c r="K459" s="35"/>
      <c r="L459" s="34">
        <v>46015</v>
      </c>
      <c r="M459" s="16"/>
      <c r="N459" s="34"/>
      <c r="O459" s="35"/>
      <c r="P459" s="34"/>
      <c r="Q459" s="46">
        <f t="shared" si="15"/>
        <v>253.92</v>
      </c>
      <c r="R459" s="47">
        <f t="shared" si="14"/>
        <v>0</v>
      </c>
      <c r="S459" s="48"/>
    </row>
    <row r="460" s="1" customFormat="1" customHeight="1" spans="1:19">
      <c r="A460" s="14">
        <v>504</v>
      </c>
      <c r="B460" s="15">
        <v>45901</v>
      </c>
      <c r="C460" s="16"/>
      <c r="D460" s="17">
        <v>3011</v>
      </c>
      <c r="E460" s="18" t="s">
        <v>1911</v>
      </c>
      <c r="F460" s="26" t="s">
        <v>58</v>
      </c>
      <c r="G460" s="26" t="s">
        <v>1734</v>
      </c>
      <c r="H460" s="16" t="s">
        <v>1741</v>
      </c>
      <c r="I460" s="33">
        <v>358.72</v>
      </c>
      <c r="J460" s="35">
        <v>358.72</v>
      </c>
      <c r="K460" s="35"/>
      <c r="L460" s="34">
        <v>46015</v>
      </c>
      <c r="M460" s="16"/>
      <c r="N460" s="34"/>
      <c r="O460" s="35"/>
      <c r="P460" s="34"/>
      <c r="Q460" s="46">
        <f t="shared" si="15"/>
        <v>358.72</v>
      </c>
      <c r="R460" s="47">
        <f t="shared" si="14"/>
        <v>0</v>
      </c>
      <c r="S460" s="48"/>
    </row>
    <row r="461" s="1" customFormat="1" customHeight="1" spans="1:19">
      <c r="A461" s="14">
        <v>505</v>
      </c>
      <c r="B461" s="15">
        <v>45931</v>
      </c>
      <c r="C461" s="16"/>
      <c r="D461" s="17">
        <v>3011</v>
      </c>
      <c r="E461" s="18" t="s">
        <v>1911</v>
      </c>
      <c r="F461" s="19" t="s">
        <v>60</v>
      </c>
      <c r="G461" s="26" t="s">
        <v>1734</v>
      </c>
      <c r="H461" s="16" t="s">
        <v>1741</v>
      </c>
      <c r="I461" s="33">
        <v>310.08</v>
      </c>
      <c r="J461" s="35">
        <v>310.08</v>
      </c>
      <c r="K461" s="35"/>
      <c r="L461" s="34">
        <v>46015</v>
      </c>
      <c r="M461" s="16"/>
      <c r="N461" s="34"/>
      <c r="O461" s="35"/>
      <c r="P461" s="34"/>
      <c r="Q461" s="46">
        <f t="shared" si="15"/>
        <v>310.08</v>
      </c>
      <c r="R461" s="47">
        <f t="shared" ref="R461:R524" si="16">I461-Q461</f>
        <v>0</v>
      </c>
      <c r="S461" s="48"/>
    </row>
    <row r="462" s="1" customFormat="1" customHeight="1" spans="1:19">
      <c r="A462" s="14">
        <v>506</v>
      </c>
      <c r="B462" s="20">
        <v>46023</v>
      </c>
      <c r="C462" s="16"/>
      <c r="D462" s="17" t="s">
        <v>954</v>
      </c>
      <c r="E462" s="18" t="s">
        <v>956</v>
      </c>
      <c r="F462" s="26" t="s">
        <v>26</v>
      </c>
      <c r="G462" s="26" t="s">
        <v>1734</v>
      </c>
      <c r="H462" s="16" t="s">
        <v>1741</v>
      </c>
      <c r="I462" s="33">
        <v>322.92</v>
      </c>
      <c r="J462" s="35">
        <v>322.92</v>
      </c>
      <c r="K462" s="35"/>
      <c r="L462" s="34">
        <v>46050</v>
      </c>
      <c r="M462" s="16"/>
      <c r="N462" s="34"/>
      <c r="O462" s="16"/>
      <c r="P462" s="34"/>
      <c r="Q462" s="46">
        <f t="shared" si="15"/>
        <v>322.92</v>
      </c>
      <c r="R462" s="47">
        <f t="shared" si="16"/>
        <v>0</v>
      </c>
      <c r="S462" s="48"/>
    </row>
    <row r="463" s="1" customFormat="1" customHeight="1" spans="1:19">
      <c r="A463" s="14">
        <v>507</v>
      </c>
      <c r="B463" s="20">
        <v>46023</v>
      </c>
      <c r="C463" s="16"/>
      <c r="D463" s="17" t="s">
        <v>954</v>
      </c>
      <c r="E463" s="18" t="s">
        <v>956</v>
      </c>
      <c r="F463" s="26" t="s">
        <v>26</v>
      </c>
      <c r="G463" s="26" t="s">
        <v>1734</v>
      </c>
      <c r="H463" s="16" t="s">
        <v>1741</v>
      </c>
      <c r="I463" s="33">
        <v>583.74</v>
      </c>
      <c r="J463" s="35">
        <v>583.74</v>
      </c>
      <c r="K463" s="35"/>
      <c r="L463" s="34">
        <v>46050</v>
      </c>
      <c r="M463" s="16"/>
      <c r="N463" s="34"/>
      <c r="O463" s="16"/>
      <c r="P463" s="34"/>
      <c r="Q463" s="46">
        <f t="shared" si="15"/>
        <v>583.74</v>
      </c>
      <c r="R463" s="47">
        <f t="shared" si="16"/>
        <v>0</v>
      </c>
      <c r="S463" s="48"/>
    </row>
    <row r="464" s="1" customFormat="1" customHeight="1" spans="1:19">
      <c r="A464" s="14">
        <v>508</v>
      </c>
      <c r="B464" s="20">
        <v>46023</v>
      </c>
      <c r="C464" s="16"/>
      <c r="D464" s="17" t="s">
        <v>1847</v>
      </c>
      <c r="E464" s="18" t="s">
        <v>1848</v>
      </c>
      <c r="F464" s="26" t="s">
        <v>26</v>
      </c>
      <c r="G464" s="26" t="s">
        <v>1734</v>
      </c>
      <c r="H464" s="16" t="s">
        <v>1741</v>
      </c>
      <c r="I464" s="33">
        <v>109.44</v>
      </c>
      <c r="J464" s="35">
        <v>109.44</v>
      </c>
      <c r="K464" s="35"/>
      <c r="L464" s="34">
        <v>46036</v>
      </c>
      <c r="M464" s="16"/>
      <c r="N464" s="34"/>
      <c r="O464" s="16"/>
      <c r="P464" s="34"/>
      <c r="Q464" s="46">
        <f t="shared" si="15"/>
        <v>109.44</v>
      </c>
      <c r="R464" s="47">
        <f t="shared" si="16"/>
        <v>0</v>
      </c>
      <c r="S464" s="48"/>
    </row>
    <row r="465" s="1" customFormat="1" customHeight="1" spans="1:19">
      <c r="A465" s="14">
        <v>509</v>
      </c>
      <c r="B465" s="20">
        <v>46023</v>
      </c>
      <c r="C465" s="16"/>
      <c r="D465" s="17" t="s">
        <v>946</v>
      </c>
      <c r="E465" s="18" t="s">
        <v>948</v>
      </c>
      <c r="F465" s="26" t="s">
        <v>26</v>
      </c>
      <c r="G465" s="26" t="s">
        <v>1734</v>
      </c>
      <c r="H465" s="16" t="s">
        <v>1741</v>
      </c>
      <c r="I465" s="33">
        <v>36.48</v>
      </c>
      <c r="J465" s="35">
        <v>36.48</v>
      </c>
      <c r="K465" s="35"/>
      <c r="L465" s="34">
        <v>46037</v>
      </c>
      <c r="M465" s="16"/>
      <c r="N465" s="34"/>
      <c r="O465" s="35"/>
      <c r="P465" s="34"/>
      <c r="Q465" s="46">
        <f t="shared" si="15"/>
        <v>36.48</v>
      </c>
      <c r="R465" s="47">
        <f t="shared" si="16"/>
        <v>0</v>
      </c>
      <c r="S465" s="48"/>
    </row>
    <row r="466" s="1" customFormat="1" customHeight="1" spans="1:19">
      <c r="A466" s="14">
        <v>510</v>
      </c>
      <c r="B466" s="20">
        <v>46023</v>
      </c>
      <c r="C466" s="16"/>
      <c r="D466" s="17" t="s">
        <v>1847</v>
      </c>
      <c r="E466" s="18" t="s">
        <v>1912</v>
      </c>
      <c r="F466" s="26" t="s">
        <v>26</v>
      </c>
      <c r="G466" s="26" t="s">
        <v>1734</v>
      </c>
      <c r="H466" s="16" t="s">
        <v>1741</v>
      </c>
      <c r="I466" s="33">
        <v>0</v>
      </c>
      <c r="J466" s="35"/>
      <c r="K466" s="35"/>
      <c r="L466" s="34"/>
      <c r="M466" s="16"/>
      <c r="N466" s="34"/>
      <c r="O466" s="35"/>
      <c r="P466" s="34"/>
      <c r="Q466" s="46">
        <f t="shared" si="15"/>
        <v>0</v>
      </c>
      <c r="R466" s="47">
        <f t="shared" si="16"/>
        <v>0</v>
      </c>
      <c r="S466" s="48"/>
    </row>
    <row r="467" s="1" customFormat="1" customHeight="1" spans="1:19">
      <c r="A467" s="14">
        <v>511</v>
      </c>
      <c r="B467" s="20">
        <v>46023</v>
      </c>
      <c r="C467" s="16"/>
      <c r="D467" s="17" t="s">
        <v>1847</v>
      </c>
      <c r="E467" s="18" t="s">
        <v>1836</v>
      </c>
      <c r="F467" s="26" t="s">
        <v>26</v>
      </c>
      <c r="G467" s="26" t="s">
        <v>1734</v>
      </c>
      <c r="H467" s="16" t="s">
        <v>1741</v>
      </c>
      <c r="I467" s="33">
        <v>12.16</v>
      </c>
      <c r="J467" s="35">
        <v>12.16</v>
      </c>
      <c r="K467" s="35"/>
      <c r="L467" s="34">
        <v>46053</v>
      </c>
      <c r="M467" s="16"/>
      <c r="N467" s="34"/>
      <c r="O467" s="35"/>
      <c r="P467" s="34"/>
      <c r="Q467" s="46">
        <f t="shared" si="15"/>
        <v>12.16</v>
      </c>
      <c r="R467" s="47">
        <f t="shared" si="16"/>
        <v>0</v>
      </c>
      <c r="S467" s="48"/>
    </row>
    <row r="468" s="1" customFormat="1" customHeight="1" spans="1:19">
      <c r="A468" s="14">
        <v>513</v>
      </c>
      <c r="B468" s="20">
        <v>46023</v>
      </c>
      <c r="C468" s="16" t="s">
        <v>16</v>
      </c>
      <c r="D468" s="17" t="s">
        <v>43</v>
      </c>
      <c r="E468" s="18" t="s">
        <v>45</v>
      </c>
      <c r="F468" s="26" t="s">
        <v>26</v>
      </c>
      <c r="G468" s="26" t="s">
        <v>1734</v>
      </c>
      <c r="H468" s="16" t="s">
        <v>1741</v>
      </c>
      <c r="I468" s="33">
        <v>6.08</v>
      </c>
      <c r="J468" s="35">
        <v>6.08</v>
      </c>
      <c r="K468" s="35"/>
      <c r="L468" s="34">
        <v>46065</v>
      </c>
      <c r="M468" s="16"/>
      <c r="N468" s="34"/>
      <c r="O468" s="16"/>
      <c r="P468" s="34"/>
      <c r="Q468" s="46">
        <f t="shared" si="15"/>
        <v>6.08</v>
      </c>
      <c r="R468" s="47">
        <f t="shared" si="16"/>
        <v>0</v>
      </c>
      <c r="S468" s="48"/>
    </row>
    <row r="469" s="1" customFormat="1" customHeight="1" spans="1:19">
      <c r="A469" s="14">
        <v>514</v>
      </c>
      <c r="B469" s="20">
        <v>46023</v>
      </c>
      <c r="C469" s="24" t="s">
        <v>16</v>
      </c>
      <c r="D469" s="17">
        <v>1003</v>
      </c>
      <c r="E469" s="18" t="s">
        <v>79</v>
      </c>
      <c r="F469" s="26" t="s">
        <v>26</v>
      </c>
      <c r="G469" s="26" t="s">
        <v>1734</v>
      </c>
      <c r="H469" s="16" t="s">
        <v>1741</v>
      </c>
      <c r="I469" s="33">
        <v>6.08</v>
      </c>
      <c r="J469" s="35">
        <v>6.08</v>
      </c>
      <c r="K469" s="35"/>
      <c r="L469" s="34">
        <v>46008</v>
      </c>
      <c r="M469" s="16"/>
      <c r="N469" s="34"/>
      <c r="O469" s="16"/>
      <c r="P469" s="34"/>
      <c r="Q469" s="46">
        <f t="shared" ref="Q469:Q532" si="17">J469+M469+O469</f>
        <v>6.08</v>
      </c>
      <c r="R469" s="47">
        <f t="shared" si="16"/>
        <v>0</v>
      </c>
      <c r="S469" s="48"/>
    </row>
    <row r="470" s="1" customFormat="1" customHeight="1" spans="1:19">
      <c r="A470" s="14">
        <v>515</v>
      </c>
      <c r="B470" s="20">
        <v>46023</v>
      </c>
      <c r="C470" s="16" t="s">
        <v>16</v>
      </c>
      <c r="D470" s="17">
        <v>1008</v>
      </c>
      <c r="E470" s="18" t="s">
        <v>114</v>
      </c>
      <c r="F470" s="26" t="s">
        <v>26</v>
      </c>
      <c r="G470" s="26" t="s">
        <v>1734</v>
      </c>
      <c r="H470" s="16" t="s">
        <v>1741</v>
      </c>
      <c r="I470" s="33">
        <v>516.8</v>
      </c>
      <c r="J470" s="35">
        <v>516.8</v>
      </c>
      <c r="K470" s="35"/>
      <c r="L470" s="34">
        <v>46035</v>
      </c>
      <c r="M470" s="16"/>
      <c r="N470" s="34"/>
      <c r="O470" s="16"/>
      <c r="P470" s="34"/>
      <c r="Q470" s="46">
        <f t="shared" si="17"/>
        <v>516.8</v>
      </c>
      <c r="R470" s="47">
        <f t="shared" si="16"/>
        <v>0</v>
      </c>
      <c r="S470" s="48"/>
    </row>
    <row r="471" s="1" customFormat="1" customHeight="1" spans="1:19">
      <c r="A471" s="14">
        <v>516</v>
      </c>
      <c r="B471" s="20">
        <v>46023</v>
      </c>
      <c r="C471" s="16"/>
      <c r="D471" s="17" t="s">
        <v>1747</v>
      </c>
      <c r="E471" s="18" t="s">
        <v>120</v>
      </c>
      <c r="F471" s="26" t="s">
        <v>26</v>
      </c>
      <c r="G471" s="26" t="s">
        <v>1734</v>
      </c>
      <c r="H471" s="16" t="s">
        <v>1741</v>
      </c>
      <c r="I471" s="33">
        <v>656.64</v>
      </c>
      <c r="J471" s="35">
        <v>656.64</v>
      </c>
      <c r="K471" s="35"/>
      <c r="L471" s="34">
        <v>46034</v>
      </c>
      <c r="M471" s="16"/>
      <c r="N471" s="34"/>
      <c r="O471" s="35"/>
      <c r="P471" s="34"/>
      <c r="Q471" s="46">
        <f t="shared" si="17"/>
        <v>656.64</v>
      </c>
      <c r="R471" s="47">
        <f t="shared" si="16"/>
        <v>0</v>
      </c>
      <c r="S471" s="48"/>
    </row>
    <row r="472" s="1" customFormat="1" customHeight="1" spans="1:19">
      <c r="A472" s="14">
        <v>517</v>
      </c>
      <c r="B472" s="20">
        <v>46023</v>
      </c>
      <c r="C472" s="16" t="s">
        <v>16</v>
      </c>
      <c r="D472" s="17" t="s">
        <v>1800</v>
      </c>
      <c r="E472" s="18" t="s">
        <v>126</v>
      </c>
      <c r="F472" s="26" t="s">
        <v>26</v>
      </c>
      <c r="G472" s="26" t="s">
        <v>1734</v>
      </c>
      <c r="H472" s="16" t="s">
        <v>1741</v>
      </c>
      <c r="I472" s="33">
        <v>279.68</v>
      </c>
      <c r="J472" s="35">
        <v>279.68</v>
      </c>
      <c r="K472" s="35"/>
      <c r="L472" s="34">
        <v>46032</v>
      </c>
      <c r="M472" s="16"/>
      <c r="N472" s="34"/>
      <c r="O472" s="35"/>
      <c r="P472" s="34"/>
      <c r="Q472" s="46">
        <f t="shared" si="17"/>
        <v>279.68</v>
      </c>
      <c r="R472" s="47">
        <f t="shared" si="16"/>
        <v>0</v>
      </c>
      <c r="S472" s="48"/>
    </row>
    <row r="473" s="1" customFormat="1" customHeight="1" spans="1:19">
      <c r="A473" s="14">
        <v>519</v>
      </c>
      <c r="B473" s="20">
        <v>46023</v>
      </c>
      <c r="C473" s="16"/>
      <c r="D473" s="17" t="s">
        <v>1767</v>
      </c>
      <c r="E473" s="18" t="s">
        <v>1768</v>
      </c>
      <c r="F473" s="26" t="s">
        <v>26</v>
      </c>
      <c r="G473" s="26" t="s">
        <v>1734</v>
      </c>
      <c r="H473" s="16" t="s">
        <v>1741</v>
      </c>
      <c r="I473" s="33">
        <v>875.52</v>
      </c>
      <c r="J473" s="35">
        <v>875.52</v>
      </c>
      <c r="K473" s="35"/>
      <c r="L473" s="34">
        <v>46035</v>
      </c>
      <c r="M473" s="16"/>
      <c r="N473" s="34"/>
      <c r="O473" s="35"/>
      <c r="P473" s="34"/>
      <c r="Q473" s="46">
        <f t="shared" si="17"/>
        <v>875.52</v>
      </c>
      <c r="R473" s="47">
        <f t="shared" si="16"/>
        <v>0</v>
      </c>
      <c r="S473" s="48"/>
    </row>
    <row r="474" s="1" customFormat="1" customHeight="1" spans="1:19">
      <c r="A474" s="14">
        <v>520</v>
      </c>
      <c r="B474" s="20">
        <v>46023</v>
      </c>
      <c r="C474" s="24" t="s">
        <v>285</v>
      </c>
      <c r="D474" s="17">
        <v>2001</v>
      </c>
      <c r="E474" s="18" t="s">
        <v>288</v>
      </c>
      <c r="F474" s="26" t="s">
        <v>26</v>
      </c>
      <c r="G474" s="26" t="s">
        <v>1734</v>
      </c>
      <c r="H474" s="16" t="s">
        <v>1741</v>
      </c>
      <c r="I474" s="33">
        <v>1264.64</v>
      </c>
      <c r="J474" s="35">
        <v>1264.64</v>
      </c>
      <c r="K474" s="35"/>
      <c r="L474" s="34">
        <v>46037</v>
      </c>
      <c r="M474" s="16"/>
      <c r="N474" s="34"/>
      <c r="O474" s="16"/>
      <c r="P474" s="34"/>
      <c r="Q474" s="46">
        <f t="shared" si="17"/>
        <v>1264.64</v>
      </c>
      <c r="R474" s="47">
        <f t="shared" si="16"/>
        <v>0</v>
      </c>
      <c r="S474" s="48"/>
    </row>
    <row r="475" s="1" customFormat="1" customHeight="1" spans="1:19">
      <c r="A475" s="14">
        <v>521</v>
      </c>
      <c r="B475" s="20">
        <v>46023</v>
      </c>
      <c r="C475" s="16"/>
      <c r="D475" s="17" t="s">
        <v>1756</v>
      </c>
      <c r="E475" s="18" t="s">
        <v>338</v>
      </c>
      <c r="F475" s="26" t="s">
        <v>26</v>
      </c>
      <c r="G475" s="26" t="s">
        <v>1734</v>
      </c>
      <c r="H475" s="16" t="s">
        <v>1741</v>
      </c>
      <c r="I475" s="33">
        <v>24.32</v>
      </c>
      <c r="J475" s="35">
        <v>24.32</v>
      </c>
      <c r="K475" s="35">
        <v>35.84</v>
      </c>
      <c r="L475" s="34">
        <v>46043</v>
      </c>
      <c r="M475" s="16"/>
      <c r="N475" s="34"/>
      <c r="O475" s="16"/>
      <c r="P475" s="34"/>
      <c r="Q475" s="46">
        <f t="shared" si="17"/>
        <v>24.32</v>
      </c>
      <c r="R475" s="47">
        <f t="shared" si="16"/>
        <v>0</v>
      </c>
      <c r="S475" s="48"/>
    </row>
    <row r="476" s="1" customFormat="1" customHeight="1" spans="1:19">
      <c r="A476" s="14">
        <v>522</v>
      </c>
      <c r="B476" s="20">
        <v>46023</v>
      </c>
      <c r="C476" s="66" t="s">
        <v>285</v>
      </c>
      <c r="D476" s="17">
        <v>2027</v>
      </c>
      <c r="E476" s="18" t="s">
        <v>452</v>
      </c>
      <c r="F476" s="26" t="s">
        <v>26</v>
      </c>
      <c r="G476" s="26" t="s">
        <v>1734</v>
      </c>
      <c r="H476" s="16" t="s">
        <v>1741</v>
      </c>
      <c r="I476" s="33">
        <v>30.4</v>
      </c>
      <c r="J476" s="35">
        <v>30.4</v>
      </c>
      <c r="K476" s="35"/>
      <c r="L476" s="34">
        <v>46228</v>
      </c>
      <c r="M476" s="16"/>
      <c r="N476" s="34"/>
      <c r="O476" s="16"/>
      <c r="P476" s="34"/>
      <c r="Q476" s="46">
        <f t="shared" si="17"/>
        <v>30.4</v>
      </c>
      <c r="R476" s="47">
        <f t="shared" si="16"/>
        <v>0</v>
      </c>
      <c r="S476" s="48"/>
    </row>
    <row r="477" s="1" customFormat="1" customHeight="1" spans="1:19">
      <c r="A477" s="14">
        <v>523</v>
      </c>
      <c r="B477" s="20">
        <v>46023</v>
      </c>
      <c r="C477" s="24" t="s">
        <v>285</v>
      </c>
      <c r="D477" s="17">
        <v>2036</v>
      </c>
      <c r="E477" s="18" t="s">
        <v>479</v>
      </c>
      <c r="F477" s="26" t="s">
        <v>26</v>
      </c>
      <c r="G477" s="26" t="s">
        <v>1734</v>
      </c>
      <c r="H477" s="16" t="s">
        <v>1741</v>
      </c>
      <c r="I477" s="33">
        <v>18.24</v>
      </c>
      <c r="J477" s="35">
        <v>17.72</v>
      </c>
      <c r="K477" s="35"/>
      <c r="L477" s="34">
        <v>46043</v>
      </c>
      <c r="M477" s="16">
        <v>0.52</v>
      </c>
      <c r="N477" s="34">
        <v>46050</v>
      </c>
      <c r="O477" s="35"/>
      <c r="P477" s="34"/>
      <c r="Q477" s="46">
        <f t="shared" si="17"/>
        <v>18.24</v>
      </c>
      <c r="R477" s="47">
        <f t="shared" si="16"/>
        <v>0</v>
      </c>
      <c r="S477" s="48"/>
    </row>
    <row r="478" s="1" customFormat="1" customHeight="1" spans="1:19">
      <c r="A478" s="14">
        <v>524</v>
      </c>
      <c r="B478" s="20">
        <v>46023</v>
      </c>
      <c r="C478" s="16"/>
      <c r="D478" s="17">
        <v>3001</v>
      </c>
      <c r="E478" s="18" t="s">
        <v>494</v>
      </c>
      <c r="F478" s="26" t="s">
        <v>26</v>
      </c>
      <c r="G478" s="26" t="s">
        <v>1734</v>
      </c>
      <c r="H478" s="16" t="s">
        <v>1741</v>
      </c>
      <c r="I478" s="33">
        <v>91.2</v>
      </c>
      <c r="J478" s="35">
        <v>82.2</v>
      </c>
      <c r="K478" s="35"/>
      <c r="L478" s="34">
        <v>46050</v>
      </c>
      <c r="M478" s="35">
        <v>3</v>
      </c>
      <c r="N478" s="34">
        <v>46016</v>
      </c>
      <c r="O478" s="35"/>
      <c r="P478" s="34"/>
      <c r="Q478" s="46">
        <f t="shared" si="17"/>
        <v>85.2</v>
      </c>
      <c r="R478" s="47">
        <f t="shared" si="16"/>
        <v>6</v>
      </c>
      <c r="S478" s="48"/>
    </row>
    <row r="479" s="1" customFormat="1" customHeight="1" spans="1:19">
      <c r="A479" s="14">
        <v>525</v>
      </c>
      <c r="B479" s="20">
        <v>46023</v>
      </c>
      <c r="C479" s="16"/>
      <c r="D479" s="17">
        <v>3001</v>
      </c>
      <c r="E479" s="18" t="s">
        <v>1913</v>
      </c>
      <c r="F479" s="26" t="s">
        <v>26</v>
      </c>
      <c r="G479" s="26" t="s">
        <v>1734</v>
      </c>
      <c r="H479" s="16" t="s">
        <v>1741</v>
      </c>
      <c r="I479" s="33">
        <v>0</v>
      </c>
      <c r="J479" s="35"/>
      <c r="K479" s="35"/>
      <c r="L479" s="34"/>
      <c r="M479" s="16"/>
      <c r="N479" s="34"/>
      <c r="O479" s="35"/>
      <c r="P479" s="34"/>
      <c r="Q479" s="46">
        <f t="shared" si="17"/>
        <v>0</v>
      </c>
      <c r="R479" s="47">
        <f t="shared" si="16"/>
        <v>0</v>
      </c>
      <c r="S479" s="48"/>
    </row>
    <row r="480" s="1" customFormat="1" customHeight="1" spans="1:19">
      <c r="A480" s="14">
        <v>526</v>
      </c>
      <c r="B480" s="20">
        <v>46023</v>
      </c>
      <c r="C480" s="16"/>
      <c r="D480" s="17">
        <v>3011</v>
      </c>
      <c r="E480" s="18" t="s">
        <v>1911</v>
      </c>
      <c r="F480" s="26" t="s">
        <v>26</v>
      </c>
      <c r="G480" s="26" t="s">
        <v>1734</v>
      </c>
      <c r="H480" s="16" t="s">
        <v>1741</v>
      </c>
      <c r="I480" s="33">
        <v>0</v>
      </c>
      <c r="J480" s="35"/>
      <c r="K480" s="35"/>
      <c r="L480" s="34"/>
      <c r="M480" s="16"/>
      <c r="N480" s="34"/>
      <c r="O480" s="35"/>
      <c r="P480" s="34"/>
      <c r="Q480" s="46">
        <f t="shared" si="17"/>
        <v>0</v>
      </c>
      <c r="R480" s="47">
        <f t="shared" si="16"/>
        <v>0</v>
      </c>
      <c r="S480" s="48"/>
    </row>
    <row r="481" s="1" customFormat="1" customHeight="1" spans="1:19">
      <c r="A481" s="14">
        <v>527</v>
      </c>
      <c r="B481" s="20">
        <v>46023</v>
      </c>
      <c r="C481" s="16"/>
      <c r="D481" s="17">
        <v>3012</v>
      </c>
      <c r="E481" s="18" t="s">
        <v>1914</v>
      </c>
      <c r="F481" s="26" t="s">
        <v>26</v>
      </c>
      <c r="G481" s="26" t="s">
        <v>1734</v>
      </c>
      <c r="H481" s="16" t="s">
        <v>1741</v>
      </c>
      <c r="I481" s="33">
        <v>0</v>
      </c>
      <c r="J481" s="35"/>
      <c r="K481" s="35"/>
      <c r="L481" s="34"/>
      <c r="M481" s="16"/>
      <c r="N481" s="34"/>
      <c r="O481" s="16"/>
      <c r="P481" s="34"/>
      <c r="Q481" s="46">
        <f t="shared" si="17"/>
        <v>0</v>
      </c>
      <c r="R481" s="47">
        <f t="shared" si="16"/>
        <v>0</v>
      </c>
      <c r="S481" s="48"/>
    </row>
    <row r="482" s="1" customFormat="1" customHeight="1" spans="1:19">
      <c r="A482" s="14">
        <v>528</v>
      </c>
      <c r="B482" s="20">
        <v>46023</v>
      </c>
      <c r="C482" s="16"/>
      <c r="D482" s="17" t="s">
        <v>1915</v>
      </c>
      <c r="E482" s="18" t="s">
        <v>565</v>
      </c>
      <c r="F482" s="26" t="s">
        <v>26</v>
      </c>
      <c r="G482" s="26" t="s">
        <v>1734</v>
      </c>
      <c r="H482" s="16" t="s">
        <v>1741</v>
      </c>
      <c r="I482" s="33">
        <v>36.48</v>
      </c>
      <c r="J482" s="35">
        <v>36.48</v>
      </c>
      <c r="K482" s="35"/>
      <c r="L482" s="34">
        <v>46050</v>
      </c>
      <c r="M482" s="16"/>
      <c r="N482" s="34"/>
      <c r="O482" s="16"/>
      <c r="P482" s="34">
        <v>46050</v>
      </c>
      <c r="Q482" s="46">
        <f t="shared" si="17"/>
        <v>36.48</v>
      </c>
      <c r="R482" s="47">
        <f t="shared" si="16"/>
        <v>0</v>
      </c>
      <c r="S482" s="48"/>
    </row>
    <row r="483" s="1" customFormat="1" customHeight="1" spans="1:19">
      <c r="A483" s="14">
        <v>529</v>
      </c>
      <c r="B483" s="20">
        <v>46023</v>
      </c>
      <c r="C483" s="16" t="s">
        <v>491</v>
      </c>
      <c r="D483" s="17">
        <v>3023</v>
      </c>
      <c r="E483" s="18" t="s">
        <v>577</v>
      </c>
      <c r="F483" s="26" t="s">
        <v>26</v>
      </c>
      <c r="G483" s="26" t="s">
        <v>1734</v>
      </c>
      <c r="H483" s="16" t="s">
        <v>1741</v>
      </c>
      <c r="I483" s="33">
        <v>0</v>
      </c>
      <c r="J483" s="35"/>
      <c r="K483" s="35"/>
      <c r="L483" s="34"/>
      <c r="M483" s="16"/>
      <c r="N483" s="34"/>
      <c r="O483" s="16"/>
      <c r="P483" s="34"/>
      <c r="Q483" s="46">
        <f t="shared" si="17"/>
        <v>0</v>
      </c>
      <c r="R483" s="47">
        <f t="shared" si="16"/>
        <v>0</v>
      </c>
      <c r="S483" s="48"/>
    </row>
    <row r="484" s="1" customFormat="1" customHeight="1" spans="1:19">
      <c r="A484" s="14">
        <v>530</v>
      </c>
      <c r="B484" s="20">
        <v>46023</v>
      </c>
      <c r="C484" s="16"/>
      <c r="D484" s="17" t="s">
        <v>1794</v>
      </c>
      <c r="E484" s="18" t="s">
        <v>1250</v>
      </c>
      <c r="F484" s="26" t="s">
        <v>26</v>
      </c>
      <c r="G484" s="26" t="s">
        <v>1734</v>
      </c>
      <c r="H484" s="16" t="s">
        <v>1741</v>
      </c>
      <c r="I484" s="33">
        <v>0</v>
      </c>
      <c r="J484" s="35"/>
      <c r="K484" s="35"/>
      <c r="L484" s="34"/>
      <c r="M484" s="16"/>
      <c r="N484" s="34"/>
      <c r="O484" s="35"/>
      <c r="P484" s="34"/>
      <c r="Q484" s="46">
        <f t="shared" si="17"/>
        <v>0</v>
      </c>
      <c r="R484" s="47">
        <f t="shared" si="16"/>
        <v>0</v>
      </c>
      <c r="S484" s="48"/>
    </row>
    <row r="485" s="1" customFormat="1" customHeight="1" spans="1:19">
      <c r="A485" s="14">
        <v>531</v>
      </c>
      <c r="B485" s="20">
        <v>46023</v>
      </c>
      <c r="C485" s="16"/>
      <c r="D485" s="17">
        <v>3020</v>
      </c>
      <c r="E485" s="18" t="s">
        <v>1916</v>
      </c>
      <c r="F485" s="26" t="s">
        <v>26</v>
      </c>
      <c r="G485" s="26" t="s">
        <v>1734</v>
      </c>
      <c r="H485" s="16" t="s">
        <v>1741</v>
      </c>
      <c r="I485" s="33">
        <v>0</v>
      </c>
      <c r="J485" s="35"/>
      <c r="K485" s="35"/>
      <c r="L485" s="34"/>
      <c r="M485" s="16"/>
      <c r="N485" s="34"/>
      <c r="O485" s="35"/>
      <c r="P485" s="34"/>
      <c r="Q485" s="46">
        <f t="shared" si="17"/>
        <v>0</v>
      </c>
      <c r="R485" s="47">
        <f t="shared" si="16"/>
        <v>0</v>
      </c>
      <c r="S485" s="48"/>
    </row>
    <row r="486" s="1" customFormat="1" customHeight="1" spans="1:19">
      <c r="A486" s="14">
        <v>532</v>
      </c>
      <c r="B486" s="20">
        <v>46023</v>
      </c>
      <c r="C486" s="16" t="s">
        <v>491</v>
      </c>
      <c r="D486" s="17">
        <v>3033</v>
      </c>
      <c r="E486" s="18" t="s">
        <v>617</v>
      </c>
      <c r="F486" s="26" t="s">
        <v>26</v>
      </c>
      <c r="G486" s="26" t="s">
        <v>1734</v>
      </c>
      <c r="H486" s="16" t="s">
        <v>1741</v>
      </c>
      <c r="I486" s="33">
        <v>12.16</v>
      </c>
      <c r="J486" s="35">
        <v>12.16</v>
      </c>
      <c r="K486" s="35"/>
      <c r="L486" s="34">
        <v>46042</v>
      </c>
      <c r="M486" s="16"/>
      <c r="N486" s="34"/>
      <c r="O486" s="35"/>
      <c r="P486" s="34"/>
      <c r="Q486" s="46">
        <f t="shared" si="17"/>
        <v>12.16</v>
      </c>
      <c r="R486" s="47">
        <f t="shared" si="16"/>
        <v>0</v>
      </c>
      <c r="S486" s="48"/>
    </row>
    <row r="487" s="1" customFormat="1" customHeight="1" spans="1:19">
      <c r="A487" s="14">
        <v>533</v>
      </c>
      <c r="B487" s="20">
        <v>46023</v>
      </c>
      <c r="C487" s="16"/>
      <c r="D487" s="17">
        <v>4002</v>
      </c>
      <c r="E487" s="18" t="s">
        <v>633</v>
      </c>
      <c r="F487" s="26" t="s">
        <v>26</v>
      </c>
      <c r="G487" s="26" t="s">
        <v>1734</v>
      </c>
      <c r="H487" s="16" t="s">
        <v>1741</v>
      </c>
      <c r="I487" s="33">
        <v>981.18</v>
      </c>
      <c r="J487" s="35">
        <v>981.18</v>
      </c>
      <c r="K487" s="35"/>
      <c r="L487" s="34">
        <v>46035</v>
      </c>
      <c r="M487" s="16"/>
      <c r="N487" s="34"/>
      <c r="O487" s="35"/>
      <c r="P487" s="34"/>
      <c r="Q487" s="46">
        <f t="shared" si="17"/>
        <v>981.18</v>
      </c>
      <c r="R487" s="47">
        <f t="shared" si="16"/>
        <v>0</v>
      </c>
      <c r="S487" s="48"/>
    </row>
    <row r="488" s="1" customFormat="1" customHeight="1" spans="1:19">
      <c r="A488" s="14">
        <v>534</v>
      </c>
      <c r="B488" s="20">
        <v>46023</v>
      </c>
      <c r="C488" s="16"/>
      <c r="D488" s="17" t="s">
        <v>1105</v>
      </c>
      <c r="E488" s="18" t="s">
        <v>1106</v>
      </c>
      <c r="F488" s="26" t="s">
        <v>26</v>
      </c>
      <c r="G488" s="26" t="s">
        <v>1734</v>
      </c>
      <c r="H488" s="16" t="s">
        <v>1741</v>
      </c>
      <c r="I488" s="33">
        <v>235.98</v>
      </c>
      <c r="J488" s="35">
        <v>235.98</v>
      </c>
      <c r="K488" s="35"/>
      <c r="L488" s="34">
        <v>46035</v>
      </c>
      <c r="M488" s="16"/>
      <c r="N488" s="34"/>
      <c r="O488" s="16"/>
      <c r="P488" s="34"/>
      <c r="Q488" s="46">
        <f t="shared" si="17"/>
        <v>235.98</v>
      </c>
      <c r="R488" s="47">
        <f t="shared" si="16"/>
        <v>0</v>
      </c>
      <c r="S488" s="48"/>
    </row>
    <row r="489" s="1" customFormat="1" customHeight="1" spans="1:19">
      <c r="A489" s="14">
        <v>535</v>
      </c>
      <c r="B489" s="20">
        <v>46023</v>
      </c>
      <c r="C489" s="16"/>
      <c r="D489" s="17" t="s">
        <v>1105</v>
      </c>
      <c r="E489" s="18" t="s">
        <v>1106</v>
      </c>
      <c r="F489" s="26" t="s">
        <v>26</v>
      </c>
      <c r="G489" s="26" t="s">
        <v>1734</v>
      </c>
      <c r="H489" s="16" t="s">
        <v>1741</v>
      </c>
      <c r="I489" s="33">
        <v>0</v>
      </c>
      <c r="J489" s="35"/>
      <c r="K489" s="35"/>
      <c r="L489" s="34"/>
      <c r="M489" s="16"/>
      <c r="N489" s="34"/>
      <c r="O489" s="16"/>
      <c r="P489" s="34"/>
      <c r="Q489" s="46">
        <f t="shared" si="17"/>
        <v>0</v>
      </c>
      <c r="R489" s="47">
        <f t="shared" si="16"/>
        <v>0</v>
      </c>
      <c r="S489" s="48"/>
    </row>
    <row r="490" s="1" customFormat="1" customHeight="1" spans="1:19">
      <c r="A490" s="14">
        <v>536</v>
      </c>
      <c r="B490" s="20">
        <v>46023</v>
      </c>
      <c r="C490" s="16"/>
      <c r="D490" s="60" t="s">
        <v>1808</v>
      </c>
      <c r="E490" s="18" t="s">
        <v>647</v>
      </c>
      <c r="F490" s="26" t="s">
        <v>26</v>
      </c>
      <c r="G490" s="26" t="s">
        <v>1734</v>
      </c>
      <c r="H490" s="16" t="s">
        <v>1741</v>
      </c>
      <c r="I490" s="33">
        <v>79.04</v>
      </c>
      <c r="J490" s="35">
        <v>79.04</v>
      </c>
      <c r="K490" s="35"/>
      <c r="L490" s="34">
        <v>46037</v>
      </c>
      <c r="M490" s="16"/>
      <c r="N490" s="34"/>
      <c r="O490" s="16"/>
      <c r="P490" s="34"/>
      <c r="Q490" s="46">
        <f t="shared" si="17"/>
        <v>79.04</v>
      </c>
      <c r="R490" s="47">
        <f t="shared" si="16"/>
        <v>0</v>
      </c>
      <c r="S490" s="48"/>
    </row>
    <row r="491" s="1" customFormat="1" customHeight="1" spans="1:19">
      <c r="A491" s="14">
        <v>537</v>
      </c>
      <c r="B491" s="20">
        <v>46023</v>
      </c>
      <c r="C491" s="16"/>
      <c r="D491" s="17">
        <v>4025</v>
      </c>
      <c r="E491" s="18" t="s">
        <v>1855</v>
      </c>
      <c r="F491" s="26" t="s">
        <v>26</v>
      </c>
      <c r="G491" s="26" t="s">
        <v>1734</v>
      </c>
      <c r="H491" s="16" t="s">
        <v>1741</v>
      </c>
      <c r="I491" s="33">
        <v>12.16</v>
      </c>
      <c r="J491" s="35">
        <v>12.16</v>
      </c>
      <c r="K491" s="35"/>
      <c r="L491" s="34">
        <v>46035</v>
      </c>
      <c r="M491" s="16"/>
      <c r="N491" s="34"/>
      <c r="O491" s="35"/>
      <c r="P491" s="34"/>
      <c r="Q491" s="46">
        <f t="shared" si="17"/>
        <v>12.16</v>
      </c>
      <c r="R491" s="47">
        <f t="shared" si="16"/>
        <v>0</v>
      </c>
      <c r="S491" s="48"/>
    </row>
    <row r="492" s="1" customFormat="1" customHeight="1" spans="1:19">
      <c r="A492" s="14">
        <v>538</v>
      </c>
      <c r="B492" s="20">
        <v>46023</v>
      </c>
      <c r="C492" s="16"/>
      <c r="D492" s="17">
        <v>4027</v>
      </c>
      <c r="E492" s="18" t="s">
        <v>1757</v>
      </c>
      <c r="F492" s="26" t="s">
        <v>26</v>
      </c>
      <c r="G492" s="26" t="s">
        <v>1734</v>
      </c>
      <c r="H492" s="16" t="s">
        <v>1741</v>
      </c>
      <c r="I492" s="33">
        <v>12.16</v>
      </c>
      <c r="J492" s="35">
        <v>12.16</v>
      </c>
      <c r="K492" s="35"/>
      <c r="L492" s="34">
        <v>46035</v>
      </c>
      <c r="M492" s="16"/>
      <c r="N492" s="34"/>
      <c r="O492" s="35"/>
      <c r="P492" s="34"/>
      <c r="Q492" s="46">
        <f t="shared" si="17"/>
        <v>12.16</v>
      </c>
      <c r="R492" s="47">
        <f t="shared" si="16"/>
        <v>0</v>
      </c>
      <c r="S492" s="48"/>
    </row>
    <row r="493" s="1" customFormat="1" customHeight="1" spans="1:19">
      <c r="A493" s="14">
        <v>539</v>
      </c>
      <c r="B493" s="20">
        <v>46023</v>
      </c>
      <c r="C493" s="66" t="s">
        <v>679</v>
      </c>
      <c r="D493" s="17">
        <v>5001</v>
      </c>
      <c r="E493" s="18" t="s">
        <v>682</v>
      </c>
      <c r="F493" s="26" t="s">
        <v>26</v>
      </c>
      <c r="G493" s="26" t="s">
        <v>1734</v>
      </c>
      <c r="H493" s="16" t="s">
        <v>1741</v>
      </c>
      <c r="I493" s="33">
        <v>431.68</v>
      </c>
      <c r="J493" s="35">
        <v>431.68</v>
      </c>
      <c r="K493" s="35"/>
      <c r="L493" s="34">
        <v>45659</v>
      </c>
      <c r="M493" s="16"/>
      <c r="N493" s="34"/>
      <c r="O493" s="35"/>
      <c r="P493" s="34"/>
      <c r="Q493" s="46">
        <f t="shared" si="17"/>
        <v>431.68</v>
      </c>
      <c r="R493" s="47">
        <f t="shared" si="16"/>
        <v>0</v>
      </c>
      <c r="S493" s="48"/>
    </row>
    <row r="494" s="1" customFormat="1" customHeight="1" spans="1:19">
      <c r="A494" s="14">
        <v>540</v>
      </c>
      <c r="B494" s="20">
        <v>46023</v>
      </c>
      <c r="C494" s="16"/>
      <c r="D494" s="17" t="s">
        <v>1917</v>
      </c>
      <c r="E494" s="18" t="s">
        <v>1918</v>
      </c>
      <c r="F494" s="26" t="s">
        <v>26</v>
      </c>
      <c r="G494" s="26" t="s">
        <v>1734</v>
      </c>
      <c r="H494" s="16" t="s">
        <v>1741</v>
      </c>
      <c r="I494" s="33">
        <v>218.88</v>
      </c>
      <c r="J494" s="35">
        <v>218.88</v>
      </c>
      <c r="K494" s="35"/>
      <c r="L494" s="34">
        <v>46122</v>
      </c>
      <c r="M494" s="16"/>
      <c r="N494" s="34"/>
      <c r="O494" s="35"/>
      <c r="P494" s="34"/>
      <c r="Q494" s="46">
        <f t="shared" si="17"/>
        <v>218.88</v>
      </c>
      <c r="R494" s="47">
        <f t="shared" si="16"/>
        <v>0</v>
      </c>
      <c r="S494" s="48"/>
    </row>
    <row r="495" s="1" customFormat="1" customHeight="1" spans="1:19">
      <c r="A495" s="14">
        <v>541</v>
      </c>
      <c r="B495" s="20">
        <v>46023</v>
      </c>
      <c r="C495" s="16"/>
      <c r="D495" s="17">
        <v>5003</v>
      </c>
      <c r="E495" s="18" t="s">
        <v>696</v>
      </c>
      <c r="F495" s="26" t="s">
        <v>26</v>
      </c>
      <c r="G495" s="26" t="s">
        <v>1734</v>
      </c>
      <c r="H495" s="16" t="s">
        <v>1741</v>
      </c>
      <c r="I495" s="33">
        <v>559.36</v>
      </c>
      <c r="J495" s="68">
        <v>559.36</v>
      </c>
      <c r="K495" s="35"/>
      <c r="L495" s="34">
        <v>46031</v>
      </c>
      <c r="M495" s="16"/>
      <c r="N495" s="34"/>
      <c r="O495" s="16"/>
      <c r="P495" s="34"/>
      <c r="Q495" s="46">
        <f t="shared" si="17"/>
        <v>559.36</v>
      </c>
      <c r="R495" s="47">
        <f t="shared" si="16"/>
        <v>0</v>
      </c>
      <c r="S495" s="48"/>
    </row>
    <row r="496" s="1" customFormat="1" customHeight="1" spans="1:19">
      <c r="A496" s="14">
        <v>542</v>
      </c>
      <c r="B496" s="20">
        <v>46023</v>
      </c>
      <c r="C496" s="16"/>
      <c r="D496" s="17">
        <v>5005</v>
      </c>
      <c r="E496" s="18" t="s">
        <v>702</v>
      </c>
      <c r="F496" s="26" t="s">
        <v>26</v>
      </c>
      <c r="G496" s="26" t="s">
        <v>1734</v>
      </c>
      <c r="H496" s="16" t="s">
        <v>1741</v>
      </c>
      <c r="I496" s="33">
        <v>91.2</v>
      </c>
      <c r="J496" s="35">
        <v>91.2</v>
      </c>
      <c r="K496" s="35"/>
      <c r="L496" s="34">
        <v>46030</v>
      </c>
      <c r="M496" s="16"/>
      <c r="N496" s="34"/>
      <c r="O496" s="16"/>
      <c r="P496" s="34"/>
      <c r="Q496" s="46">
        <f t="shared" si="17"/>
        <v>91.2</v>
      </c>
      <c r="R496" s="47">
        <f t="shared" si="16"/>
        <v>0</v>
      </c>
      <c r="S496" s="48"/>
    </row>
    <row r="497" s="1" customFormat="1" customHeight="1" spans="1:19">
      <c r="A497" s="14">
        <v>543</v>
      </c>
      <c r="B497" s="20">
        <v>46023</v>
      </c>
      <c r="C497" s="16" t="s">
        <v>679</v>
      </c>
      <c r="D497" s="17">
        <v>5006</v>
      </c>
      <c r="E497" s="18" t="s">
        <v>706</v>
      </c>
      <c r="F497" s="26" t="s">
        <v>26</v>
      </c>
      <c r="G497" s="26" t="s">
        <v>1734</v>
      </c>
      <c r="H497" s="16" t="s">
        <v>1741</v>
      </c>
      <c r="I497" s="33">
        <v>182.4</v>
      </c>
      <c r="J497" s="35">
        <v>182.4</v>
      </c>
      <c r="K497" s="35"/>
      <c r="L497" s="34">
        <v>46182</v>
      </c>
      <c r="M497" s="16"/>
      <c r="N497" s="34"/>
      <c r="O497" s="16"/>
      <c r="P497" s="34"/>
      <c r="Q497" s="46">
        <f t="shared" si="17"/>
        <v>182.4</v>
      </c>
      <c r="R497" s="47">
        <f t="shared" si="16"/>
        <v>0</v>
      </c>
      <c r="S497" s="48"/>
    </row>
    <row r="498" s="1" customFormat="1" customHeight="1" spans="1:19">
      <c r="A498" s="14">
        <v>544</v>
      </c>
      <c r="B498" s="20">
        <v>46023</v>
      </c>
      <c r="C498" s="16" t="s">
        <v>679</v>
      </c>
      <c r="D498" s="17">
        <v>5008</v>
      </c>
      <c r="E498" s="18" t="s">
        <v>713</v>
      </c>
      <c r="F498" s="26" t="s">
        <v>26</v>
      </c>
      <c r="G498" s="26" t="s">
        <v>1734</v>
      </c>
      <c r="H498" s="16" t="s">
        <v>1741</v>
      </c>
      <c r="I498" s="33">
        <v>2565.76</v>
      </c>
      <c r="J498" s="35">
        <v>2565.76</v>
      </c>
      <c r="K498" s="35"/>
      <c r="L498" s="34">
        <v>46062</v>
      </c>
      <c r="M498" s="16"/>
      <c r="N498" s="34"/>
      <c r="O498" s="35"/>
      <c r="P498" s="34"/>
      <c r="Q498" s="46">
        <f t="shared" si="17"/>
        <v>2565.76</v>
      </c>
      <c r="R498" s="47">
        <f t="shared" si="16"/>
        <v>0</v>
      </c>
      <c r="S498" s="48"/>
    </row>
    <row r="499" s="1" customFormat="1" customHeight="1" spans="1:19">
      <c r="A499" s="14">
        <v>545</v>
      </c>
      <c r="B499" s="20">
        <v>46023</v>
      </c>
      <c r="C499" s="16" t="s">
        <v>679</v>
      </c>
      <c r="D499" s="17" t="s">
        <v>1819</v>
      </c>
      <c r="E499" s="18" t="s">
        <v>720</v>
      </c>
      <c r="F499" s="26" t="s">
        <v>26</v>
      </c>
      <c r="G499" s="26" t="s">
        <v>1734</v>
      </c>
      <c r="H499" s="16" t="s">
        <v>1741</v>
      </c>
      <c r="I499" s="33">
        <v>85.12</v>
      </c>
      <c r="J499" s="35">
        <v>85.12</v>
      </c>
      <c r="K499" s="35"/>
      <c r="L499" s="34">
        <v>46048</v>
      </c>
      <c r="M499" s="16"/>
      <c r="N499" s="34"/>
      <c r="O499" s="35"/>
      <c r="P499" s="34"/>
      <c r="Q499" s="46">
        <f t="shared" si="17"/>
        <v>85.12</v>
      </c>
      <c r="R499" s="47">
        <f t="shared" si="16"/>
        <v>0</v>
      </c>
      <c r="S499" s="48"/>
    </row>
    <row r="500" s="1" customFormat="1" customHeight="1" spans="1:19">
      <c r="A500" s="14">
        <v>546</v>
      </c>
      <c r="B500" s="20">
        <v>46023</v>
      </c>
      <c r="C500" s="16" t="s">
        <v>679</v>
      </c>
      <c r="D500" s="17">
        <v>5010</v>
      </c>
      <c r="E500" s="18" t="s">
        <v>729</v>
      </c>
      <c r="F500" s="26" t="s">
        <v>26</v>
      </c>
      <c r="G500" s="26" t="s">
        <v>1734</v>
      </c>
      <c r="H500" s="16" t="s">
        <v>1741</v>
      </c>
      <c r="I500" s="33">
        <v>553.28</v>
      </c>
      <c r="J500" s="35">
        <v>553.28</v>
      </c>
      <c r="K500" s="35"/>
      <c r="L500" s="34">
        <v>46042</v>
      </c>
      <c r="M500" s="16"/>
      <c r="N500" s="34"/>
      <c r="O500" s="35"/>
      <c r="P500" s="34"/>
      <c r="Q500" s="46">
        <f t="shared" si="17"/>
        <v>553.28</v>
      </c>
      <c r="R500" s="47">
        <f t="shared" si="16"/>
        <v>0</v>
      </c>
      <c r="S500" s="48"/>
    </row>
    <row r="501" s="1" customFormat="1" customHeight="1" spans="1:19">
      <c r="A501" s="14">
        <v>547</v>
      </c>
      <c r="B501" s="20">
        <v>46023</v>
      </c>
      <c r="C501" s="16" t="s">
        <v>679</v>
      </c>
      <c r="D501" s="17">
        <v>5011</v>
      </c>
      <c r="E501" s="18" t="s">
        <v>1837</v>
      </c>
      <c r="F501" s="26" t="s">
        <v>26</v>
      </c>
      <c r="G501" s="26" t="s">
        <v>1734</v>
      </c>
      <c r="H501" s="16" t="s">
        <v>1741</v>
      </c>
      <c r="I501" s="33">
        <v>249.28</v>
      </c>
      <c r="J501" s="35">
        <v>249.28</v>
      </c>
      <c r="K501" s="35"/>
      <c r="L501" s="34">
        <v>46030</v>
      </c>
      <c r="M501" s="16"/>
      <c r="N501" s="34"/>
      <c r="O501" s="16"/>
      <c r="P501" s="34"/>
      <c r="Q501" s="46">
        <f t="shared" si="17"/>
        <v>249.28</v>
      </c>
      <c r="R501" s="47">
        <f t="shared" si="16"/>
        <v>0</v>
      </c>
      <c r="S501" s="48"/>
    </row>
    <row r="502" s="1" customFormat="1" customHeight="1" spans="1:19">
      <c r="A502" s="14">
        <v>548</v>
      </c>
      <c r="B502" s="20">
        <v>46023</v>
      </c>
      <c r="C502" s="16"/>
      <c r="D502" s="17">
        <v>5012</v>
      </c>
      <c r="E502" s="18" t="s">
        <v>1856</v>
      </c>
      <c r="F502" s="26" t="s">
        <v>26</v>
      </c>
      <c r="G502" s="26" t="s">
        <v>1734</v>
      </c>
      <c r="H502" s="16" t="s">
        <v>1741</v>
      </c>
      <c r="I502" s="33">
        <v>249.28</v>
      </c>
      <c r="J502" s="35">
        <v>249.28</v>
      </c>
      <c r="K502" s="35"/>
      <c r="L502" s="34">
        <v>46031</v>
      </c>
      <c r="M502" s="16"/>
      <c r="N502" s="34"/>
      <c r="O502" s="16"/>
      <c r="P502" s="34"/>
      <c r="Q502" s="46">
        <f t="shared" si="17"/>
        <v>249.28</v>
      </c>
      <c r="R502" s="47">
        <f t="shared" si="16"/>
        <v>0</v>
      </c>
      <c r="S502" s="48"/>
    </row>
    <row r="503" s="1" customFormat="1" customHeight="1" spans="1:19">
      <c r="A503" s="14">
        <v>549</v>
      </c>
      <c r="B503" s="20">
        <v>46023</v>
      </c>
      <c r="C503" s="16"/>
      <c r="D503" s="17">
        <v>5015</v>
      </c>
      <c r="E503" s="18" t="s">
        <v>765</v>
      </c>
      <c r="F503" s="26" t="s">
        <v>26</v>
      </c>
      <c r="G503" s="26" t="s">
        <v>1734</v>
      </c>
      <c r="H503" s="16" t="s">
        <v>1741</v>
      </c>
      <c r="I503" s="33">
        <v>24.32</v>
      </c>
      <c r="J503" s="35">
        <v>24.32</v>
      </c>
      <c r="K503" s="35"/>
      <c r="L503" s="34">
        <v>46042</v>
      </c>
      <c r="M503" s="16"/>
      <c r="N503" s="34"/>
      <c r="O503" s="16"/>
      <c r="P503" s="34"/>
      <c r="Q503" s="46">
        <f t="shared" si="17"/>
        <v>24.32</v>
      </c>
      <c r="R503" s="47">
        <f t="shared" si="16"/>
        <v>0</v>
      </c>
      <c r="S503" s="48"/>
    </row>
    <row r="504" s="1" customFormat="1" customHeight="1" spans="1:19">
      <c r="A504" s="14">
        <v>550</v>
      </c>
      <c r="B504" s="20">
        <v>46023</v>
      </c>
      <c r="C504" s="16"/>
      <c r="D504" s="17">
        <v>5015</v>
      </c>
      <c r="E504" s="18" t="s">
        <v>765</v>
      </c>
      <c r="F504" s="26" t="s">
        <v>26</v>
      </c>
      <c r="G504" s="26" t="s">
        <v>1734</v>
      </c>
      <c r="H504" s="16" t="s">
        <v>1741</v>
      </c>
      <c r="I504" s="33">
        <v>796.48</v>
      </c>
      <c r="J504" s="35">
        <v>796.48</v>
      </c>
      <c r="K504" s="35"/>
      <c r="L504" s="34">
        <v>46042</v>
      </c>
      <c r="M504" s="16"/>
      <c r="N504" s="34"/>
      <c r="O504" s="35"/>
      <c r="P504" s="34"/>
      <c r="Q504" s="46">
        <f t="shared" si="17"/>
        <v>796.48</v>
      </c>
      <c r="R504" s="47">
        <f t="shared" si="16"/>
        <v>0</v>
      </c>
      <c r="S504" s="48"/>
    </row>
    <row r="505" s="1" customFormat="1" customHeight="1" spans="1:19">
      <c r="A505" s="14">
        <v>551</v>
      </c>
      <c r="B505" s="20">
        <v>46023</v>
      </c>
      <c r="C505" s="16" t="s">
        <v>679</v>
      </c>
      <c r="D505" s="17">
        <v>5017</v>
      </c>
      <c r="E505" s="18" t="s">
        <v>1802</v>
      </c>
      <c r="F505" s="26" t="s">
        <v>26</v>
      </c>
      <c r="G505" s="26" t="s">
        <v>1734</v>
      </c>
      <c r="H505" s="16" t="s">
        <v>1741</v>
      </c>
      <c r="I505" s="33">
        <v>206.72</v>
      </c>
      <c r="J505" s="35">
        <v>206.72</v>
      </c>
      <c r="K505" s="35"/>
      <c r="L505" s="34">
        <v>46042</v>
      </c>
      <c r="M505" s="16"/>
      <c r="N505" s="34"/>
      <c r="O505" s="35"/>
      <c r="P505" s="34"/>
      <c r="Q505" s="46">
        <f t="shared" si="17"/>
        <v>206.72</v>
      </c>
      <c r="R505" s="47">
        <f t="shared" si="16"/>
        <v>0</v>
      </c>
      <c r="S505" s="48"/>
    </row>
    <row r="506" s="1" customFormat="1" customHeight="1" spans="1:19">
      <c r="A506" s="14">
        <v>552</v>
      </c>
      <c r="B506" s="20">
        <v>46023</v>
      </c>
      <c r="C506" s="16"/>
      <c r="D506" s="17">
        <v>5018</v>
      </c>
      <c r="E506" s="18" t="s">
        <v>780</v>
      </c>
      <c r="F506" s="26" t="s">
        <v>26</v>
      </c>
      <c r="G506" s="26" t="s">
        <v>1734</v>
      </c>
      <c r="H506" s="16" t="s">
        <v>1741</v>
      </c>
      <c r="I506" s="33">
        <v>48.64</v>
      </c>
      <c r="J506" s="35">
        <v>48.64</v>
      </c>
      <c r="K506" s="35"/>
      <c r="L506" s="34">
        <v>46036</v>
      </c>
      <c r="M506" s="16"/>
      <c r="N506" s="34"/>
      <c r="O506" s="35"/>
      <c r="P506" s="34"/>
      <c r="Q506" s="46">
        <f t="shared" si="17"/>
        <v>48.64</v>
      </c>
      <c r="R506" s="47">
        <f t="shared" si="16"/>
        <v>0</v>
      </c>
      <c r="S506" s="48"/>
    </row>
    <row r="507" s="1" customFormat="1" customHeight="1" spans="1:19">
      <c r="A507" s="14">
        <v>553</v>
      </c>
      <c r="B507" s="20">
        <v>46023</v>
      </c>
      <c r="C507" s="16"/>
      <c r="D507" s="17">
        <v>5019</v>
      </c>
      <c r="E507" s="18" t="s">
        <v>785</v>
      </c>
      <c r="F507" s="26" t="s">
        <v>26</v>
      </c>
      <c r="G507" s="26" t="s">
        <v>1734</v>
      </c>
      <c r="H507" s="16" t="s">
        <v>1741</v>
      </c>
      <c r="I507" s="33">
        <v>72.96</v>
      </c>
      <c r="J507" s="35"/>
      <c r="K507" s="35"/>
      <c r="L507" s="34"/>
      <c r="M507" s="16"/>
      <c r="N507" s="34"/>
      <c r="O507" s="35">
        <v>72.96</v>
      </c>
      <c r="P507" s="34"/>
      <c r="Q507" s="46">
        <f t="shared" si="17"/>
        <v>72.96</v>
      </c>
      <c r="R507" s="47">
        <f t="shared" si="16"/>
        <v>0</v>
      </c>
      <c r="S507" s="48" t="s">
        <v>1919</v>
      </c>
    </row>
    <row r="508" s="1" customFormat="1" customHeight="1" spans="1:19">
      <c r="A508" s="14">
        <v>554</v>
      </c>
      <c r="B508" s="20">
        <v>46023</v>
      </c>
      <c r="C508" s="16"/>
      <c r="D508" s="17">
        <v>5020</v>
      </c>
      <c r="E508" s="18" t="s">
        <v>791</v>
      </c>
      <c r="F508" s="26" t="s">
        <v>26</v>
      </c>
      <c r="G508" s="26" t="s">
        <v>1734</v>
      </c>
      <c r="H508" s="16" t="s">
        <v>1741</v>
      </c>
      <c r="I508" s="33">
        <v>206.72</v>
      </c>
      <c r="J508" s="35"/>
      <c r="K508" s="35"/>
      <c r="L508" s="34"/>
      <c r="M508" s="16"/>
      <c r="N508" s="34"/>
      <c r="O508" s="16">
        <v>206.72</v>
      </c>
      <c r="P508" s="34">
        <v>46060</v>
      </c>
      <c r="Q508" s="46">
        <f t="shared" si="17"/>
        <v>206.72</v>
      </c>
      <c r="R508" s="47">
        <f t="shared" si="16"/>
        <v>0</v>
      </c>
      <c r="S508" s="48" t="s">
        <v>1857</v>
      </c>
    </row>
    <row r="509" s="1" customFormat="1" customHeight="1" spans="1:19">
      <c r="A509" s="14">
        <v>555</v>
      </c>
      <c r="B509" s="20">
        <v>46023</v>
      </c>
      <c r="C509" s="16"/>
      <c r="D509" s="17" t="s">
        <v>1920</v>
      </c>
      <c r="E509" s="18" t="s">
        <v>799</v>
      </c>
      <c r="F509" s="26" t="s">
        <v>26</v>
      </c>
      <c r="G509" s="26" t="s">
        <v>1734</v>
      </c>
      <c r="H509" s="16" t="s">
        <v>1741</v>
      </c>
      <c r="I509" s="33">
        <v>541.12</v>
      </c>
      <c r="J509" s="35">
        <v>541.12</v>
      </c>
      <c r="K509" s="35"/>
      <c r="L509" s="34">
        <v>46031</v>
      </c>
      <c r="M509" s="16"/>
      <c r="N509" s="34"/>
      <c r="O509" s="16"/>
      <c r="P509" s="34"/>
      <c r="Q509" s="46">
        <f t="shared" si="17"/>
        <v>541.12</v>
      </c>
      <c r="R509" s="47">
        <f t="shared" si="16"/>
        <v>0</v>
      </c>
      <c r="S509" s="48"/>
    </row>
    <row r="510" s="1" customFormat="1" customHeight="1" spans="1:19">
      <c r="A510" s="14">
        <v>556</v>
      </c>
      <c r="B510" s="20">
        <v>46023</v>
      </c>
      <c r="C510" s="16"/>
      <c r="D510" s="17" t="s">
        <v>1921</v>
      </c>
      <c r="E510" s="18" t="s">
        <v>1145</v>
      </c>
      <c r="F510" s="26" t="s">
        <v>26</v>
      </c>
      <c r="G510" s="26" t="s">
        <v>1734</v>
      </c>
      <c r="H510" s="16" t="s">
        <v>1741</v>
      </c>
      <c r="I510" s="33">
        <v>127.68</v>
      </c>
      <c r="J510" s="35">
        <v>127.68</v>
      </c>
      <c r="K510" s="35"/>
      <c r="L510" s="34">
        <v>46035</v>
      </c>
      <c r="M510" s="16"/>
      <c r="N510" s="34"/>
      <c r="O510" s="16"/>
      <c r="P510" s="34"/>
      <c r="Q510" s="46">
        <f t="shared" si="17"/>
        <v>127.68</v>
      </c>
      <c r="R510" s="47">
        <f t="shared" si="16"/>
        <v>0</v>
      </c>
      <c r="S510" s="48"/>
    </row>
    <row r="511" s="1" customFormat="1" customHeight="1" spans="1:19">
      <c r="A511" s="14">
        <v>557</v>
      </c>
      <c r="B511" s="20">
        <v>46023</v>
      </c>
      <c r="C511" s="16" t="s">
        <v>679</v>
      </c>
      <c r="D511" s="17">
        <v>5022</v>
      </c>
      <c r="E511" s="18" t="s">
        <v>809</v>
      </c>
      <c r="F511" s="26" t="s">
        <v>26</v>
      </c>
      <c r="G511" s="26" t="s">
        <v>1734</v>
      </c>
      <c r="H511" s="16" t="s">
        <v>1741</v>
      </c>
      <c r="I511" s="33">
        <v>334.4</v>
      </c>
      <c r="J511" s="35">
        <v>334.4</v>
      </c>
      <c r="K511" s="35"/>
      <c r="L511" s="34">
        <v>46030</v>
      </c>
      <c r="M511" s="16"/>
      <c r="N511" s="34"/>
      <c r="O511" s="35"/>
      <c r="P511" s="34"/>
      <c r="Q511" s="46">
        <f t="shared" si="17"/>
        <v>334.4</v>
      </c>
      <c r="R511" s="47">
        <f t="shared" si="16"/>
        <v>0</v>
      </c>
      <c r="S511" s="48"/>
    </row>
    <row r="512" s="1" customFormat="1" customHeight="1" spans="1:19">
      <c r="A512" s="14">
        <v>558</v>
      </c>
      <c r="B512" s="20">
        <v>46023</v>
      </c>
      <c r="C512" s="16"/>
      <c r="D512" s="17">
        <v>5023</v>
      </c>
      <c r="E512" s="18" t="s">
        <v>813</v>
      </c>
      <c r="F512" s="26" t="s">
        <v>26</v>
      </c>
      <c r="G512" s="26" t="s">
        <v>1734</v>
      </c>
      <c r="H512" s="16" t="s">
        <v>1741</v>
      </c>
      <c r="I512" s="33">
        <v>486.4</v>
      </c>
      <c r="J512" s="35">
        <v>486.4</v>
      </c>
      <c r="K512" s="35"/>
      <c r="L512" s="34">
        <v>46008</v>
      </c>
      <c r="M512" s="16"/>
      <c r="N512" s="34"/>
      <c r="O512" s="35"/>
      <c r="P512" s="34"/>
      <c r="Q512" s="46">
        <f t="shared" si="17"/>
        <v>486.4</v>
      </c>
      <c r="R512" s="47">
        <f t="shared" si="16"/>
        <v>0</v>
      </c>
      <c r="S512" s="48"/>
    </row>
    <row r="513" s="1" customFormat="1" customHeight="1" spans="1:19">
      <c r="A513" s="14">
        <v>559</v>
      </c>
      <c r="B513" s="20">
        <v>46023</v>
      </c>
      <c r="C513" s="16"/>
      <c r="D513" s="17" t="s">
        <v>1775</v>
      </c>
      <c r="E513" s="18" t="s">
        <v>1124</v>
      </c>
      <c r="F513" s="26" t="s">
        <v>26</v>
      </c>
      <c r="G513" s="26" t="s">
        <v>1734</v>
      </c>
      <c r="H513" s="16" t="s">
        <v>1741</v>
      </c>
      <c r="I513" s="33">
        <v>358.72</v>
      </c>
      <c r="J513" s="35">
        <v>358.72</v>
      </c>
      <c r="K513" s="35"/>
      <c r="L513" s="34">
        <v>46031</v>
      </c>
      <c r="M513" s="16"/>
      <c r="N513" s="34"/>
      <c r="O513" s="35"/>
      <c r="P513" s="34"/>
      <c r="Q513" s="46">
        <f t="shared" si="17"/>
        <v>358.72</v>
      </c>
      <c r="R513" s="47">
        <f t="shared" si="16"/>
        <v>0</v>
      </c>
      <c r="S513" s="48"/>
    </row>
    <row r="514" s="1" customFormat="1" customHeight="1" spans="1:19">
      <c r="A514" s="14">
        <v>560</v>
      </c>
      <c r="B514" s="20">
        <v>46023</v>
      </c>
      <c r="C514" s="16"/>
      <c r="D514" s="17" t="s">
        <v>935</v>
      </c>
      <c r="E514" s="18" t="s">
        <v>936</v>
      </c>
      <c r="F514" s="26" t="s">
        <v>26</v>
      </c>
      <c r="G514" s="26" t="s">
        <v>1734</v>
      </c>
      <c r="H514" s="16" t="s">
        <v>1741</v>
      </c>
      <c r="I514" s="33">
        <v>139.84</v>
      </c>
      <c r="J514" s="35">
        <v>139.84</v>
      </c>
      <c r="K514" s="35">
        <v>0.52</v>
      </c>
      <c r="L514" s="34">
        <v>46031</v>
      </c>
      <c r="M514" s="16"/>
      <c r="N514" s="34"/>
      <c r="O514" s="35"/>
      <c r="P514" s="34"/>
      <c r="Q514" s="46">
        <f t="shared" si="17"/>
        <v>139.84</v>
      </c>
      <c r="R514" s="47">
        <f t="shared" si="16"/>
        <v>0</v>
      </c>
      <c r="S514" s="48"/>
    </row>
    <row r="515" s="1" customFormat="1" customHeight="1" spans="1:19">
      <c r="A515" s="14">
        <v>561</v>
      </c>
      <c r="B515" s="20">
        <v>46023</v>
      </c>
      <c r="C515" s="16"/>
      <c r="D515" s="17" t="s">
        <v>1922</v>
      </c>
      <c r="E515" s="18" t="s">
        <v>1923</v>
      </c>
      <c r="F515" s="26" t="s">
        <v>26</v>
      </c>
      <c r="G515" s="26" t="s">
        <v>1734</v>
      </c>
      <c r="H515" s="16" t="s">
        <v>1741</v>
      </c>
      <c r="I515" s="33">
        <v>0</v>
      </c>
      <c r="J515" s="35"/>
      <c r="K515" s="35"/>
      <c r="L515" s="34"/>
      <c r="M515" s="16"/>
      <c r="N515" s="34"/>
      <c r="O515" s="16"/>
      <c r="P515" s="34"/>
      <c r="Q515" s="46">
        <f t="shared" si="17"/>
        <v>0</v>
      </c>
      <c r="R515" s="47">
        <f t="shared" si="16"/>
        <v>0</v>
      </c>
      <c r="S515" s="48"/>
    </row>
    <row r="516" s="1" customFormat="1" customHeight="1" spans="1:19">
      <c r="A516" s="14">
        <v>562</v>
      </c>
      <c r="B516" s="20">
        <v>46023</v>
      </c>
      <c r="C516" s="16"/>
      <c r="D516" s="17" t="s">
        <v>1771</v>
      </c>
      <c r="E516" s="18" t="s">
        <v>819</v>
      </c>
      <c r="F516" s="26" t="s">
        <v>26</v>
      </c>
      <c r="G516" s="26" t="s">
        <v>1734</v>
      </c>
      <c r="H516" s="16" t="s">
        <v>1741</v>
      </c>
      <c r="I516" s="33">
        <v>608</v>
      </c>
      <c r="J516" s="35">
        <v>608</v>
      </c>
      <c r="K516" s="35"/>
      <c r="L516" s="34">
        <v>46053</v>
      </c>
      <c r="M516" s="16"/>
      <c r="N516" s="34"/>
      <c r="O516" s="16"/>
      <c r="P516" s="34"/>
      <c r="Q516" s="46">
        <f t="shared" si="17"/>
        <v>608</v>
      </c>
      <c r="R516" s="47">
        <f t="shared" si="16"/>
        <v>0</v>
      </c>
      <c r="S516" s="48"/>
    </row>
    <row r="517" s="1" customFormat="1" customHeight="1" spans="1:19">
      <c r="A517" s="14">
        <v>563</v>
      </c>
      <c r="B517" s="20">
        <v>46023</v>
      </c>
      <c r="C517" s="16"/>
      <c r="D517" s="17">
        <v>6008</v>
      </c>
      <c r="E517" s="18" t="s">
        <v>1871</v>
      </c>
      <c r="F517" s="26" t="s">
        <v>26</v>
      </c>
      <c r="G517" s="26" t="s">
        <v>1734</v>
      </c>
      <c r="H517" s="16" t="s">
        <v>1741</v>
      </c>
      <c r="I517" s="33">
        <v>0</v>
      </c>
      <c r="J517" s="35"/>
      <c r="K517" s="35"/>
      <c r="L517" s="34"/>
      <c r="M517" s="16"/>
      <c r="N517" s="34"/>
      <c r="O517" s="35"/>
      <c r="P517" s="34"/>
      <c r="Q517" s="46">
        <f t="shared" si="17"/>
        <v>0</v>
      </c>
      <c r="R517" s="47">
        <f t="shared" si="16"/>
        <v>0</v>
      </c>
      <c r="S517" s="48"/>
    </row>
    <row r="518" s="1" customFormat="1" customHeight="1" spans="1:19">
      <c r="A518" s="14">
        <v>566</v>
      </c>
      <c r="B518" s="20">
        <v>46023</v>
      </c>
      <c r="C518" s="16" t="s">
        <v>679</v>
      </c>
      <c r="D518" s="17">
        <v>5013</v>
      </c>
      <c r="E518" s="18" t="s">
        <v>760</v>
      </c>
      <c r="F518" s="26" t="s">
        <v>26</v>
      </c>
      <c r="G518" s="26" t="s">
        <v>1734</v>
      </c>
      <c r="H518" s="16" t="s">
        <v>1741</v>
      </c>
      <c r="I518" s="33">
        <v>729.6</v>
      </c>
      <c r="J518" s="35">
        <v>729.6</v>
      </c>
      <c r="K518" s="35">
        <v>27.76</v>
      </c>
      <c r="L518" s="34">
        <v>46031</v>
      </c>
      <c r="M518" s="16"/>
      <c r="N518" s="34"/>
      <c r="O518" s="35"/>
      <c r="P518" s="34"/>
      <c r="Q518" s="46">
        <f t="shared" si="17"/>
        <v>729.6</v>
      </c>
      <c r="R518" s="47">
        <f t="shared" si="16"/>
        <v>0</v>
      </c>
      <c r="S518" s="48"/>
    </row>
    <row r="519" s="1" customFormat="1" customHeight="1" spans="1:19">
      <c r="A519" s="14">
        <v>567</v>
      </c>
      <c r="B519" s="20">
        <v>46023</v>
      </c>
      <c r="C519" s="16"/>
      <c r="D519" s="17" t="s">
        <v>1859</v>
      </c>
      <c r="E519" s="18" t="s">
        <v>1260</v>
      </c>
      <c r="F519" s="26" t="s">
        <v>26</v>
      </c>
      <c r="G519" s="26" t="s">
        <v>1734</v>
      </c>
      <c r="H519" s="16" t="s">
        <v>1741</v>
      </c>
      <c r="I519" s="33">
        <v>182.4</v>
      </c>
      <c r="J519" s="35">
        <v>182.4</v>
      </c>
      <c r="K519" s="35"/>
      <c r="L519" s="34">
        <v>46030</v>
      </c>
      <c r="M519" s="16"/>
      <c r="N519" s="34"/>
      <c r="O519" s="16"/>
      <c r="P519" s="34"/>
      <c r="Q519" s="46">
        <f t="shared" si="17"/>
        <v>182.4</v>
      </c>
      <c r="R519" s="47">
        <f t="shared" si="16"/>
        <v>0</v>
      </c>
      <c r="S519" s="48"/>
    </row>
    <row r="520" s="1" customFormat="1" customHeight="1" spans="1:19">
      <c r="A520" s="14">
        <v>568</v>
      </c>
      <c r="B520" s="20">
        <v>46023</v>
      </c>
      <c r="C520" s="16"/>
      <c r="D520" s="17" t="s">
        <v>1897</v>
      </c>
      <c r="E520" s="18" t="s">
        <v>1740</v>
      </c>
      <c r="F520" s="26" t="s">
        <v>26</v>
      </c>
      <c r="G520" s="26" t="s">
        <v>1734</v>
      </c>
      <c r="H520" s="16" t="s">
        <v>1741</v>
      </c>
      <c r="I520" s="33">
        <v>8.46</v>
      </c>
      <c r="J520" s="35">
        <v>8.28</v>
      </c>
      <c r="K520" s="35"/>
      <c r="L520" s="34">
        <v>46036</v>
      </c>
      <c r="M520" s="16"/>
      <c r="N520" s="34"/>
      <c r="O520" s="16">
        <v>0.18</v>
      </c>
      <c r="P520" s="34">
        <v>46008</v>
      </c>
      <c r="Q520" s="46">
        <f t="shared" si="17"/>
        <v>8.46</v>
      </c>
      <c r="R520" s="47">
        <f t="shared" si="16"/>
        <v>0</v>
      </c>
      <c r="S520" s="48"/>
    </row>
    <row r="521" s="1" customFormat="1" customHeight="1" spans="1:19">
      <c r="A521" s="14">
        <v>569</v>
      </c>
      <c r="B521" s="20">
        <v>46023</v>
      </c>
      <c r="C521" s="16"/>
      <c r="D521" s="334" t="s">
        <v>1898</v>
      </c>
      <c r="E521" s="18" t="s">
        <v>1899</v>
      </c>
      <c r="F521" s="26" t="s">
        <v>26</v>
      </c>
      <c r="G521" s="26" t="s">
        <v>1734</v>
      </c>
      <c r="H521" s="16" t="s">
        <v>1741</v>
      </c>
      <c r="I521" s="33">
        <v>8.46</v>
      </c>
      <c r="J521" s="35">
        <v>8.46</v>
      </c>
      <c r="K521" s="35"/>
      <c r="L521" s="34">
        <v>46038</v>
      </c>
      <c r="M521" s="16"/>
      <c r="N521" s="34"/>
      <c r="O521" s="16"/>
      <c r="P521" s="34"/>
      <c r="Q521" s="46">
        <f t="shared" si="17"/>
        <v>8.46</v>
      </c>
      <c r="R521" s="47">
        <f t="shared" si="16"/>
        <v>0</v>
      </c>
      <c r="S521" s="48"/>
    </row>
    <row r="522" s="1" customFormat="1" customHeight="1" spans="1:19">
      <c r="A522" s="14">
        <v>570</v>
      </c>
      <c r="B522" s="20">
        <v>46023</v>
      </c>
      <c r="C522" s="16"/>
      <c r="D522" s="334" t="s">
        <v>1900</v>
      </c>
      <c r="E522" s="18" t="s">
        <v>1828</v>
      </c>
      <c r="F522" s="26" t="s">
        <v>26</v>
      </c>
      <c r="G522" s="26" t="s">
        <v>1734</v>
      </c>
      <c r="H522" s="16" t="s">
        <v>1741</v>
      </c>
      <c r="I522" s="33">
        <v>8.46</v>
      </c>
      <c r="J522" s="35">
        <v>8.46</v>
      </c>
      <c r="K522" s="35"/>
      <c r="L522" s="34">
        <v>46038</v>
      </c>
      <c r="M522" s="16"/>
      <c r="N522" s="34"/>
      <c r="O522" s="35"/>
      <c r="P522" s="34"/>
      <c r="Q522" s="46">
        <f t="shared" si="17"/>
        <v>8.46</v>
      </c>
      <c r="R522" s="47">
        <f t="shared" si="16"/>
        <v>0</v>
      </c>
      <c r="S522" s="48"/>
    </row>
    <row r="523" s="1" customFormat="1" customHeight="1" spans="1:19">
      <c r="A523" s="14">
        <v>571</v>
      </c>
      <c r="B523" s="20">
        <v>46023</v>
      </c>
      <c r="C523" s="16"/>
      <c r="D523" s="334" t="s">
        <v>1761</v>
      </c>
      <c r="E523" s="18" t="s">
        <v>1762</v>
      </c>
      <c r="F523" s="26" t="s">
        <v>26</v>
      </c>
      <c r="G523" s="26" t="s">
        <v>1734</v>
      </c>
      <c r="H523" s="16" t="s">
        <v>1741</v>
      </c>
      <c r="I523" s="33">
        <v>8.46</v>
      </c>
      <c r="J523" s="35">
        <v>8.46</v>
      </c>
      <c r="K523" s="35"/>
      <c r="L523" s="34">
        <v>46034</v>
      </c>
      <c r="M523" s="16"/>
      <c r="N523" s="34"/>
      <c r="O523" s="35"/>
      <c r="P523" s="34"/>
      <c r="Q523" s="46">
        <f t="shared" si="17"/>
        <v>8.46</v>
      </c>
      <c r="R523" s="47">
        <f t="shared" si="16"/>
        <v>0</v>
      </c>
      <c r="S523" s="48"/>
    </row>
    <row r="524" s="1" customFormat="1" customHeight="1" spans="1:19">
      <c r="A524" s="14">
        <v>572</v>
      </c>
      <c r="B524" s="20">
        <v>46023</v>
      </c>
      <c r="C524" s="16"/>
      <c r="D524" s="334" t="s">
        <v>1901</v>
      </c>
      <c r="E524" s="18" t="s">
        <v>1902</v>
      </c>
      <c r="F524" s="26" t="s">
        <v>26</v>
      </c>
      <c r="G524" s="26" t="s">
        <v>1734</v>
      </c>
      <c r="H524" s="16" t="s">
        <v>1741</v>
      </c>
      <c r="I524" s="33">
        <v>8.46</v>
      </c>
      <c r="J524" s="35">
        <v>8.46</v>
      </c>
      <c r="K524" s="35"/>
      <c r="L524" s="34">
        <v>46034</v>
      </c>
      <c r="M524" s="16"/>
      <c r="N524" s="34"/>
      <c r="O524" s="35"/>
      <c r="P524" s="34"/>
      <c r="Q524" s="46">
        <f t="shared" si="17"/>
        <v>8.46</v>
      </c>
      <c r="R524" s="47">
        <f t="shared" si="16"/>
        <v>0</v>
      </c>
      <c r="S524" s="48"/>
    </row>
    <row r="525" s="1" customFormat="1" customHeight="1" spans="1:19">
      <c r="A525" s="14">
        <v>573</v>
      </c>
      <c r="B525" s="20">
        <v>46023</v>
      </c>
      <c r="C525" s="16"/>
      <c r="D525" s="334" t="s">
        <v>1821</v>
      </c>
      <c r="E525" s="18" t="s">
        <v>1822</v>
      </c>
      <c r="F525" s="26" t="s">
        <v>26</v>
      </c>
      <c r="G525" s="26" t="s">
        <v>1734</v>
      </c>
      <c r="H525" s="16" t="s">
        <v>1741</v>
      </c>
      <c r="I525" s="33">
        <v>8.46</v>
      </c>
      <c r="J525" s="35">
        <v>8.46</v>
      </c>
      <c r="K525" s="35"/>
      <c r="L525" s="34">
        <v>46034</v>
      </c>
      <c r="M525" s="16"/>
      <c r="N525" s="34"/>
      <c r="O525" s="35"/>
      <c r="P525" s="34"/>
      <c r="Q525" s="46">
        <f t="shared" si="17"/>
        <v>8.46</v>
      </c>
      <c r="R525" s="47">
        <f t="shared" ref="R525:R588" si="18">I525-Q525</f>
        <v>0</v>
      </c>
      <c r="S525" s="48"/>
    </row>
    <row r="526" s="1" customFormat="1" customHeight="1" spans="1:19">
      <c r="A526" s="14">
        <v>574</v>
      </c>
      <c r="B526" s="20">
        <v>46023</v>
      </c>
      <c r="C526" s="16"/>
      <c r="D526" s="334" t="s">
        <v>1764</v>
      </c>
      <c r="E526" s="18" t="s">
        <v>1765</v>
      </c>
      <c r="F526" s="26" t="s">
        <v>26</v>
      </c>
      <c r="G526" s="26" t="s">
        <v>1734</v>
      </c>
      <c r="H526" s="16" t="s">
        <v>1741</v>
      </c>
      <c r="I526" s="33">
        <v>8.46</v>
      </c>
      <c r="J526" s="35">
        <v>8.46</v>
      </c>
      <c r="K526" s="35"/>
      <c r="L526" s="34">
        <v>46034</v>
      </c>
      <c r="M526" s="16"/>
      <c r="N526" s="34"/>
      <c r="O526" s="16"/>
      <c r="P526" s="34"/>
      <c r="Q526" s="46">
        <f t="shared" si="17"/>
        <v>8.46</v>
      </c>
      <c r="R526" s="47">
        <f t="shared" si="18"/>
        <v>0</v>
      </c>
      <c r="S526" s="48"/>
    </row>
    <row r="527" s="1" customFormat="1" customHeight="1" spans="1:19">
      <c r="A527" s="14">
        <v>575</v>
      </c>
      <c r="B527" s="20">
        <v>46023</v>
      </c>
      <c r="C527" s="16"/>
      <c r="D527" s="334" t="s">
        <v>1842</v>
      </c>
      <c r="E527" s="18" t="s">
        <v>1843</v>
      </c>
      <c r="F527" s="26" t="s">
        <v>26</v>
      </c>
      <c r="G527" s="26" t="s">
        <v>1734</v>
      </c>
      <c r="H527" s="16" t="s">
        <v>1741</v>
      </c>
      <c r="I527" s="33">
        <v>8.46</v>
      </c>
      <c r="J527" s="35">
        <v>8.46</v>
      </c>
      <c r="K527" s="35"/>
      <c r="L527" s="34">
        <v>46036</v>
      </c>
      <c r="M527" s="16"/>
      <c r="N527" s="34"/>
      <c r="O527" s="16"/>
      <c r="P527" s="34"/>
      <c r="Q527" s="46">
        <f t="shared" si="17"/>
        <v>8.46</v>
      </c>
      <c r="R527" s="47">
        <f t="shared" si="18"/>
        <v>0</v>
      </c>
      <c r="S527" s="48"/>
    </row>
    <row r="528" s="1" customFormat="1" customHeight="1" spans="1:19">
      <c r="A528" s="14">
        <v>576</v>
      </c>
      <c r="B528" s="20">
        <v>46023</v>
      </c>
      <c r="C528" s="16" t="s">
        <v>1737</v>
      </c>
      <c r="D528" s="17">
        <v>10</v>
      </c>
      <c r="E528" s="18" t="s">
        <v>1903</v>
      </c>
      <c r="F528" s="26" t="s">
        <v>26</v>
      </c>
      <c r="G528" s="26" t="s">
        <v>1734</v>
      </c>
      <c r="H528" s="16" t="s">
        <v>1741</v>
      </c>
      <c r="I528" s="33">
        <v>8.46</v>
      </c>
      <c r="J528" s="35">
        <v>8.46</v>
      </c>
      <c r="K528" s="35"/>
      <c r="L528" s="34">
        <v>46034</v>
      </c>
      <c r="M528" s="16"/>
      <c r="N528" s="34"/>
      <c r="O528" s="16"/>
      <c r="P528" s="34"/>
      <c r="Q528" s="46">
        <f t="shared" si="17"/>
        <v>8.46</v>
      </c>
      <c r="R528" s="47">
        <f t="shared" si="18"/>
        <v>0</v>
      </c>
      <c r="S528" s="48"/>
    </row>
    <row r="529" s="1" customFormat="1" customHeight="1" spans="1:19">
      <c r="A529" s="14">
        <v>577</v>
      </c>
      <c r="B529" s="20">
        <v>46023</v>
      </c>
      <c r="C529" s="16"/>
      <c r="D529" s="17">
        <v>21</v>
      </c>
      <c r="E529" s="18" t="s">
        <v>1739</v>
      </c>
      <c r="F529" s="26" t="s">
        <v>26</v>
      </c>
      <c r="G529" s="26" t="s">
        <v>1734</v>
      </c>
      <c r="H529" s="16" t="s">
        <v>1741</v>
      </c>
      <c r="I529" s="33">
        <v>8.46</v>
      </c>
      <c r="J529" s="35">
        <v>8.46</v>
      </c>
      <c r="K529" s="35"/>
      <c r="L529" s="34">
        <v>46034</v>
      </c>
      <c r="M529" s="16"/>
      <c r="N529" s="34"/>
      <c r="O529" s="35"/>
      <c r="P529" s="34"/>
      <c r="Q529" s="46">
        <f t="shared" si="17"/>
        <v>8.46</v>
      </c>
      <c r="R529" s="47">
        <f t="shared" si="18"/>
        <v>0</v>
      </c>
      <c r="S529" s="48"/>
    </row>
    <row r="530" s="1" customFormat="1" customHeight="1" spans="1:19">
      <c r="A530" s="14">
        <v>578</v>
      </c>
      <c r="B530" s="20">
        <v>46023</v>
      </c>
      <c r="C530" s="16"/>
      <c r="D530" s="17" t="s">
        <v>1904</v>
      </c>
      <c r="E530" s="18" t="s">
        <v>1774</v>
      </c>
      <c r="F530" s="26" t="s">
        <v>26</v>
      </c>
      <c r="G530" s="26" t="s">
        <v>1734</v>
      </c>
      <c r="H530" s="16" t="s">
        <v>1741</v>
      </c>
      <c r="I530" s="33">
        <v>8.46</v>
      </c>
      <c r="J530" s="35">
        <v>8.46</v>
      </c>
      <c r="K530" s="35"/>
      <c r="L530" s="34">
        <v>46034</v>
      </c>
      <c r="M530" s="16"/>
      <c r="N530" s="34"/>
      <c r="O530" s="35"/>
      <c r="P530" s="34"/>
      <c r="Q530" s="46">
        <f t="shared" si="17"/>
        <v>8.46</v>
      </c>
      <c r="R530" s="47">
        <f t="shared" si="18"/>
        <v>0</v>
      </c>
      <c r="S530" s="48"/>
    </row>
    <row r="531" s="1" customFormat="1" customHeight="1" spans="1:19">
      <c r="A531" s="14">
        <v>579</v>
      </c>
      <c r="B531" s="20">
        <v>46023</v>
      </c>
      <c r="C531" s="16"/>
      <c r="D531" s="334" t="s">
        <v>1838</v>
      </c>
      <c r="E531" s="18" t="s">
        <v>1839</v>
      </c>
      <c r="F531" s="26" t="s">
        <v>26</v>
      </c>
      <c r="G531" s="26" t="s">
        <v>1734</v>
      </c>
      <c r="H531" s="16" t="s">
        <v>1741</v>
      </c>
      <c r="I531" s="33">
        <v>8.46</v>
      </c>
      <c r="J531" s="35">
        <v>8.44</v>
      </c>
      <c r="K531" s="35"/>
      <c r="L531" s="34">
        <v>46034</v>
      </c>
      <c r="M531" s="16"/>
      <c r="N531" s="34"/>
      <c r="O531" s="35">
        <v>0.02</v>
      </c>
      <c r="P531" s="34"/>
      <c r="Q531" s="46">
        <f t="shared" si="17"/>
        <v>8.46</v>
      </c>
      <c r="R531" s="47">
        <f t="shared" si="18"/>
        <v>0</v>
      </c>
      <c r="S531" s="48"/>
    </row>
    <row r="532" s="1" customFormat="1" customHeight="1" spans="1:19">
      <c r="A532" s="14">
        <v>580</v>
      </c>
      <c r="B532" s="20">
        <v>46023</v>
      </c>
      <c r="C532" s="16"/>
      <c r="D532" s="17">
        <v>13</v>
      </c>
      <c r="E532" s="18" t="s">
        <v>1763</v>
      </c>
      <c r="F532" s="26" t="s">
        <v>26</v>
      </c>
      <c r="G532" s="26" t="s">
        <v>1734</v>
      </c>
      <c r="H532" s="16" t="s">
        <v>1741</v>
      </c>
      <c r="I532" s="33">
        <v>8.46</v>
      </c>
      <c r="J532" s="35">
        <v>8.46</v>
      </c>
      <c r="K532" s="35"/>
      <c r="L532" s="34">
        <v>46035</v>
      </c>
      <c r="M532" s="16"/>
      <c r="N532" s="34"/>
      <c r="O532" s="35"/>
      <c r="P532" s="34"/>
      <c r="Q532" s="46">
        <f t="shared" si="17"/>
        <v>8.46</v>
      </c>
      <c r="R532" s="47">
        <f t="shared" si="18"/>
        <v>0</v>
      </c>
      <c r="S532" s="48"/>
    </row>
    <row r="533" s="1" customFormat="1" customHeight="1" spans="1:19">
      <c r="A533" s="14">
        <v>581</v>
      </c>
      <c r="B533" s="20">
        <v>46023</v>
      </c>
      <c r="C533" s="16"/>
      <c r="D533" s="17" t="s">
        <v>1834</v>
      </c>
      <c r="E533" s="18" t="s">
        <v>1835</v>
      </c>
      <c r="F533" s="26" t="s">
        <v>26</v>
      </c>
      <c r="G533" s="26" t="s">
        <v>1734</v>
      </c>
      <c r="H533" s="16" t="s">
        <v>1741</v>
      </c>
      <c r="I533" s="33">
        <v>8.46</v>
      </c>
      <c r="J533" s="35">
        <v>8.46</v>
      </c>
      <c r="K533" s="35"/>
      <c r="L533" s="34">
        <v>46036</v>
      </c>
      <c r="M533" s="16"/>
      <c r="N533" s="34"/>
      <c r="O533" s="16"/>
      <c r="P533" s="34"/>
      <c r="Q533" s="46">
        <f t="shared" ref="Q533:Q596" si="19">J533+M533+O533</f>
        <v>8.46</v>
      </c>
      <c r="R533" s="47">
        <f t="shared" si="18"/>
        <v>0</v>
      </c>
      <c r="S533" s="48"/>
    </row>
    <row r="534" s="1" customFormat="1" customHeight="1" spans="1:19">
      <c r="A534" s="14">
        <v>582</v>
      </c>
      <c r="B534" s="20">
        <v>46023</v>
      </c>
      <c r="C534" s="16"/>
      <c r="D534" s="17" t="s">
        <v>1759</v>
      </c>
      <c r="E534" s="18" t="s">
        <v>1760</v>
      </c>
      <c r="F534" s="26" t="s">
        <v>26</v>
      </c>
      <c r="G534" s="26" t="s">
        <v>1734</v>
      </c>
      <c r="H534" s="16" t="s">
        <v>1741</v>
      </c>
      <c r="I534" s="33">
        <v>8.46</v>
      </c>
      <c r="J534" s="35">
        <v>8.46</v>
      </c>
      <c r="K534" s="35">
        <v>0.06</v>
      </c>
      <c r="L534" s="34">
        <v>46034</v>
      </c>
      <c r="M534" s="16"/>
      <c r="N534" s="34"/>
      <c r="O534" s="16"/>
      <c r="P534" s="34"/>
      <c r="Q534" s="46">
        <f t="shared" si="19"/>
        <v>8.46</v>
      </c>
      <c r="R534" s="47">
        <f t="shared" si="18"/>
        <v>0</v>
      </c>
      <c r="S534" s="48"/>
    </row>
    <row r="535" s="1" customFormat="1" customHeight="1" spans="1:19">
      <c r="A535" s="14">
        <v>583</v>
      </c>
      <c r="B535" s="20">
        <v>46023</v>
      </c>
      <c r="C535" s="16"/>
      <c r="D535" s="17">
        <v>12</v>
      </c>
      <c r="E535" s="18" t="s">
        <v>1814</v>
      </c>
      <c r="F535" s="26" t="s">
        <v>26</v>
      </c>
      <c r="G535" s="26" t="s">
        <v>1734</v>
      </c>
      <c r="H535" s="16" t="s">
        <v>1741</v>
      </c>
      <c r="I535" s="33">
        <v>8.46</v>
      </c>
      <c r="J535" s="35">
        <v>8.46</v>
      </c>
      <c r="K535" s="35"/>
      <c r="L535" s="34">
        <v>46040</v>
      </c>
      <c r="M535" s="16"/>
      <c r="N535" s="34"/>
      <c r="O535" s="16"/>
      <c r="P535" s="34"/>
      <c r="Q535" s="46">
        <f t="shared" si="19"/>
        <v>8.46</v>
      </c>
      <c r="R535" s="47">
        <f t="shared" si="18"/>
        <v>0</v>
      </c>
      <c r="S535" s="48"/>
    </row>
    <row r="536" s="1" customFormat="1" customHeight="1" spans="1:19">
      <c r="A536" s="14">
        <v>584</v>
      </c>
      <c r="B536" s="20">
        <v>46023</v>
      </c>
      <c r="C536" s="16" t="s">
        <v>1737</v>
      </c>
      <c r="D536" s="17">
        <v>11</v>
      </c>
      <c r="E536" s="18" t="s">
        <v>1829</v>
      </c>
      <c r="F536" s="26" t="s">
        <v>26</v>
      </c>
      <c r="G536" s="26" t="s">
        <v>1734</v>
      </c>
      <c r="H536" s="16" t="s">
        <v>1741</v>
      </c>
      <c r="I536" s="33">
        <v>8.46</v>
      </c>
      <c r="J536" s="35">
        <v>8.46</v>
      </c>
      <c r="K536" s="35"/>
      <c r="L536" s="34">
        <v>46034</v>
      </c>
      <c r="M536" s="16"/>
      <c r="N536" s="34"/>
      <c r="O536" s="35"/>
      <c r="P536" s="34"/>
      <c r="Q536" s="46">
        <f t="shared" si="19"/>
        <v>8.46</v>
      </c>
      <c r="R536" s="47">
        <f t="shared" si="18"/>
        <v>0</v>
      </c>
      <c r="S536" s="48"/>
    </row>
    <row r="537" s="1" customFormat="1" customHeight="1" spans="1:19">
      <c r="A537" s="14">
        <v>585</v>
      </c>
      <c r="B537" s="20">
        <v>46023</v>
      </c>
      <c r="C537" s="16"/>
      <c r="D537" s="17" t="s">
        <v>1905</v>
      </c>
      <c r="E537" s="18" t="s">
        <v>1906</v>
      </c>
      <c r="F537" s="26" t="s">
        <v>26</v>
      </c>
      <c r="G537" s="26" t="s">
        <v>1734</v>
      </c>
      <c r="H537" s="16" t="s">
        <v>1741</v>
      </c>
      <c r="I537" s="33">
        <v>8.46</v>
      </c>
      <c r="J537" s="35">
        <v>8.46</v>
      </c>
      <c r="K537" s="35"/>
      <c r="L537" s="34">
        <v>46035</v>
      </c>
      <c r="M537" s="16"/>
      <c r="N537" s="34"/>
      <c r="O537" s="35"/>
      <c r="P537" s="34"/>
      <c r="Q537" s="46">
        <f t="shared" si="19"/>
        <v>8.46</v>
      </c>
      <c r="R537" s="47">
        <f t="shared" si="18"/>
        <v>0</v>
      </c>
      <c r="S537" s="48"/>
    </row>
    <row r="538" s="1" customFormat="1" customHeight="1" spans="1:19">
      <c r="A538" s="14">
        <v>586</v>
      </c>
      <c r="B538" s="20">
        <v>46023</v>
      </c>
      <c r="C538" s="16"/>
      <c r="D538" s="334" t="s">
        <v>1907</v>
      </c>
      <c r="E538" s="18" t="s">
        <v>1815</v>
      </c>
      <c r="F538" s="26" t="s">
        <v>26</v>
      </c>
      <c r="G538" s="26" t="s">
        <v>1734</v>
      </c>
      <c r="H538" s="16" t="s">
        <v>1741</v>
      </c>
      <c r="I538" s="33">
        <v>8.46</v>
      </c>
      <c r="J538" s="35">
        <v>8.46</v>
      </c>
      <c r="K538" s="35"/>
      <c r="L538" s="34">
        <v>46034</v>
      </c>
      <c r="M538" s="16"/>
      <c r="N538" s="34"/>
      <c r="O538" s="35"/>
      <c r="P538" s="34"/>
      <c r="Q538" s="46">
        <f t="shared" si="19"/>
        <v>8.46</v>
      </c>
      <c r="R538" s="47">
        <f t="shared" si="18"/>
        <v>0</v>
      </c>
      <c r="S538" s="48"/>
    </row>
    <row r="539" s="1" customFormat="1" customHeight="1" spans="1:19">
      <c r="A539" s="14">
        <v>587</v>
      </c>
      <c r="B539" s="20">
        <v>46023</v>
      </c>
      <c r="C539" s="16"/>
      <c r="D539" s="17">
        <v>20</v>
      </c>
      <c r="E539" s="18" t="s">
        <v>1766</v>
      </c>
      <c r="F539" s="26" t="s">
        <v>26</v>
      </c>
      <c r="G539" s="26" t="s">
        <v>1734</v>
      </c>
      <c r="H539" s="16" t="s">
        <v>1741</v>
      </c>
      <c r="I539" s="33">
        <v>8.46</v>
      </c>
      <c r="J539" s="35">
        <v>8.46</v>
      </c>
      <c r="K539" s="35"/>
      <c r="L539" s="34">
        <v>46035</v>
      </c>
      <c r="M539" s="16"/>
      <c r="N539" s="34"/>
      <c r="O539" s="35"/>
      <c r="P539" s="34"/>
      <c r="Q539" s="46">
        <f t="shared" si="19"/>
        <v>8.46</v>
      </c>
      <c r="R539" s="47">
        <f t="shared" si="18"/>
        <v>0</v>
      </c>
      <c r="S539" s="48"/>
    </row>
    <row r="540" s="1" customFormat="1" customHeight="1" spans="1:19">
      <c r="A540" s="14">
        <v>588</v>
      </c>
      <c r="B540" s="20">
        <v>46023</v>
      </c>
      <c r="C540" s="16"/>
      <c r="D540" s="17">
        <v>14</v>
      </c>
      <c r="E540" s="18" t="s">
        <v>1908</v>
      </c>
      <c r="F540" s="26" t="s">
        <v>26</v>
      </c>
      <c r="G540" s="26" t="s">
        <v>1734</v>
      </c>
      <c r="H540" s="16" t="s">
        <v>1741</v>
      </c>
      <c r="I540" s="33">
        <v>8.46</v>
      </c>
      <c r="J540" s="35">
        <v>8.46</v>
      </c>
      <c r="K540" s="35"/>
      <c r="L540" s="34">
        <v>46034</v>
      </c>
      <c r="M540" s="16"/>
      <c r="N540" s="34"/>
      <c r="O540" s="16"/>
      <c r="P540" s="34"/>
      <c r="Q540" s="46">
        <f t="shared" si="19"/>
        <v>8.46</v>
      </c>
      <c r="R540" s="47">
        <f t="shared" si="18"/>
        <v>0</v>
      </c>
      <c r="S540" s="48"/>
    </row>
    <row r="541" s="1" customFormat="1" customHeight="1" spans="1:19">
      <c r="A541" s="14">
        <v>589</v>
      </c>
      <c r="B541" s="20">
        <v>46023</v>
      </c>
      <c r="C541" s="16"/>
      <c r="D541" s="17" t="s">
        <v>1909</v>
      </c>
      <c r="E541" s="18" t="s">
        <v>1910</v>
      </c>
      <c r="F541" s="26" t="s">
        <v>26</v>
      </c>
      <c r="G541" s="26" t="s">
        <v>1734</v>
      </c>
      <c r="H541" s="16" t="s">
        <v>1741</v>
      </c>
      <c r="I541" s="33">
        <v>8.46</v>
      </c>
      <c r="J541" s="35">
        <v>8.46</v>
      </c>
      <c r="K541" s="35"/>
      <c r="L541" s="34">
        <v>46034</v>
      </c>
      <c r="M541" s="16"/>
      <c r="N541" s="34"/>
      <c r="O541" s="16"/>
      <c r="P541" s="34"/>
      <c r="Q541" s="46">
        <f t="shared" si="19"/>
        <v>8.46</v>
      </c>
      <c r="R541" s="47">
        <f t="shared" si="18"/>
        <v>0</v>
      </c>
      <c r="S541" s="48"/>
    </row>
    <row r="542" s="1" customFormat="1" customHeight="1" spans="1:19">
      <c r="A542" s="14">
        <v>590</v>
      </c>
      <c r="B542" s="20">
        <v>46023</v>
      </c>
      <c r="C542" s="16"/>
      <c r="D542" s="17"/>
      <c r="E542" s="18" t="s">
        <v>1924</v>
      </c>
      <c r="F542" s="26" t="s">
        <v>26</v>
      </c>
      <c r="G542" s="26" t="s">
        <v>1734</v>
      </c>
      <c r="H542" s="16" t="s">
        <v>1741</v>
      </c>
      <c r="I542" s="33">
        <v>8.44</v>
      </c>
      <c r="J542" s="35"/>
      <c r="K542" s="35"/>
      <c r="L542" s="34"/>
      <c r="M542" s="16"/>
      <c r="N542" s="34"/>
      <c r="O542" s="16"/>
      <c r="P542" s="34"/>
      <c r="Q542" s="46">
        <f t="shared" si="19"/>
        <v>0</v>
      </c>
      <c r="R542" s="47">
        <f t="shared" si="18"/>
        <v>8.44</v>
      </c>
      <c r="S542" s="48"/>
    </row>
    <row r="543" s="1" customFormat="1" customHeight="1" spans="1:19">
      <c r="A543" s="14">
        <v>591</v>
      </c>
      <c r="B543" s="20">
        <v>46023</v>
      </c>
      <c r="C543" s="16" t="s">
        <v>16</v>
      </c>
      <c r="D543" s="17">
        <v>1008</v>
      </c>
      <c r="E543" s="18" t="s">
        <v>114</v>
      </c>
      <c r="F543" s="26" t="s">
        <v>26</v>
      </c>
      <c r="G543" s="26" t="s">
        <v>1734</v>
      </c>
      <c r="H543" s="16" t="s">
        <v>1735</v>
      </c>
      <c r="I543" s="33">
        <v>15498.42</v>
      </c>
      <c r="J543" s="35">
        <v>15498.42</v>
      </c>
      <c r="K543" s="35"/>
      <c r="L543" s="34">
        <v>46035</v>
      </c>
      <c r="M543" s="16"/>
      <c r="N543" s="34"/>
      <c r="O543" s="35"/>
      <c r="P543" s="34"/>
      <c r="Q543" s="46">
        <f t="shared" si="19"/>
        <v>15498.42</v>
      </c>
      <c r="R543" s="47">
        <f t="shared" si="18"/>
        <v>0</v>
      </c>
      <c r="S543" s="48"/>
    </row>
    <row r="544" s="1" customFormat="1" customHeight="1" spans="1:19">
      <c r="A544" s="14">
        <v>592</v>
      </c>
      <c r="B544" s="20">
        <v>46023</v>
      </c>
      <c r="C544" s="16"/>
      <c r="D544" s="17" t="s">
        <v>1767</v>
      </c>
      <c r="E544" s="18" t="s">
        <v>1768</v>
      </c>
      <c r="F544" s="26" t="s">
        <v>26</v>
      </c>
      <c r="G544" s="26" t="s">
        <v>1734</v>
      </c>
      <c r="H544" s="16" t="s">
        <v>1735</v>
      </c>
      <c r="I544" s="33">
        <v>14928.89</v>
      </c>
      <c r="J544" s="35">
        <v>14928.89</v>
      </c>
      <c r="K544" s="35"/>
      <c r="L544" s="34">
        <v>46035</v>
      </c>
      <c r="M544" s="16"/>
      <c r="N544" s="34"/>
      <c r="O544" s="35"/>
      <c r="P544" s="34"/>
      <c r="Q544" s="46">
        <f t="shared" si="19"/>
        <v>14928.89</v>
      </c>
      <c r="R544" s="47">
        <f t="shared" si="18"/>
        <v>0</v>
      </c>
      <c r="S544" s="48"/>
    </row>
    <row r="545" s="1" customFormat="1" customHeight="1" spans="1:19">
      <c r="A545" s="14">
        <v>593</v>
      </c>
      <c r="B545" s="20">
        <v>46023</v>
      </c>
      <c r="C545" s="16"/>
      <c r="D545" s="17">
        <v>5016</v>
      </c>
      <c r="E545" s="18" t="s">
        <v>765</v>
      </c>
      <c r="F545" s="26" t="s">
        <v>26</v>
      </c>
      <c r="G545" s="26" t="s">
        <v>1734</v>
      </c>
      <c r="H545" s="16" t="s">
        <v>1735</v>
      </c>
      <c r="I545" s="33">
        <v>1058.11</v>
      </c>
      <c r="J545" s="35">
        <v>1058.11</v>
      </c>
      <c r="K545" s="35"/>
      <c r="L545" s="34">
        <v>46042</v>
      </c>
      <c r="M545" s="16"/>
      <c r="N545" s="34"/>
      <c r="O545" s="35"/>
      <c r="P545" s="34"/>
      <c r="Q545" s="46">
        <f t="shared" si="19"/>
        <v>1058.11</v>
      </c>
      <c r="R545" s="47">
        <f t="shared" si="18"/>
        <v>0</v>
      </c>
      <c r="S545" s="48"/>
    </row>
    <row r="546" s="1" customFormat="1" customHeight="1" spans="1:19">
      <c r="A546" s="14">
        <v>594</v>
      </c>
      <c r="B546" s="20">
        <v>46023</v>
      </c>
      <c r="C546" s="16"/>
      <c r="D546" s="17">
        <v>5016</v>
      </c>
      <c r="E546" s="18" t="s">
        <v>765</v>
      </c>
      <c r="F546" s="26" t="s">
        <v>26</v>
      </c>
      <c r="G546" s="26" t="s">
        <v>1734</v>
      </c>
      <c r="H546" s="16" t="s">
        <v>1735</v>
      </c>
      <c r="I546" s="33">
        <v>0</v>
      </c>
      <c r="J546" s="35"/>
      <c r="K546" s="35"/>
      <c r="L546" s="34"/>
      <c r="M546" s="16"/>
      <c r="N546" s="34"/>
      <c r="O546" s="35"/>
      <c r="P546" s="34"/>
      <c r="Q546" s="46">
        <f t="shared" si="19"/>
        <v>0</v>
      </c>
      <c r="R546" s="47">
        <f t="shared" si="18"/>
        <v>0</v>
      </c>
      <c r="S546" s="48"/>
    </row>
    <row r="547" s="1" customFormat="1" customHeight="1" spans="1:19">
      <c r="A547" s="14">
        <v>595</v>
      </c>
      <c r="B547" s="20">
        <v>46023</v>
      </c>
      <c r="C547" s="16"/>
      <c r="D547" s="17">
        <v>5016</v>
      </c>
      <c r="E547" s="18" t="s">
        <v>765</v>
      </c>
      <c r="F547" s="26" t="s">
        <v>26</v>
      </c>
      <c r="G547" s="26" t="s">
        <v>1734</v>
      </c>
      <c r="H547" s="16" t="s">
        <v>1735</v>
      </c>
      <c r="I547" s="33">
        <v>11011.68</v>
      </c>
      <c r="J547" s="35">
        <v>11011.68</v>
      </c>
      <c r="K547" s="35"/>
      <c r="L547" s="34">
        <v>46042</v>
      </c>
      <c r="M547" s="16"/>
      <c r="N547" s="34"/>
      <c r="O547" s="16"/>
      <c r="P547" s="34"/>
      <c r="Q547" s="46">
        <f t="shared" si="19"/>
        <v>11011.68</v>
      </c>
      <c r="R547" s="47">
        <f t="shared" si="18"/>
        <v>0</v>
      </c>
      <c r="S547" s="48"/>
    </row>
    <row r="548" s="1" customFormat="1" customHeight="1" spans="1:19">
      <c r="A548" s="14">
        <v>608</v>
      </c>
      <c r="B548" s="20">
        <v>46023</v>
      </c>
      <c r="C548" s="16"/>
      <c r="D548" s="17" t="s">
        <v>1925</v>
      </c>
      <c r="E548" s="18" t="s">
        <v>1926</v>
      </c>
      <c r="F548" s="26" t="s">
        <v>26</v>
      </c>
      <c r="G548" s="26" t="s">
        <v>1734</v>
      </c>
      <c r="H548" s="16" t="s">
        <v>1735</v>
      </c>
      <c r="I548" s="33">
        <v>1036.08</v>
      </c>
      <c r="J548" s="33">
        <v>1036.08</v>
      </c>
      <c r="K548" s="35"/>
      <c r="L548" s="34">
        <v>46002</v>
      </c>
      <c r="M548" s="16"/>
      <c r="N548" s="34"/>
      <c r="O548" s="35"/>
      <c r="P548" s="34"/>
      <c r="Q548" s="46">
        <f t="shared" si="19"/>
        <v>1036.08</v>
      </c>
      <c r="R548" s="47">
        <f t="shared" si="18"/>
        <v>0</v>
      </c>
      <c r="S548" s="48"/>
    </row>
    <row r="549" s="1" customFormat="1" customHeight="1" spans="1:19">
      <c r="A549" s="14">
        <v>609</v>
      </c>
      <c r="B549" s="20">
        <v>46023</v>
      </c>
      <c r="C549" s="16"/>
      <c r="D549" s="17" t="s">
        <v>1925</v>
      </c>
      <c r="E549" s="18" t="s">
        <v>1926</v>
      </c>
      <c r="F549" s="26" t="s">
        <v>26</v>
      </c>
      <c r="G549" s="26" t="s">
        <v>1734</v>
      </c>
      <c r="H549" s="16" t="s">
        <v>1735</v>
      </c>
      <c r="I549" s="33">
        <v>0</v>
      </c>
      <c r="J549" s="33">
        <v>0</v>
      </c>
      <c r="K549" s="35"/>
      <c r="L549" s="34"/>
      <c r="M549" s="16"/>
      <c r="N549" s="34"/>
      <c r="O549" s="16"/>
      <c r="P549" s="34"/>
      <c r="Q549" s="46">
        <f t="shared" si="19"/>
        <v>0</v>
      </c>
      <c r="R549" s="47">
        <f t="shared" si="18"/>
        <v>0</v>
      </c>
      <c r="S549" s="48"/>
    </row>
    <row r="550" s="1" customFormat="1" customHeight="1" spans="1:19">
      <c r="A550" s="14">
        <v>610</v>
      </c>
      <c r="B550" s="20">
        <v>46023</v>
      </c>
      <c r="C550" s="16"/>
      <c r="D550" s="17" t="s">
        <v>1925</v>
      </c>
      <c r="E550" s="18" t="s">
        <v>1926</v>
      </c>
      <c r="F550" s="26" t="s">
        <v>26</v>
      </c>
      <c r="G550" s="26" t="s">
        <v>1734</v>
      </c>
      <c r="H550" s="16" t="s">
        <v>1735</v>
      </c>
      <c r="I550" s="33">
        <v>0</v>
      </c>
      <c r="J550" s="33">
        <v>0</v>
      </c>
      <c r="K550" s="35"/>
      <c r="L550" s="34"/>
      <c r="M550" s="16"/>
      <c r="N550" s="34"/>
      <c r="O550" s="16"/>
      <c r="P550" s="34"/>
      <c r="Q550" s="46">
        <f t="shared" si="19"/>
        <v>0</v>
      </c>
      <c r="R550" s="47">
        <f t="shared" si="18"/>
        <v>0</v>
      </c>
      <c r="S550" s="48"/>
    </row>
    <row r="551" s="1" customFormat="1" customHeight="1" spans="1:19">
      <c r="A551" s="14">
        <v>611</v>
      </c>
      <c r="B551" s="20">
        <v>46023</v>
      </c>
      <c r="C551" s="16"/>
      <c r="D551" s="17" t="s">
        <v>1925</v>
      </c>
      <c r="E551" s="18" t="s">
        <v>1926</v>
      </c>
      <c r="F551" s="26" t="s">
        <v>26</v>
      </c>
      <c r="G551" s="26" t="s">
        <v>1734</v>
      </c>
      <c r="H551" s="16" t="s">
        <v>1735</v>
      </c>
      <c r="I551" s="33">
        <v>3027.54</v>
      </c>
      <c r="J551" s="33">
        <v>3027.54</v>
      </c>
      <c r="K551" s="35"/>
      <c r="L551" s="34">
        <v>46002</v>
      </c>
      <c r="M551" s="16"/>
      <c r="N551" s="34"/>
      <c r="O551" s="16"/>
      <c r="P551" s="34"/>
      <c r="Q551" s="46">
        <f t="shared" si="19"/>
        <v>3027.54</v>
      </c>
      <c r="R551" s="47">
        <f t="shared" si="18"/>
        <v>0</v>
      </c>
      <c r="S551" s="48"/>
    </row>
    <row r="552" s="1" customFormat="1" customHeight="1" spans="1:19">
      <c r="A552" s="14">
        <v>612</v>
      </c>
      <c r="B552" s="20">
        <v>46023</v>
      </c>
      <c r="C552" s="16"/>
      <c r="D552" s="17" t="s">
        <v>1925</v>
      </c>
      <c r="E552" s="18" t="s">
        <v>1926</v>
      </c>
      <c r="F552" s="26" t="s">
        <v>26</v>
      </c>
      <c r="G552" s="26" t="s">
        <v>1734</v>
      </c>
      <c r="H552" s="16" t="s">
        <v>1735</v>
      </c>
      <c r="I552" s="33">
        <v>0</v>
      </c>
      <c r="J552" s="33">
        <v>0</v>
      </c>
      <c r="K552" s="35"/>
      <c r="L552" s="34"/>
      <c r="M552" s="16"/>
      <c r="N552" s="34"/>
      <c r="O552" s="35"/>
      <c r="P552" s="34"/>
      <c r="Q552" s="46">
        <f t="shared" si="19"/>
        <v>0</v>
      </c>
      <c r="R552" s="47">
        <f t="shared" si="18"/>
        <v>0</v>
      </c>
      <c r="S552" s="48"/>
    </row>
    <row r="553" s="1" customFormat="1" customHeight="1" spans="1:19">
      <c r="A553" s="14">
        <v>613</v>
      </c>
      <c r="B553" s="20">
        <v>46023</v>
      </c>
      <c r="C553" s="16"/>
      <c r="D553" s="17" t="s">
        <v>1925</v>
      </c>
      <c r="E553" s="18" t="s">
        <v>1926</v>
      </c>
      <c r="F553" s="26" t="s">
        <v>26</v>
      </c>
      <c r="G553" s="26" t="s">
        <v>1734</v>
      </c>
      <c r="H553" s="16" t="s">
        <v>1735</v>
      </c>
      <c r="I553" s="33">
        <v>0</v>
      </c>
      <c r="J553" s="33">
        <v>0</v>
      </c>
      <c r="K553" s="35"/>
      <c r="L553" s="34"/>
      <c r="M553" s="16"/>
      <c r="N553" s="34"/>
      <c r="O553" s="35"/>
      <c r="P553" s="34"/>
      <c r="Q553" s="46">
        <f t="shared" si="19"/>
        <v>0</v>
      </c>
      <c r="R553" s="47">
        <f t="shared" si="18"/>
        <v>0</v>
      </c>
      <c r="S553" s="48"/>
    </row>
    <row r="554" s="1" customFormat="1" customHeight="1" spans="1:19">
      <c r="A554" s="14">
        <v>614</v>
      </c>
      <c r="B554" s="20">
        <v>46023</v>
      </c>
      <c r="C554" s="16"/>
      <c r="D554" s="17" t="s">
        <v>1925</v>
      </c>
      <c r="E554" s="18" t="s">
        <v>1926</v>
      </c>
      <c r="F554" s="26" t="s">
        <v>26</v>
      </c>
      <c r="G554" s="26" t="s">
        <v>1734</v>
      </c>
      <c r="H554" s="16" t="s">
        <v>1735</v>
      </c>
      <c r="I554" s="33">
        <v>2691.66</v>
      </c>
      <c r="J554" s="33">
        <v>936.38</v>
      </c>
      <c r="K554" s="35"/>
      <c r="L554" s="34">
        <v>46002</v>
      </c>
      <c r="M554" s="16">
        <v>1755.28</v>
      </c>
      <c r="N554" s="34">
        <v>46028</v>
      </c>
      <c r="O554" s="35"/>
      <c r="P554" s="34"/>
      <c r="Q554" s="46">
        <f t="shared" si="19"/>
        <v>2691.66</v>
      </c>
      <c r="R554" s="47">
        <f t="shared" si="18"/>
        <v>0</v>
      </c>
      <c r="S554" s="48"/>
    </row>
    <row r="555" s="1" customFormat="1" customHeight="1" spans="1:19">
      <c r="A555" s="14">
        <v>615</v>
      </c>
      <c r="B555" s="20">
        <v>46023</v>
      </c>
      <c r="C555" s="16"/>
      <c r="D555" s="17" t="s">
        <v>1925</v>
      </c>
      <c r="E555" s="18" t="s">
        <v>1926</v>
      </c>
      <c r="F555" s="26" t="s">
        <v>26</v>
      </c>
      <c r="G555" s="26" t="s">
        <v>1734</v>
      </c>
      <c r="H555" s="16" t="s">
        <v>1735</v>
      </c>
      <c r="I555" s="33">
        <v>2.16</v>
      </c>
      <c r="J555" s="33">
        <v>2.16</v>
      </c>
      <c r="K555" s="35"/>
      <c r="L555" s="34">
        <v>46028</v>
      </c>
      <c r="M555" s="16"/>
      <c r="N555" s="34"/>
      <c r="O555" s="35"/>
      <c r="P555" s="34"/>
      <c r="Q555" s="46">
        <f t="shared" si="19"/>
        <v>2.16</v>
      </c>
      <c r="R555" s="47">
        <f t="shared" si="18"/>
        <v>0</v>
      </c>
      <c r="S555" s="48"/>
    </row>
    <row r="556" s="1" customFormat="1" customHeight="1" spans="1:19">
      <c r="A556" s="14">
        <v>616</v>
      </c>
      <c r="B556" s="20">
        <v>46023</v>
      </c>
      <c r="C556" s="16"/>
      <c r="D556" s="17" t="s">
        <v>1925</v>
      </c>
      <c r="E556" s="18" t="s">
        <v>1926</v>
      </c>
      <c r="F556" s="26" t="s">
        <v>26</v>
      </c>
      <c r="G556" s="26" t="s">
        <v>1734</v>
      </c>
      <c r="H556" s="16" t="s">
        <v>1735</v>
      </c>
      <c r="I556" s="33">
        <v>0.27</v>
      </c>
      <c r="J556" s="33">
        <v>0.27</v>
      </c>
      <c r="K556" s="35"/>
      <c r="L556" s="34">
        <v>46028</v>
      </c>
      <c r="M556" s="16"/>
      <c r="N556" s="34"/>
      <c r="O556" s="16"/>
      <c r="P556" s="34"/>
      <c r="Q556" s="46">
        <f t="shared" si="19"/>
        <v>0.27</v>
      </c>
      <c r="R556" s="47">
        <f t="shared" si="18"/>
        <v>0</v>
      </c>
      <c r="S556" s="48"/>
    </row>
    <row r="557" s="1" customFormat="1" customHeight="1" spans="1:19">
      <c r="A557" s="14">
        <v>617</v>
      </c>
      <c r="B557" s="20">
        <v>46023</v>
      </c>
      <c r="C557" s="16"/>
      <c r="D557" s="17" t="s">
        <v>1925</v>
      </c>
      <c r="E557" s="18" t="s">
        <v>1926</v>
      </c>
      <c r="F557" s="26" t="s">
        <v>26</v>
      </c>
      <c r="G557" s="26" t="s">
        <v>1734</v>
      </c>
      <c r="H557" s="16" t="s">
        <v>1735</v>
      </c>
      <c r="I557" s="33">
        <v>3867.29</v>
      </c>
      <c r="J557" s="33">
        <v>3867.29</v>
      </c>
      <c r="K557" s="35"/>
      <c r="L557" s="34">
        <v>46028</v>
      </c>
      <c r="M557" s="16"/>
      <c r="N557" s="34"/>
      <c r="O557" s="16"/>
      <c r="P557" s="34"/>
      <c r="Q557" s="46">
        <f t="shared" si="19"/>
        <v>3867.29</v>
      </c>
      <c r="R557" s="47">
        <f t="shared" si="18"/>
        <v>0</v>
      </c>
      <c r="S557" s="48"/>
    </row>
    <row r="558" s="1" customFormat="1" customHeight="1" spans="1:19">
      <c r="A558" s="14">
        <v>618</v>
      </c>
      <c r="B558" s="20">
        <v>46023</v>
      </c>
      <c r="C558" s="16"/>
      <c r="D558" s="17" t="s">
        <v>1925</v>
      </c>
      <c r="E558" s="18" t="s">
        <v>1926</v>
      </c>
      <c r="F558" s="26" t="s">
        <v>26</v>
      </c>
      <c r="G558" s="26" t="s">
        <v>1734</v>
      </c>
      <c r="H558" s="16" t="s">
        <v>1735</v>
      </c>
      <c r="I558" s="33">
        <v>0</v>
      </c>
      <c r="J558" s="33">
        <v>0</v>
      </c>
      <c r="K558" s="35"/>
      <c r="L558" s="34"/>
      <c r="M558" s="16"/>
      <c r="N558" s="34"/>
      <c r="O558" s="16"/>
      <c r="P558" s="34"/>
      <c r="Q558" s="46">
        <f t="shared" si="19"/>
        <v>0</v>
      </c>
      <c r="R558" s="47">
        <f t="shared" si="18"/>
        <v>0</v>
      </c>
      <c r="S558" s="48"/>
    </row>
    <row r="559" s="1" customFormat="1" customHeight="1" spans="1:19">
      <c r="A559" s="14">
        <v>619</v>
      </c>
      <c r="B559" s="20">
        <v>46023</v>
      </c>
      <c r="C559" s="16"/>
      <c r="D559" s="17" t="s">
        <v>1925</v>
      </c>
      <c r="E559" s="18" t="s">
        <v>1926</v>
      </c>
      <c r="F559" s="26" t="s">
        <v>26</v>
      </c>
      <c r="G559" s="26" t="s">
        <v>1734</v>
      </c>
      <c r="H559" s="16" t="s">
        <v>1735</v>
      </c>
      <c r="I559" s="33">
        <v>21.28</v>
      </c>
      <c r="J559" s="33">
        <v>21.28</v>
      </c>
      <c r="K559" s="35"/>
      <c r="L559" s="34">
        <v>46028</v>
      </c>
      <c r="M559" s="16"/>
      <c r="N559" s="34"/>
      <c r="O559" s="35"/>
      <c r="P559" s="34"/>
      <c r="Q559" s="46">
        <f t="shared" si="19"/>
        <v>21.28</v>
      </c>
      <c r="R559" s="47">
        <f t="shared" si="18"/>
        <v>0</v>
      </c>
      <c r="S559" s="48"/>
    </row>
    <row r="560" s="1" customFormat="1" customHeight="1" spans="1:19">
      <c r="A560" s="14">
        <v>624</v>
      </c>
      <c r="B560" s="20">
        <v>46023</v>
      </c>
      <c r="C560" s="16"/>
      <c r="D560" s="17" t="s">
        <v>1772</v>
      </c>
      <c r="E560" s="18" t="s">
        <v>1927</v>
      </c>
      <c r="F560" s="26" t="s">
        <v>26</v>
      </c>
      <c r="G560" s="26" t="s">
        <v>1734</v>
      </c>
      <c r="H560" s="16" t="s">
        <v>1735</v>
      </c>
      <c r="I560" s="33">
        <v>506.66</v>
      </c>
      <c r="J560" s="35">
        <v>506.66</v>
      </c>
      <c r="K560" s="35"/>
      <c r="L560" s="34">
        <v>46053</v>
      </c>
      <c r="M560" s="16"/>
      <c r="N560" s="34"/>
      <c r="O560" s="16"/>
      <c r="P560" s="34"/>
      <c r="Q560" s="46">
        <f t="shared" si="19"/>
        <v>506.66</v>
      </c>
      <c r="R560" s="47">
        <f t="shared" si="18"/>
        <v>0</v>
      </c>
      <c r="S560" s="48"/>
    </row>
    <row r="561" s="1" customFormat="1" customHeight="1" spans="1:19">
      <c r="A561" s="14">
        <v>625</v>
      </c>
      <c r="B561" s="20">
        <v>46023</v>
      </c>
      <c r="C561" s="16"/>
      <c r="D561" s="17" t="s">
        <v>1758</v>
      </c>
      <c r="E561" s="18" t="s">
        <v>1106</v>
      </c>
      <c r="F561" s="26" t="s">
        <v>26</v>
      </c>
      <c r="G561" s="26" t="s">
        <v>1734</v>
      </c>
      <c r="H561" s="16" t="s">
        <v>1735</v>
      </c>
      <c r="I561" s="33">
        <v>80.65</v>
      </c>
      <c r="J561" s="35">
        <v>80.65</v>
      </c>
      <c r="K561" s="35"/>
      <c r="L561" s="34">
        <v>46035</v>
      </c>
      <c r="M561" s="16"/>
      <c r="N561" s="34"/>
      <c r="O561" s="35"/>
      <c r="P561" s="34"/>
      <c r="Q561" s="46">
        <f t="shared" si="19"/>
        <v>80.65</v>
      </c>
      <c r="R561" s="47">
        <f t="shared" si="18"/>
        <v>0</v>
      </c>
      <c r="S561" s="48"/>
    </row>
    <row r="562" s="1" customFormat="1" customHeight="1" spans="1:19">
      <c r="A562" s="14">
        <v>626</v>
      </c>
      <c r="B562" s="20">
        <v>46023</v>
      </c>
      <c r="C562" s="16" t="s">
        <v>679</v>
      </c>
      <c r="D562" s="17" t="s">
        <v>1831</v>
      </c>
      <c r="E562" s="18" t="s">
        <v>1832</v>
      </c>
      <c r="F562" s="26" t="s">
        <v>26</v>
      </c>
      <c r="G562" s="26" t="s">
        <v>1734</v>
      </c>
      <c r="H562" s="16" t="s">
        <v>1735</v>
      </c>
      <c r="I562" s="33">
        <v>180.272</v>
      </c>
      <c r="J562" s="35">
        <v>180.25</v>
      </c>
      <c r="K562" s="35"/>
      <c r="L562" s="34">
        <v>46062</v>
      </c>
      <c r="M562" s="16"/>
      <c r="N562" s="34"/>
      <c r="O562" s="35"/>
      <c r="P562" s="34"/>
      <c r="Q562" s="46">
        <f t="shared" si="19"/>
        <v>180.25</v>
      </c>
      <c r="R562" s="47">
        <f t="shared" si="18"/>
        <v>0.0219999999999914</v>
      </c>
      <c r="S562" s="48"/>
    </row>
    <row r="563" s="1" customFormat="1" customHeight="1" spans="1:19">
      <c r="A563" s="14">
        <v>627</v>
      </c>
      <c r="B563" s="20">
        <v>46023</v>
      </c>
      <c r="C563" s="16"/>
      <c r="D563" s="17" t="s">
        <v>1797</v>
      </c>
      <c r="E563" s="18" t="s">
        <v>1798</v>
      </c>
      <c r="F563" s="26" t="s">
        <v>26</v>
      </c>
      <c r="G563" s="26" t="s">
        <v>1734</v>
      </c>
      <c r="H563" s="16" t="s">
        <v>1735</v>
      </c>
      <c r="I563" s="33">
        <v>109.11</v>
      </c>
      <c r="J563" s="35">
        <v>109.11</v>
      </c>
      <c r="K563" s="35">
        <v>0.01</v>
      </c>
      <c r="L563" s="34">
        <v>46031</v>
      </c>
      <c r="M563" s="16"/>
      <c r="N563" s="34"/>
      <c r="O563" s="35"/>
      <c r="P563" s="34"/>
      <c r="Q563" s="46">
        <f t="shared" si="19"/>
        <v>109.11</v>
      </c>
      <c r="R563" s="47">
        <f t="shared" si="18"/>
        <v>0</v>
      </c>
      <c r="S563" s="48" t="s">
        <v>1799</v>
      </c>
    </row>
    <row r="564" s="1" customFormat="1" customHeight="1" spans="1:19">
      <c r="A564" s="14">
        <v>631</v>
      </c>
      <c r="B564" s="20">
        <v>46023</v>
      </c>
      <c r="C564" s="16"/>
      <c r="D564" s="17" t="s">
        <v>935</v>
      </c>
      <c r="E564" s="18" t="s">
        <v>936</v>
      </c>
      <c r="F564" s="26" t="s">
        <v>26</v>
      </c>
      <c r="G564" s="26" t="s">
        <v>1734</v>
      </c>
      <c r="H564" s="16" t="s">
        <v>1735</v>
      </c>
      <c r="I564" s="33">
        <v>1293.21</v>
      </c>
      <c r="J564" s="35">
        <v>1293.21</v>
      </c>
      <c r="K564" s="35">
        <v>0.51</v>
      </c>
      <c r="L564" s="34">
        <v>46031</v>
      </c>
      <c r="M564" s="16"/>
      <c r="N564" s="34"/>
      <c r="O564" s="16"/>
      <c r="P564" s="34"/>
      <c r="Q564" s="46">
        <f t="shared" si="19"/>
        <v>1293.21</v>
      </c>
      <c r="R564" s="47">
        <f t="shared" si="18"/>
        <v>0</v>
      </c>
      <c r="S564" s="48"/>
    </row>
    <row r="565" s="1" customFormat="1" customHeight="1" spans="1:19">
      <c r="A565" s="14">
        <v>632</v>
      </c>
      <c r="B565" s="20">
        <v>46023</v>
      </c>
      <c r="C565" s="16"/>
      <c r="D565" s="17" t="s">
        <v>1778</v>
      </c>
      <c r="E565" s="18" t="s">
        <v>1779</v>
      </c>
      <c r="F565" s="26" t="s">
        <v>26</v>
      </c>
      <c r="G565" s="26" t="s">
        <v>1734</v>
      </c>
      <c r="H565" s="16" t="s">
        <v>1735</v>
      </c>
      <c r="I565" s="33">
        <v>0</v>
      </c>
      <c r="J565" s="35"/>
      <c r="K565" s="35"/>
      <c r="L565" s="34"/>
      <c r="M565" s="16"/>
      <c r="N565" s="34"/>
      <c r="O565" s="35"/>
      <c r="P565" s="34"/>
      <c r="Q565" s="46">
        <f t="shared" si="19"/>
        <v>0</v>
      </c>
      <c r="R565" s="47">
        <f t="shared" si="18"/>
        <v>0</v>
      </c>
      <c r="S565" s="48"/>
    </row>
    <row r="566" s="1" customFormat="1" customHeight="1" spans="1:19">
      <c r="A566" s="14">
        <v>633</v>
      </c>
      <c r="B566" s="20">
        <v>46023</v>
      </c>
      <c r="C566" s="16"/>
      <c r="D566" s="17" t="s">
        <v>943</v>
      </c>
      <c r="E566" s="18" t="s">
        <v>1836</v>
      </c>
      <c r="F566" s="26" t="s">
        <v>26</v>
      </c>
      <c r="G566" s="26" t="s">
        <v>1734</v>
      </c>
      <c r="H566" s="16" t="s">
        <v>1735</v>
      </c>
      <c r="I566" s="33">
        <v>1234.39</v>
      </c>
      <c r="J566" s="35">
        <v>433.2</v>
      </c>
      <c r="K566" s="35"/>
      <c r="L566" s="34">
        <v>46053</v>
      </c>
      <c r="M566" s="16"/>
      <c r="N566" s="34"/>
      <c r="O566" s="35">
        <f>1234.39-433.2</f>
        <v>801.19</v>
      </c>
      <c r="P566" s="34"/>
      <c r="Q566" s="46">
        <f t="shared" si="19"/>
        <v>1234.39</v>
      </c>
      <c r="R566" s="47">
        <f t="shared" si="18"/>
        <v>0</v>
      </c>
      <c r="S566" s="48" t="s">
        <v>1860</v>
      </c>
    </row>
    <row r="567" s="1" customFormat="1" customHeight="1" spans="1:19">
      <c r="A567" s="14">
        <v>634</v>
      </c>
      <c r="B567" s="20">
        <v>46023</v>
      </c>
      <c r="C567" s="16"/>
      <c r="D567" s="17" t="s">
        <v>1861</v>
      </c>
      <c r="E567" s="18" t="s">
        <v>933</v>
      </c>
      <c r="F567" s="26" t="s">
        <v>26</v>
      </c>
      <c r="G567" s="26" t="s">
        <v>1734</v>
      </c>
      <c r="H567" s="16" t="s">
        <v>1735</v>
      </c>
      <c r="I567" s="33">
        <v>217.28</v>
      </c>
      <c r="J567" s="35">
        <v>217.28</v>
      </c>
      <c r="K567" s="35"/>
      <c r="L567" s="34">
        <v>46048</v>
      </c>
      <c r="M567" s="16"/>
      <c r="N567" s="34"/>
      <c r="O567" s="35"/>
      <c r="P567" s="34"/>
      <c r="Q567" s="46">
        <f t="shared" si="19"/>
        <v>217.28</v>
      </c>
      <c r="R567" s="47">
        <f t="shared" si="18"/>
        <v>0</v>
      </c>
      <c r="S567" s="48"/>
    </row>
    <row r="568" s="1" customFormat="1" customHeight="1" spans="1:19">
      <c r="A568" s="14">
        <v>635</v>
      </c>
      <c r="B568" s="20">
        <v>46023</v>
      </c>
      <c r="C568" s="16"/>
      <c r="D568" s="17" t="s">
        <v>976</v>
      </c>
      <c r="E568" s="18" t="s">
        <v>978</v>
      </c>
      <c r="F568" s="26" t="s">
        <v>26</v>
      </c>
      <c r="G568" s="26" t="s">
        <v>1734</v>
      </c>
      <c r="H568" s="16" t="s">
        <v>1735</v>
      </c>
      <c r="I568" s="33">
        <v>33.21</v>
      </c>
      <c r="J568" s="35">
        <v>33.21</v>
      </c>
      <c r="K568" s="35"/>
      <c r="L568" s="34">
        <v>46048</v>
      </c>
      <c r="M568" s="16"/>
      <c r="N568" s="34"/>
      <c r="O568" s="35"/>
      <c r="P568" s="34"/>
      <c r="Q568" s="46">
        <f t="shared" si="19"/>
        <v>33.21</v>
      </c>
      <c r="R568" s="47">
        <f t="shared" si="18"/>
        <v>0</v>
      </c>
      <c r="S568" s="48"/>
    </row>
    <row r="569" s="1" customFormat="1" customHeight="1" spans="1:19">
      <c r="A569" s="14">
        <v>636</v>
      </c>
      <c r="B569" s="20">
        <v>46023</v>
      </c>
      <c r="C569" s="16" t="s">
        <v>1044</v>
      </c>
      <c r="D569" s="17" t="s">
        <v>1803</v>
      </c>
      <c r="E569" s="18" t="s">
        <v>982</v>
      </c>
      <c r="F569" s="26" t="s">
        <v>26</v>
      </c>
      <c r="G569" s="26" t="s">
        <v>1734</v>
      </c>
      <c r="H569" s="16" t="s">
        <v>1735</v>
      </c>
      <c r="I569" s="33">
        <v>55.98</v>
      </c>
      <c r="J569" s="35">
        <v>55.98</v>
      </c>
      <c r="K569" s="35"/>
      <c r="L569" s="34">
        <v>45670</v>
      </c>
      <c r="M569" s="16"/>
      <c r="N569" s="34"/>
      <c r="O569" s="16"/>
      <c r="P569" s="34"/>
      <c r="Q569" s="46">
        <f t="shared" si="19"/>
        <v>55.98</v>
      </c>
      <c r="R569" s="47">
        <f t="shared" si="18"/>
        <v>0</v>
      </c>
      <c r="S569" s="48"/>
    </row>
    <row r="570" s="1" customFormat="1" customHeight="1" spans="1:19">
      <c r="A570" s="14">
        <v>637</v>
      </c>
      <c r="B570" s="20">
        <v>46023</v>
      </c>
      <c r="C570" s="16"/>
      <c r="D570" s="17" t="s">
        <v>1805</v>
      </c>
      <c r="E570" s="18" t="s">
        <v>985</v>
      </c>
      <c r="F570" s="26" t="s">
        <v>26</v>
      </c>
      <c r="G570" s="26" t="s">
        <v>1734</v>
      </c>
      <c r="H570" s="16" t="s">
        <v>1735</v>
      </c>
      <c r="I570" s="33">
        <v>170.78</v>
      </c>
      <c r="J570" s="35">
        <v>170.78</v>
      </c>
      <c r="K570" s="35">
        <v>0.02</v>
      </c>
      <c r="L570" s="34">
        <v>45670</v>
      </c>
      <c r="M570" s="16"/>
      <c r="N570" s="34"/>
      <c r="O570" s="16"/>
      <c r="P570" s="34"/>
      <c r="Q570" s="46">
        <f t="shared" si="19"/>
        <v>170.78</v>
      </c>
      <c r="R570" s="47">
        <f t="shared" si="18"/>
        <v>0</v>
      </c>
      <c r="S570" s="48"/>
    </row>
    <row r="571" s="1" customFormat="1" customHeight="1" spans="1:19">
      <c r="A571" s="14">
        <v>638</v>
      </c>
      <c r="B571" s="20">
        <v>46023</v>
      </c>
      <c r="C571" s="16"/>
      <c r="D571" s="17" t="s">
        <v>1816</v>
      </c>
      <c r="E571" s="18" t="s">
        <v>978</v>
      </c>
      <c r="F571" s="26" t="s">
        <v>26</v>
      </c>
      <c r="G571" s="26" t="s">
        <v>1734</v>
      </c>
      <c r="H571" s="16" t="s">
        <v>1735</v>
      </c>
      <c r="I571" s="33">
        <v>86.34</v>
      </c>
      <c r="J571" s="35">
        <v>86.34</v>
      </c>
      <c r="K571" s="35"/>
      <c r="L571" s="34">
        <v>46048</v>
      </c>
      <c r="M571" s="16"/>
      <c r="N571" s="34"/>
      <c r="O571" s="16"/>
      <c r="P571" s="34"/>
      <c r="Q571" s="46">
        <f t="shared" si="19"/>
        <v>86.34</v>
      </c>
      <c r="R571" s="47">
        <f t="shared" si="18"/>
        <v>0</v>
      </c>
      <c r="S571" s="48"/>
    </row>
    <row r="572" s="1" customFormat="1" customHeight="1" spans="1:19">
      <c r="A572" s="14">
        <v>639</v>
      </c>
      <c r="B572" s="20">
        <v>46023</v>
      </c>
      <c r="C572" s="16"/>
      <c r="D572" s="17" t="s">
        <v>873</v>
      </c>
      <c r="E572" s="18" t="s">
        <v>875</v>
      </c>
      <c r="F572" s="26" t="s">
        <v>26</v>
      </c>
      <c r="G572" s="26" t="s">
        <v>1734</v>
      </c>
      <c r="H572" s="16" t="s">
        <v>1735</v>
      </c>
      <c r="I572" s="33">
        <v>740.06</v>
      </c>
      <c r="J572" s="35">
        <v>740.06</v>
      </c>
      <c r="K572" s="35"/>
      <c r="L572" s="34">
        <v>46032</v>
      </c>
      <c r="M572" s="16"/>
      <c r="N572" s="34"/>
      <c r="O572" s="35"/>
      <c r="P572" s="34"/>
      <c r="Q572" s="46">
        <f t="shared" si="19"/>
        <v>740.06</v>
      </c>
      <c r="R572" s="47">
        <f t="shared" si="18"/>
        <v>0</v>
      </c>
      <c r="S572" s="48"/>
    </row>
    <row r="573" s="1" customFormat="1" customHeight="1" spans="1:19">
      <c r="A573" s="14">
        <v>641</v>
      </c>
      <c r="B573" s="20">
        <v>46023</v>
      </c>
      <c r="C573" s="16" t="s">
        <v>1044</v>
      </c>
      <c r="D573" s="17" t="s">
        <v>890</v>
      </c>
      <c r="E573" s="18" t="s">
        <v>892</v>
      </c>
      <c r="F573" s="26" t="s">
        <v>26</v>
      </c>
      <c r="G573" s="26" t="s">
        <v>1734</v>
      </c>
      <c r="H573" s="16" t="s">
        <v>1735</v>
      </c>
      <c r="I573" s="33">
        <v>696.42</v>
      </c>
      <c r="J573" s="35">
        <v>696.42</v>
      </c>
      <c r="K573" s="35"/>
      <c r="L573" s="34">
        <v>46034</v>
      </c>
      <c r="M573" s="16"/>
      <c r="N573" s="34"/>
      <c r="O573" s="35"/>
      <c r="P573" s="34"/>
      <c r="Q573" s="46">
        <f t="shared" si="19"/>
        <v>696.42</v>
      </c>
      <c r="R573" s="47">
        <f t="shared" si="18"/>
        <v>0</v>
      </c>
      <c r="S573" s="48"/>
    </row>
    <row r="574" s="1" customFormat="1" customHeight="1" spans="1:19">
      <c r="A574" s="14">
        <v>642</v>
      </c>
      <c r="B574" s="20">
        <v>46023</v>
      </c>
      <c r="C574" s="16"/>
      <c r="D574" s="17" t="s">
        <v>1847</v>
      </c>
      <c r="E574" s="18" t="s">
        <v>1848</v>
      </c>
      <c r="F574" s="26" t="s">
        <v>26</v>
      </c>
      <c r="G574" s="26" t="s">
        <v>1734</v>
      </c>
      <c r="H574" s="16" t="s">
        <v>1735</v>
      </c>
      <c r="I574" s="33">
        <v>2133.85</v>
      </c>
      <c r="J574" s="35">
        <v>2133.85</v>
      </c>
      <c r="K574" s="35"/>
      <c r="L574" s="34">
        <v>46036</v>
      </c>
      <c r="M574" s="16"/>
      <c r="N574" s="34"/>
      <c r="O574" s="35"/>
      <c r="P574" s="34"/>
      <c r="Q574" s="46">
        <f t="shared" si="19"/>
        <v>2133.85</v>
      </c>
      <c r="R574" s="47">
        <f t="shared" si="18"/>
        <v>0</v>
      </c>
      <c r="S574" s="48"/>
    </row>
    <row r="575" s="1" customFormat="1" customHeight="1" spans="1:19">
      <c r="A575" s="14">
        <v>643</v>
      </c>
      <c r="B575" s="20">
        <v>46023</v>
      </c>
      <c r="C575" s="16"/>
      <c r="D575" s="17" t="s">
        <v>991</v>
      </c>
      <c r="E575" s="18" t="s">
        <v>1862</v>
      </c>
      <c r="F575" s="26" t="s">
        <v>26</v>
      </c>
      <c r="G575" s="26" t="s">
        <v>1734</v>
      </c>
      <c r="H575" s="16" t="s">
        <v>1735</v>
      </c>
      <c r="I575" s="33">
        <v>0</v>
      </c>
      <c r="J575" s="35"/>
      <c r="K575" s="35"/>
      <c r="L575" s="34"/>
      <c r="M575" s="16"/>
      <c r="N575" s="34"/>
      <c r="O575" s="16"/>
      <c r="P575" s="34"/>
      <c r="Q575" s="46">
        <f t="shared" si="19"/>
        <v>0</v>
      </c>
      <c r="R575" s="47">
        <f t="shared" si="18"/>
        <v>0</v>
      </c>
      <c r="S575" s="48"/>
    </row>
    <row r="576" s="1" customFormat="1" customHeight="1" spans="1:19">
      <c r="A576" s="14">
        <v>644</v>
      </c>
      <c r="B576" s="20">
        <v>46023</v>
      </c>
      <c r="C576" s="16"/>
      <c r="D576" s="17" t="s">
        <v>1863</v>
      </c>
      <c r="E576" s="18" t="s">
        <v>799</v>
      </c>
      <c r="F576" s="26" t="s">
        <v>26</v>
      </c>
      <c r="G576" s="26" t="s">
        <v>1734</v>
      </c>
      <c r="H576" s="16" t="s">
        <v>1735</v>
      </c>
      <c r="I576" s="33">
        <v>0</v>
      </c>
      <c r="J576" s="35"/>
      <c r="K576" s="35"/>
      <c r="L576" s="34"/>
      <c r="M576" s="16"/>
      <c r="N576" s="34"/>
      <c r="O576" s="16"/>
      <c r="P576" s="34"/>
      <c r="Q576" s="46">
        <f t="shared" si="19"/>
        <v>0</v>
      </c>
      <c r="R576" s="47">
        <f t="shared" si="18"/>
        <v>0</v>
      </c>
      <c r="S576" s="48"/>
    </row>
    <row r="577" s="1" customFormat="1" customHeight="1" spans="1:19">
      <c r="A577" s="14">
        <v>645</v>
      </c>
      <c r="B577" s="20">
        <v>46023</v>
      </c>
      <c r="C577" s="16" t="s">
        <v>1127</v>
      </c>
      <c r="D577" s="17" t="s">
        <v>835</v>
      </c>
      <c r="E577" s="18" t="s">
        <v>836</v>
      </c>
      <c r="F577" s="26" t="s">
        <v>26</v>
      </c>
      <c r="G577" s="26" t="s">
        <v>1734</v>
      </c>
      <c r="H577" s="16" t="s">
        <v>1735</v>
      </c>
      <c r="I577" s="33">
        <v>316.9</v>
      </c>
      <c r="J577" s="35">
        <v>316.9</v>
      </c>
      <c r="K577" s="35"/>
      <c r="L577" s="34">
        <v>46182</v>
      </c>
      <c r="M577" s="16"/>
      <c r="N577" s="34"/>
      <c r="O577" s="16"/>
      <c r="P577" s="34"/>
      <c r="Q577" s="46">
        <f t="shared" si="19"/>
        <v>316.9</v>
      </c>
      <c r="R577" s="47">
        <f t="shared" si="18"/>
        <v>0</v>
      </c>
      <c r="S577" s="48"/>
    </row>
    <row r="578" s="1" customFormat="1" customHeight="1" spans="1:19">
      <c r="A578" s="14">
        <v>646</v>
      </c>
      <c r="B578" s="20">
        <v>46023</v>
      </c>
      <c r="C578" s="16"/>
      <c r="D578" s="17" t="s">
        <v>1864</v>
      </c>
      <c r="E578" s="18" t="s">
        <v>1865</v>
      </c>
      <c r="F578" s="26" t="s">
        <v>26</v>
      </c>
      <c r="G578" s="26" t="s">
        <v>1734</v>
      </c>
      <c r="H578" s="16" t="s">
        <v>1735</v>
      </c>
      <c r="I578" s="33">
        <v>0</v>
      </c>
      <c r="J578" s="35"/>
      <c r="K578" s="35"/>
      <c r="L578" s="34"/>
      <c r="M578" s="16"/>
      <c r="N578" s="34"/>
      <c r="O578" s="35"/>
      <c r="P578" s="34"/>
      <c r="Q578" s="46">
        <f t="shared" si="19"/>
        <v>0</v>
      </c>
      <c r="R578" s="47">
        <f t="shared" si="18"/>
        <v>0</v>
      </c>
      <c r="S578" s="48"/>
    </row>
    <row r="579" s="1" customFormat="1" customHeight="1" spans="1:19">
      <c r="A579" s="14">
        <v>647</v>
      </c>
      <c r="B579" s="20">
        <v>46023</v>
      </c>
      <c r="C579" s="16"/>
      <c r="D579" s="17" t="s">
        <v>1415</v>
      </c>
      <c r="E579" s="18" t="s">
        <v>1866</v>
      </c>
      <c r="F579" s="26" t="s">
        <v>26</v>
      </c>
      <c r="G579" s="26" t="s">
        <v>1734</v>
      </c>
      <c r="H579" s="16" t="s">
        <v>1735</v>
      </c>
      <c r="I579" s="33">
        <v>0</v>
      </c>
      <c r="J579" s="35"/>
      <c r="K579" s="35"/>
      <c r="L579" s="34"/>
      <c r="M579" s="16"/>
      <c r="N579" s="34"/>
      <c r="O579" s="35"/>
      <c r="P579" s="34"/>
      <c r="Q579" s="46">
        <f t="shared" si="19"/>
        <v>0</v>
      </c>
      <c r="R579" s="47">
        <f t="shared" si="18"/>
        <v>0</v>
      </c>
      <c r="S579" s="48"/>
    </row>
    <row r="580" s="1" customFormat="1" customHeight="1" spans="1:19">
      <c r="A580" s="14">
        <v>648</v>
      </c>
      <c r="B580" s="20">
        <v>46023</v>
      </c>
      <c r="C580" s="16"/>
      <c r="D580" s="17" t="s">
        <v>1102</v>
      </c>
      <c r="E580" s="18" t="s">
        <v>831</v>
      </c>
      <c r="F580" s="26" t="s">
        <v>26</v>
      </c>
      <c r="G580" s="26" t="s">
        <v>1734</v>
      </c>
      <c r="H580" s="16" t="s">
        <v>1735</v>
      </c>
      <c r="I580" s="33">
        <v>0</v>
      </c>
      <c r="J580" s="35"/>
      <c r="K580" s="35"/>
      <c r="L580" s="34"/>
      <c r="M580" s="16"/>
      <c r="N580" s="34"/>
      <c r="O580" s="35"/>
      <c r="P580" s="34"/>
      <c r="Q580" s="46">
        <f t="shared" si="19"/>
        <v>0</v>
      </c>
      <c r="R580" s="47">
        <f t="shared" si="18"/>
        <v>0</v>
      </c>
      <c r="S580" s="48"/>
    </row>
    <row r="581" s="1" customFormat="1" customHeight="1" spans="1:19">
      <c r="A581" s="14">
        <v>649</v>
      </c>
      <c r="B581" s="20">
        <v>46023</v>
      </c>
      <c r="C581" s="16"/>
      <c r="D581" s="17" t="s">
        <v>1868</v>
      </c>
      <c r="E581" s="18" t="s">
        <v>1928</v>
      </c>
      <c r="F581" s="26" t="s">
        <v>26</v>
      </c>
      <c r="G581" s="26" t="s">
        <v>1734</v>
      </c>
      <c r="H581" s="16" t="s">
        <v>1735</v>
      </c>
      <c r="I581" s="33">
        <v>0</v>
      </c>
      <c r="J581" s="35"/>
      <c r="K581" s="35"/>
      <c r="L581" s="34"/>
      <c r="M581" s="16"/>
      <c r="N581" s="34"/>
      <c r="O581" s="35"/>
      <c r="P581" s="34"/>
      <c r="Q581" s="46">
        <f t="shared" si="19"/>
        <v>0</v>
      </c>
      <c r="R581" s="47">
        <f t="shared" si="18"/>
        <v>0</v>
      </c>
      <c r="S581" s="48"/>
    </row>
    <row r="582" s="1" customFormat="1" customHeight="1" spans="1:19">
      <c r="A582" s="14">
        <v>650</v>
      </c>
      <c r="B582" s="20">
        <v>46023</v>
      </c>
      <c r="C582" s="16"/>
      <c r="D582" s="17" t="s">
        <v>838</v>
      </c>
      <c r="E582" s="18" t="s">
        <v>936</v>
      </c>
      <c r="F582" s="26" t="s">
        <v>26</v>
      </c>
      <c r="G582" s="26" t="s">
        <v>1734</v>
      </c>
      <c r="H582" s="16" t="s">
        <v>1735</v>
      </c>
      <c r="I582" s="33">
        <v>2.85</v>
      </c>
      <c r="J582" s="35"/>
      <c r="K582" s="35"/>
      <c r="L582" s="34"/>
      <c r="M582" s="16"/>
      <c r="N582" s="34"/>
      <c r="O582" s="16">
        <v>2.85</v>
      </c>
      <c r="P582" s="34">
        <v>46062</v>
      </c>
      <c r="Q582" s="46">
        <f t="shared" si="19"/>
        <v>2.85</v>
      </c>
      <c r="R582" s="47">
        <f t="shared" si="18"/>
        <v>0</v>
      </c>
      <c r="S582" s="48" t="s">
        <v>1929</v>
      </c>
    </row>
    <row r="583" s="1" customFormat="1" customHeight="1" spans="1:19">
      <c r="A583" s="14">
        <v>651</v>
      </c>
      <c r="B583" s="20">
        <v>46023</v>
      </c>
      <c r="C583" s="16"/>
      <c r="D583" s="17" t="s">
        <v>1870</v>
      </c>
      <c r="E583" s="18" t="s">
        <v>1930</v>
      </c>
      <c r="F583" s="26" t="s">
        <v>26</v>
      </c>
      <c r="G583" s="26" t="s">
        <v>1734</v>
      </c>
      <c r="H583" s="16" t="s">
        <v>1735</v>
      </c>
      <c r="I583" s="33">
        <v>0</v>
      </c>
      <c r="J583" s="35"/>
      <c r="K583" s="35"/>
      <c r="L583" s="34"/>
      <c r="M583" s="16"/>
      <c r="N583" s="34"/>
      <c r="O583" s="16"/>
      <c r="P583" s="34"/>
      <c r="Q583" s="46">
        <f t="shared" si="19"/>
        <v>0</v>
      </c>
      <c r="R583" s="47">
        <f t="shared" si="18"/>
        <v>0</v>
      </c>
      <c r="S583" s="48"/>
    </row>
    <row r="584" s="1" customFormat="1" customHeight="1" spans="1:19">
      <c r="A584" s="14">
        <v>652</v>
      </c>
      <c r="B584" s="20">
        <v>46023</v>
      </c>
      <c r="C584" s="16"/>
      <c r="D584" s="17" t="s">
        <v>842</v>
      </c>
      <c r="E584" s="18" t="s">
        <v>844</v>
      </c>
      <c r="F584" s="26" t="s">
        <v>26</v>
      </c>
      <c r="G584" s="26" t="s">
        <v>1734</v>
      </c>
      <c r="H584" s="16" t="s">
        <v>1735</v>
      </c>
      <c r="I584" s="33">
        <v>1482.03</v>
      </c>
      <c r="J584" s="35">
        <v>1482.03</v>
      </c>
      <c r="K584" s="35"/>
      <c r="L584" s="34">
        <v>45659</v>
      </c>
      <c r="M584" s="16"/>
      <c r="N584" s="34"/>
      <c r="O584" s="16"/>
      <c r="P584" s="34"/>
      <c r="Q584" s="46">
        <f t="shared" si="19"/>
        <v>1482.03</v>
      </c>
      <c r="R584" s="47">
        <f t="shared" si="18"/>
        <v>0</v>
      </c>
      <c r="S584" s="48"/>
    </row>
    <row r="585" s="1" customFormat="1" customHeight="1" spans="1:19">
      <c r="A585" s="14">
        <v>654</v>
      </c>
      <c r="B585" s="20">
        <v>46023</v>
      </c>
      <c r="C585" s="16"/>
      <c r="D585" s="17" t="s">
        <v>1872</v>
      </c>
      <c r="E585" s="18" t="s">
        <v>1865</v>
      </c>
      <c r="F585" s="26" t="s">
        <v>26</v>
      </c>
      <c r="G585" s="26" t="s">
        <v>1734</v>
      </c>
      <c r="H585" s="16" t="s">
        <v>1735</v>
      </c>
      <c r="I585" s="33">
        <v>0</v>
      </c>
      <c r="J585" s="35"/>
      <c r="K585" s="35"/>
      <c r="L585" s="34"/>
      <c r="M585" s="16"/>
      <c r="N585" s="34"/>
      <c r="O585" s="35"/>
      <c r="P585" s="34"/>
      <c r="Q585" s="46">
        <f t="shared" si="19"/>
        <v>0</v>
      </c>
      <c r="R585" s="47">
        <f t="shared" si="18"/>
        <v>0</v>
      </c>
      <c r="S585" s="48"/>
    </row>
    <row r="586" s="1" customFormat="1" customHeight="1" spans="1:19">
      <c r="A586" s="14">
        <v>655</v>
      </c>
      <c r="B586" s="20">
        <v>46023</v>
      </c>
      <c r="C586" s="16"/>
      <c r="D586" s="17" t="s">
        <v>1873</v>
      </c>
      <c r="E586" s="18" t="s">
        <v>1931</v>
      </c>
      <c r="F586" s="26" t="s">
        <v>26</v>
      </c>
      <c r="G586" s="26" t="s">
        <v>1734</v>
      </c>
      <c r="H586" s="16" t="s">
        <v>1735</v>
      </c>
      <c r="I586" s="33">
        <v>0</v>
      </c>
      <c r="J586" s="35"/>
      <c r="K586" s="35"/>
      <c r="L586" s="34"/>
      <c r="M586" s="16"/>
      <c r="N586" s="34"/>
      <c r="O586" s="35"/>
      <c r="P586" s="34"/>
      <c r="Q586" s="46">
        <f t="shared" si="19"/>
        <v>0</v>
      </c>
      <c r="R586" s="47">
        <f t="shared" si="18"/>
        <v>0</v>
      </c>
      <c r="S586" s="48"/>
    </row>
    <row r="587" s="1" customFormat="1" customHeight="1" spans="1:19">
      <c r="A587" s="14">
        <v>656</v>
      </c>
      <c r="B587" s="20">
        <v>46023</v>
      </c>
      <c r="C587" s="16"/>
      <c r="D587" s="17" t="s">
        <v>1874</v>
      </c>
      <c r="E587" s="18" t="s">
        <v>1865</v>
      </c>
      <c r="F587" s="26" t="s">
        <v>26</v>
      </c>
      <c r="G587" s="26" t="s">
        <v>1734</v>
      </c>
      <c r="H587" s="16" t="s">
        <v>1735</v>
      </c>
      <c r="I587" s="33">
        <v>0</v>
      </c>
      <c r="J587" s="35"/>
      <c r="K587" s="35"/>
      <c r="L587" s="34"/>
      <c r="M587" s="16"/>
      <c r="N587" s="34"/>
      <c r="O587" s="35"/>
      <c r="P587" s="34"/>
      <c r="Q587" s="46">
        <f t="shared" si="19"/>
        <v>0</v>
      </c>
      <c r="R587" s="47">
        <f t="shared" si="18"/>
        <v>0</v>
      </c>
      <c r="S587" s="48"/>
    </row>
    <row r="588" s="1" customFormat="1" customHeight="1" spans="1:19">
      <c r="A588" s="14">
        <v>657</v>
      </c>
      <c r="B588" s="20">
        <v>46023</v>
      </c>
      <c r="C588" s="16"/>
      <c r="D588" s="17" t="s">
        <v>1662</v>
      </c>
      <c r="E588" s="18" t="s">
        <v>1663</v>
      </c>
      <c r="F588" s="26" t="s">
        <v>26</v>
      </c>
      <c r="G588" s="26" t="s">
        <v>1734</v>
      </c>
      <c r="H588" s="16" t="s">
        <v>1735</v>
      </c>
      <c r="I588" s="33">
        <v>0</v>
      </c>
      <c r="J588" s="35"/>
      <c r="K588" s="35"/>
      <c r="L588" s="34"/>
      <c r="M588" s="16"/>
      <c r="N588" s="34"/>
      <c r="O588" s="16"/>
      <c r="P588" s="34"/>
      <c r="Q588" s="46">
        <f t="shared" si="19"/>
        <v>0</v>
      </c>
      <c r="R588" s="47">
        <f t="shared" si="18"/>
        <v>0</v>
      </c>
      <c r="S588" s="48"/>
    </row>
    <row r="589" s="1" customFormat="1" customHeight="1" spans="1:19">
      <c r="A589" s="14">
        <v>658</v>
      </c>
      <c r="B589" s="20">
        <v>46023</v>
      </c>
      <c r="C589" s="16"/>
      <c r="D589" s="17" t="s">
        <v>1876</v>
      </c>
      <c r="E589" s="18" t="s">
        <v>1865</v>
      </c>
      <c r="F589" s="26" t="s">
        <v>26</v>
      </c>
      <c r="G589" s="26" t="s">
        <v>1734</v>
      </c>
      <c r="H589" s="16" t="s">
        <v>1735</v>
      </c>
      <c r="I589" s="33">
        <v>0</v>
      </c>
      <c r="J589" s="35"/>
      <c r="K589" s="35"/>
      <c r="L589" s="34"/>
      <c r="M589" s="16"/>
      <c r="N589" s="34"/>
      <c r="O589" s="16"/>
      <c r="P589" s="34"/>
      <c r="Q589" s="46">
        <f t="shared" si="19"/>
        <v>0</v>
      </c>
      <c r="R589" s="47">
        <f t="shared" ref="R589:R652" si="20">I589-Q589</f>
        <v>0</v>
      </c>
      <c r="S589" s="48"/>
    </row>
    <row r="590" s="1" customFormat="1" customHeight="1" spans="1:19">
      <c r="A590" s="14">
        <v>659</v>
      </c>
      <c r="B590" s="20">
        <v>46023</v>
      </c>
      <c r="C590" s="16"/>
      <c r="D590" s="17" t="s">
        <v>1877</v>
      </c>
      <c r="E590" s="18" t="s">
        <v>765</v>
      </c>
      <c r="F590" s="26" t="s">
        <v>26</v>
      </c>
      <c r="G590" s="26" t="s">
        <v>1734</v>
      </c>
      <c r="H590" s="16" t="s">
        <v>1735</v>
      </c>
      <c r="I590" s="33">
        <v>102.86</v>
      </c>
      <c r="J590" s="35">
        <v>102.86</v>
      </c>
      <c r="K590" s="35"/>
      <c r="L590" s="34">
        <v>46042</v>
      </c>
      <c r="M590" s="16"/>
      <c r="N590" s="34"/>
      <c r="O590" s="16"/>
      <c r="P590" s="34"/>
      <c r="Q590" s="46">
        <f t="shared" si="19"/>
        <v>102.86</v>
      </c>
      <c r="R590" s="47">
        <f t="shared" si="20"/>
        <v>0</v>
      </c>
      <c r="S590" s="48"/>
    </row>
    <row r="591" s="1" customFormat="1" customHeight="1" spans="1:19">
      <c r="A591" s="14">
        <v>660</v>
      </c>
      <c r="B591" s="20">
        <v>46023</v>
      </c>
      <c r="C591" s="16" t="s">
        <v>16</v>
      </c>
      <c r="D591" s="17" t="s">
        <v>864</v>
      </c>
      <c r="E591" s="18" t="s">
        <v>866</v>
      </c>
      <c r="F591" s="26" t="s">
        <v>26</v>
      </c>
      <c r="G591" s="26" t="s">
        <v>1734</v>
      </c>
      <c r="H591" s="16" t="s">
        <v>1735</v>
      </c>
      <c r="I591" s="33">
        <v>1440.28</v>
      </c>
      <c r="J591" s="35">
        <v>1440.28</v>
      </c>
      <c r="K591" s="35">
        <v>59.72</v>
      </c>
      <c r="L591" s="34">
        <v>45688</v>
      </c>
      <c r="M591" s="16"/>
      <c r="N591" s="34"/>
      <c r="O591" s="35"/>
      <c r="P591" s="34"/>
      <c r="Q591" s="46">
        <f t="shared" si="19"/>
        <v>1440.28</v>
      </c>
      <c r="R591" s="47">
        <f t="shared" si="20"/>
        <v>0</v>
      </c>
      <c r="S591" s="48"/>
    </row>
    <row r="592" s="1" customFormat="1" customHeight="1" spans="1:19">
      <c r="A592" s="14">
        <v>661</v>
      </c>
      <c r="B592" s="20">
        <v>46023</v>
      </c>
      <c r="C592" s="16"/>
      <c r="D592" s="17" t="s">
        <v>1879</v>
      </c>
      <c r="E592" s="18" t="s">
        <v>1880</v>
      </c>
      <c r="F592" s="26" t="s">
        <v>26</v>
      </c>
      <c r="G592" s="26" t="s">
        <v>1734</v>
      </c>
      <c r="H592" s="16" t="s">
        <v>1735</v>
      </c>
      <c r="I592" s="33">
        <v>0</v>
      </c>
      <c r="J592" s="35"/>
      <c r="K592" s="35"/>
      <c r="L592" s="34"/>
      <c r="M592" s="16"/>
      <c r="N592" s="34"/>
      <c r="O592" s="35"/>
      <c r="P592" s="34"/>
      <c r="Q592" s="46">
        <f t="shared" si="19"/>
        <v>0</v>
      </c>
      <c r="R592" s="47">
        <f t="shared" si="20"/>
        <v>0</v>
      </c>
      <c r="S592" s="48"/>
    </row>
    <row r="593" s="1" customFormat="1" customHeight="1" spans="1:19">
      <c r="A593" s="14">
        <v>662</v>
      </c>
      <c r="B593" s="20">
        <v>46023</v>
      </c>
      <c r="C593" s="16"/>
      <c r="D593" s="17" t="s">
        <v>1881</v>
      </c>
      <c r="E593" s="18" t="s">
        <v>1880</v>
      </c>
      <c r="F593" s="26" t="s">
        <v>26</v>
      </c>
      <c r="G593" s="26" t="s">
        <v>1734</v>
      </c>
      <c r="H593" s="16" t="s">
        <v>1735</v>
      </c>
      <c r="I593" s="33">
        <v>0</v>
      </c>
      <c r="J593" s="35"/>
      <c r="K593" s="35"/>
      <c r="L593" s="34"/>
      <c r="M593" s="16"/>
      <c r="N593" s="34"/>
      <c r="O593" s="35"/>
      <c r="P593" s="34"/>
      <c r="Q593" s="46">
        <f t="shared" si="19"/>
        <v>0</v>
      </c>
      <c r="R593" s="47">
        <f t="shared" si="20"/>
        <v>0</v>
      </c>
      <c r="S593" s="48"/>
    </row>
    <row r="594" s="1" customFormat="1" customHeight="1" spans="1:19">
      <c r="A594" s="14">
        <v>663</v>
      </c>
      <c r="B594" s="20">
        <v>46023</v>
      </c>
      <c r="C594" s="16"/>
      <c r="D594" s="17" t="s">
        <v>1882</v>
      </c>
      <c r="E594" s="18" t="s">
        <v>1880</v>
      </c>
      <c r="F594" s="26" t="s">
        <v>26</v>
      </c>
      <c r="G594" s="26" t="s">
        <v>1734</v>
      </c>
      <c r="H594" s="16" t="s">
        <v>1735</v>
      </c>
      <c r="I594" s="33">
        <v>0</v>
      </c>
      <c r="J594" s="35"/>
      <c r="K594" s="35"/>
      <c r="L594" s="34"/>
      <c r="M594" s="16"/>
      <c r="N594" s="34"/>
      <c r="O594" s="35"/>
      <c r="P594" s="34"/>
      <c r="Q594" s="46">
        <f t="shared" si="19"/>
        <v>0</v>
      </c>
      <c r="R594" s="47">
        <f t="shared" si="20"/>
        <v>0</v>
      </c>
      <c r="S594" s="48"/>
    </row>
    <row r="595" s="1" customFormat="1" customHeight="1" spans="1:19">
      <c r="A595" s="14">
        <v>664</v>
      </c>
      <c r="B595" s="20">
        <v>46023</v>
      </c>
      <c r="C595" s="16"/>
      <c r="D595" s="17" t="s">
        <v>1883</v>
      </c>
      <c r="E595" s="18" t="s">
        <v>1106</v>
      </c>
      <c r="F595" s="26" t="s">
        <v>26</v>
      </c>
      <c r="G595" s="26" t="s">
        <v>1734</v>
      </c>
      <c r="H595" s="16" t="s">
        <v>1735</v>
      </c>
      <c r="I595" s="33">
        <v>403.24</v>
      </c>
      <c r="J595" s="35">
        <v>403.24</v>
      </c>
      <c r="K595" s="35"/>
      <c r="L595" s="34">
        <v>46035</v>
      </c>
      <c r="M595" s="16"/>
      <c r="N595" s="34"/>
      <c r="O595" s="16"/>
      <c r="P595" s="34"/>
      <c r="Q595" s="46">
        <f t="shared" si="19"/>
        <v>403.24</v>
      </c>
      <c r="R595" s="47">
        <f t="shared" si="20"/>
        <v>0</v>
      </c>
      <c r="S595" s="48"/>
    </row>
    <row r="596" s="1" customFormat="1" customHeight="1" spans="1:19">
      <c r="A596" s="14">
        <v>665</v>
      </c>
      <c r="B596" s="20">
        <v>46023</v>
      </c>
      <c r="C596" s="16"/>
      <c r="D596" s="17" t="s">
        <v>1011</v>
      </c>
      <c r="E596" s="18" t="s">
        <v>1013</v>
      </c>
      <c r="F596" s="26" t="s">
        <v>26</v>
      </c>
      <c r="G596" s="26" t="s">
        <v>1734</v>
      </c>
      <c r="H596" s="16" t="s">
        <v>1735</v>
      </c>
      <c r="I596" s="33">
        <v>0</v>
      </c>
      <c r="J596" s="35"/>
      <c r="K596" s="35"/>
      <c r="L596" s="34"/>
      <c r="M596" s="16"/>
      <c r="N596" s="34"/>
      <c r="O596" s="16"/>
      <c r="P596" s="34"/>
      <c r="Q596" s="46">
        <f t="shared" si="19"/>
        <v>0</v>
      </c>
      <c r="R596" s="47">
        <f t="shared" si="20"/>
        <v>0</v>
      </c>
      <c r="S596" s="48" t="s">
        <v>1932</v>
      </c>
    </row>
    <row r="597" s="1" customFormat="1" customHeight="1" spans="1:19">
      <c r="A597" s="14">
        <v>666</v>
      </c>
      <c r="B597" s="20">
        <v>46023</v>
      </c>
      <c r="C597" s="16"/>
      <c r="D597" s="17" t="s">
        <v>1884</v>
      </c>
      <c r="E597" s="18" t="s">
        <v>1885</v>
      </c>
      <c r="F597" s="26" t="s">
        <v>26</v>
      </c>
      <c r="G597" s="26" t="s">
        <v>1734</v>
      </c>
      <c r="H597" s="16" t="s">
        <v>1735</v>
      </c>
      <c r="I597" s="33">
        <v>0</v>
      </c>
      <c r="J597" s="35"/>
      <c r="K597" s="35"/>
      <c r="L597" s="34"/>
      <c r="M597" s="16"/>
      <c r="N597" s="34"/>
      <c r="O597" s="16"/>
      <c r="P597" s="34"/>
      <c r="Q597" s="46">
        <f t="shared" ref="Q597:Q660" si="21">J597+M597+O597</f>
        <v>0</v>
      </c>
      <c r="R597" s="47">
        <f t="shared" si="20"/>
        <v>0</v>
      </c>
      <c r="S597" s="48"/>
    </row>
    <row r="598" s="1" customFormat="1" customHeight="1" spans="1:19">
      <c r="A598" s="14">
        <v>670</v>
      </c>
      <c r="B598" s="20">
        <v>46023</v>
      </c>
      <c r="C598" s="16"/>
      <c r="D598" s="17" t="s">
        <v>1886</v>
      </c>
      <c r="E598" s="18" t="s">
        <v>1880</v>
      </c>
      <c r="F598" s="26" t="s">
        <v>26</v>
      </c>
      <c r="G598" s="26" t="s">
        <v>1734</v>
      </c>
      <c r="H598" s="16" t="s">
        <v>1735</v>
      </c>
      <c r="I598" s="33">
        <v>0</v>
      </c>
      <c r="J598" s="35"/>
      <c r="K598" s="35"/>
      <c r="L598" s="34"/>
      <c r="M598" s="16"/>
      <c r="N598" s="34"/>
      <c r="O598" s="35"/>
      <c r="P598" s="34"/>
      <c r="Q598" s="46">
        <f t="shared" si="21"/>
        <v>0</v>
      </c>
      <c r="R598" s="47">
        <f t="shared" si="20"/>
        <v>0</v>
      </c>
      <c r="S598" s="48"/>
    </row>
    <row r="599" s="1" customFormat="1" customHeight="1" spans="1:19">
      <c r="A599" s="14">
        <v>674</v>
      </c>
      <c r="B599" s="20">
        <v>46023</v>
      </c>
      <c r="C599" s="16"/>
      <c r="D599" s="17" t="s">
        <v>1887</v>
      </c>
      <c r="E599" s="18" t="s">
        <v>1888</v>
      </c>
      <c r="F599" s="26" t="s">
        <v>26</v>
      </c>
      <c r="G599" s="26" t="s">
        <v>1734</v>
      </c>
      <c r="H599" s="16" t="s">
        <v>1735</v>
      </c>
      <c r="I599" s="33">
        <v>0</v>
      </c>
      <c r="J599" s="35"/>
      <c r="K599" s="35"/>
      <c r="L599" s="34"/>
      <c r="M599" s="16"/>
      <c r="N599" s="34"/>
      <c r="O599" s="35"/>
      <c r="P599" s="34"/>
      <c r="Q599" s="46">
        <f t="shared" si="21"/>
        <v>0</v>
      </c>
      <c r="R599" s="47">
        <f t="shared" si="20"/>
        <v>0</v>
      </c>
      <c r="S599" s="48"/>
    </row>
    <row r="600" s="1" customFormat="1" customHeight="1" spans="1:19">
      <c r="A600" s="14">
        <v>675</v>
      </c>
      <c r="B600" s="20">
        <v>46023</v>
      </c>
      <c r="C600" s="16"/>
      <c r="D600" s="17" t="s">
        <v>1151</v>
      </c>
      <c r="E600" s="18" t="s">
        <v>1880</v>
      </c>
      <c r="F600" s="26" t="s">
        <v>26</v>
      </c>
      <c r="G600" s="26" t="s">
        <v>1734</v>
      </c>
      <c r="H600" s="16" t="s">
        <v>1735</v>
      </c>
      <c r="I600" s="33">
        <v>0</v>
      </c>
      <c r="J600" s="35"/>
      <c r="K600" s="35"/>
      <c r="L600" s="34"/>
      <c r="M600" s="16"/>
      <c r="N600" s="34"/>
      <c r="O600" s="35"/>
      <c r="P600" s="34"/>
      <c r="Q600" s="46">
        <f t="shared" si="21"/>
        <v>0</v>
      </c>
      <c r="R600" s="47">
        <f t="shared" si="20"/>
        <v>0</v>
      </c>
      <c r="S600" s="48"/>
    </row>
    <row r="601" s="1" customFormat="1" customHeight="1" spans="1:19">
      <c r="A601" s="14">
        <v>676</v>
      </c>
      <c r="B601" s="20">
        <v>46023</v>
      </c>
      <c r="C601" s="16" t="s">
        <v>1044</v>
      </c>
      <c r="D601" s="17" t="s">
        <v>858</v>
      </c>
      <c r="E601" s="18" t="s">
        <v>860</v>
      </c>
      <c r="F601" s="26" t="s">
        <v>26</v>
      </c>
      <c r="G601" s="26" t="s">
        <v>1734</v>
      </c>
      <c r="H601" s="16" t="s">
        <v>1735</v>
      </c>
      <c r="I601" s="33">
        <v>363.39</v>
      </c>
      <c r="J601" s="35">
        <v>363.39</v>
      </c>
      <c r="K601" s="35">
        <v>0.14</v>
      </c>
      <c r="L601" s="34">
        <v>46008</v>
      </c>
      <c r="M601" s="16"/>
      <c r="N601" s="34"/>
      <c r="O601" s="35"/>
      <c r="P601" s="34"/>
      <c r="Q601" s="46">
        <f t="shared" si="21"/>
        <v>363.39</v>
      </c>
      <c r="R601" s="47">
        <f t="shared" si="20"/>
        <v>0</v>
      </c>
      <c r="S601" s="48"/>
    </row>
    <row r="602" s="1" customFormat="1" customHeight="1" spans="1:19">
      <c r="A602" s="14">
        <v>678</v>
      </c>
      <c r="B602" s="20">
        <v>46023</v>
      </c>
      <c r="C602" s="16" t="s">
        <v>909</v>
      </c>
      <c r="D602" s="17" t="s">
        <v>993</v>
      </c>
      <c r="E602" s="18" t="s">
        <v>1889</v>
      </c>
      <c r="F602" s="26" t="s">
        <v>26</v>
      </c>
      <c r="G602" s="26" t="s">
        <v>1734</v>
      </c>
      <c r="H602" s="16" t="s">
        <v>1735</v>
      </c>
      <c r="I602" s="33">
        <v>360.544</v>
      </c>
      <c r="J602" s="33">
        <v>360.544</v>
      </c>
      <c r="K602" s="35"/>
      <c r="L602" s="34">
        <v>46052</v>
      </c>
      <c r="M602" s="16"/>
      <c r="N602" s="34"/>
      <c r="O602" s="16"/>
      <c r="P602" s="34"/>
      <c r="Q602" s="46">
        <f t="shared" si="21"/>
        <v>360.544</v>
      </c>
      <c r="R602" s="47">
        <f t="shared" si="20"/>
        <v>0</v>
      </c>
      <c r="S602" s="48"/>
    </row>
    <row r="603" s="1" customFormat="1" customHeight="1" spans="1:19">
      <c r="A603" s="14">
        <v>679</v>
      </c>
      <c r="B603" s="20">
        <v>46023</v>
      </c>
      <c r="C603" s="16"/>
      <c r="D603" s="17" t="s">
        <v>1890</v>
      </c>
      <c r="E603" s="18" t="s">
        <v>1891</v>
      </c>
      <c r="F603" s="26" t="s">
        <v>26</v>
      </c>
      <c r="G603" s="26" t="s">
        <v>1734</v>
      </c>
      <c r="H603" s="16" t="s">
        <v>1735</v>
      </c>
      <c r="I603" s="33">
        <v>0</v>
      </c>
      <c r="J603" s="35"/>
      <c r="K603" s="35"/>
      <c r="L603" s="34"/>
      <c r="M603" s="16"/>
      <c r="N603" s="34"/>
      <c r="O603" s="16"/>
      <c r="P603" s="34"/>
      <c r="Q603" s="46">
        <f t="shared" si="21"/>
        <v>0</v>
      </c>
      <c r="R603" s="47">
        <f t="shared" si="20"/>
        <v>0</v>
      </c>
      <c r="S603" s="48"/>
    </row>
    <row r="604" s="1" customFormat="1" customHeight="1" spans="1:19">
      <c r="A604" s="14">
        <v>680</v>
      </c>
      <c r="B604" s="20">
        <v>46023</v>
      </c>
      <c r="C604" s="16"/>
      <c r="D604" s="17" t="s">
        <v>946</v>
      </c>
      <c r="E604" s="18" t="s">
        <v>948</v>
      </c>
      <c r="F604" s="26" t="s">
        <v>26</v>
      </c>
      <c r="G604" s="26" t="s">
        <v>1734</v>
      </c>
      <c r="H604" s="16" t="s">
        <v>1735</v>
      </c>
      <c r="I604" s="33">
        <v>4025.76</v>
      </c>
      <c r="J604" s="35">
        <v>4025.76</v>
      </c>
      <c r="K604" s="35"/>
      <c r="L604" s="34">
        <v>46037</v>
      </c>
      <c r="M604" s="16"/>
      <c r="N604" s="34"/>
      <c r="O604" s="16"/>
      <c r="P604" s="34"/>
      <c r="Q604" s="46">
        <f t="shared" si="21"/>
        <v>4025.76</v>
      </c>
      <c r="R604" s="47">
        <f t="shared" si="20"/>
        <v>0</v>
      </c>
      <c r="S604" s="48"/>
    </row>
    <row r="605" s="1" customFormat="1" customHeight="1" spans="1:19">
      <c r="A605" s="14">
        <v>681</v>
      </c>
      <c r="B605" s="20">
        <v>46023</v>
      </c>
      <c r="C605" s="16"/>
      <c r="D605" s="17" t="s">
        <v>954</v>
      </c>
      <c r="E605" s="18" t="s">
        <v>956</v>
      </c>
      <c r="F605" s="26" t="s">
        <v>26</v>
      </c>
      <c r="G605" s="26" t="s">
        <v>1734</v>
      </c>
      <c r="H605" s="16" t="s">
        <v>1735</v>
      </c>
      <c r="I605" s="33">
        <v>1210.67</v>
      </c>
      <c r="J605" s="35">
        <v>1210.67</v>
      </c>
      <c r="K605" s="35"/>
      <c r="L605" s="34">
        <v>46050</v>
      </c>
      <c r="M605" s="16"/>
      <c r="N605" s="34"/>
      <c r="O605" s="35"/>
      <c r="P605" s="34"/>
      <c r="Q605" s="46">
        <f t="shared" si="21"/>
        <v>1210.67</v>
      </c>
      <c r="R605" s="47">
        <f t="shared" si="20"/>
        <v>0</v>
      </c>
      <c r="S605" s="48"/>
    </row>
    <row r="606" s="1" customFormat="1" customHeight="1" spans="1:19">
      <c r="A606" s="14">
        <v>682</v>
      </c>
      <c r="B606" s="20">
        <v>46023</v>
      </c>
      <c r="C606" s="16"/>
      <c r="D606" s="17"/>
      <c r="E606" s="18" t="s">
        <v>1892</v>
      </c>
      <c r="F606" s="26" t="s">
        <v>26</v>
      </c>
      <c r="G606" s="26" t="s">
        <v>1734</v>
      </c>
      <c r="H606" s="16" t="s">
        <v>1735</v>
      </c>
      <c r="I606" s="33">
        <v>0</v>
      </c>
      <c r="J606" s="35"/>
      <c r="K606" s="35"/>
      <c r="L606" s="34"/>
      <c r="M606" s="16"/>
      <c r="N606" s="34"/>
      <c r="O606" s="35"/>
      <c r="P606" s="34"/>
      <c r="Q606" s="46">
        <f t="shared" si="21"/>
        <v>0</v>
      </c>
      <c r="R606" s="47">
        <f t="shared" si="20"/>
        <v>0</v>
      </c>
      <c r="S606" s="48"/>
    </row>
    <row r="607" s="1" customFormat="1" customHeight="1" spans="1:19">
      <c r="A607" s="14">
        <v>683</v>
      </c>
      <c r="B607" s="20">
        <v>46023</v>
      </c>
      <c r="C607" s="16" t="s">
        <v>909</v>
      </c>
      <c r="D607" s="17" t="s">
        <v>1003</v>
      </c>
      <c r="E607" s="18" t="s">
        <v>1005</v>
      </c>
      <c r="F607" s="26" t="s">
        <v>26</v>
      </c>
      <c r="G607" s="26" t="s">
        <v>1734</v>
      </c>
      <c r="H607" s="16" t="s">
        <v>1735</v>
      </c>
      <c r="I607" s="33">
        <v>124.29</v>
      </c>
      <c r="J607" s="35">
        <v>124.29</v>
      </c>
      <c r="K607" s="35"/>
      <c r="L607" s="34">
        <v>46048</v>
      </c>
      <c r="M607" s="16"/>
      <c r="N607" s="34"/>
      <c r="O607" s="35"/>
      <c r="P607" s="34"/>
      <c r="Q607" s="46">
        <f t="shared" si="21"/>
        <v>124.29</v>
      </c>
      <c r="R607" s="47">
        <f t="shared" si="20"/>
        <v>0</v>
      </c>
      <c r="S607" s="48"/>
    </row>
    <row r="608" s="1" customFormat="1" customHeight="1" spans="1:19">
      <c r="A608" s="14">
        <v>684</v>
      </c>
      <c r="B608" s="20">
        <v>46023</v>
      </c>
      <c r="C608" s="16"/>
      <c r="D608" s="17" t="s">
        <v>1893</v>
      </c>
      <c r="E608" s="18" t="s">
        <v>1880</v>
      </c>
      <c r="F608" s="26" t="s">
        <v>26</v>
      </c>
      <c r="G608" s="26" t="s">
        <v>1734</v>
      </c>
      <c r="H608" s="16" t="s">
        <v>1735</v>
      </c>
      <c r="I608" s="33">
        <v>0</v>
      </c>
      <c r="J608" s="35"/>
      <c r="K608" s="35"/>
      <c r="L608" s="34"/>
      <c r="M608" s="16"/>
      <c r="N608" s="34"/>
      <c r="O608" s="35"/>
      <c r="P608" s="34"/>
      <c r="Q608" s="46">
        <f t="shared" si="21"/>
        <v>0</v>
      </c>
      <c r="R608" s="47">
        <f t="shared" si="20"/>
        <v>0</v>
      </c>
      <c r="S608" s="48"/>
    </row>
    <row r="609" s="1" customFormat="1" customHeight="1" spans="1:19">
      <c r="A609" s="14">
        <v>685</v>
      </c>
      <c r="B609" s="20">
        <v>46023</v>
      </c>
      <c r="C609" s="16"/>
      <c r="D609" s="17" t="s">
        <v>885</v>
      </c>
      <c r="E609" s="18" t="s">
        <v>886</v>
      </c>
      <c r="F609" s="26" t="s">
        <v>26</v>
      </c>
      <c r="G609" s="26" t="s">
        <v>1734</v>
      </c>
      <c r="H609" s="16" t="s">
        <v>1735</v>
      </c>
      <c r="I609" s="33">
        <v>1149</v>
      </c>
      <c r="J609" s="35">
        <f>1000-114.5</f>
        <v>885.5</v>
      </c>
      <c r="K609" s="35"/>
      <c r="L609" s="34">
        <v>45930</v>
      </c>
      <c r="M609" s="16">
        <v>263.5</v>
      </c>
      <c r="N609" s="34">
        <v>46043</v>
      </c>
      <c r="O609" s="16"/>
      <c r="P609" s="34"/>
      <c r="Q609" s="46">
        <f t="shared" si="21"/>
        <v>1149</v>
      </c>
      <c r="R609" s="47">
        <f t="shared" si="20"/>
        <v>0</v>
      </c>
      <c r="S609" s="48"/>
    </row>
    <row r="610" s="1" customFormat="1" customHeight="1" spans="1:19">
      <c r="A610" s="14">
        <v>686</v>
      </c>
      <c r="B610" s="20">
        <v>46023</v>
      </c>
      <c r="C610" s="16"/>
      <c r="D610" s="17" t="s">
        <v>881</v>
      </c>
      <c r="E610" s="18" t="s">
        <v>1780</v>
      </c>
      <c r="F610" s="26" t="s">
        <v>26</v>
      </c>
      <c r="G610" s="26" t="s">
        <v>1734</v>
      </c>
      <c r="H610" s="16" t="s">
        <v>1735</v>
      </c>
      <c r="I610" s="33">
        <v>1114.84</v>
      </c>
      <c r="J610" s="35">
        <v>1114.84</v>
      </c>
      <c r="K610" s="35"/>
      <c r="L610" s="34">
        <v>46058</v>
      </c>
      <c r="M610" s="16"/>
      <c r="N610" s="34"/>
      <c r="O610" s="16"/>
      <c r="P610" s="34"/>
      <c r="Q610" s="46">
        <f t="shared" si="21"/>
        <v>1114.84</v>
      </c>
      <c r="R610" s="47">
        <f t="shared" si="20"/>
        <v>0</v>
      </c>
      <c r="S610" s="48"/>
    </row>
    <row r="611" s="1" customFormat="1" customHeight="1" spans="1:19">
      <c r="A611" s="14">
        <v>687</v>
      </c>
      <c r="B611" s="20">
        <v>46023</v>
      </c>
      <c r="C611" s="16"/>
      <c r="D611" s="17" t="s">
        <v>1775</v>
      </c>
      <c r="E611" s="18" t="s">
        <v>1124</v>
      </c>
      <c r="F611" s="26" t="s">
        <v>26</v>
      </c>
      <c r="G611" s="26" t="s">
        <v>1734</v>
      </c>
      <c r="H611" s="16" t="s">
        <v>1735</v>
      </c>
      <c r="I611" s="33">
        <v>2895.93</v>
      </c>
      <c r="J611" s="35">
        <f>1988.69+907.24</f>
        <v>2895.93</v>
      </c>
      <c r="K611" s="35"/>
      <c r="L611" s="34">
        <v>46031</v>
      </c>
      <c r="M611" s="16"/>
      <c r="N611" s="34"/>
      <c r="O611" s="16"/>
      <c r="P611" s="34"/>
      <c r="Q611" s="46">
        <f t="shared" si="21"/>
        <v>2895.93</v>
      </c>
      <c r="R611" s="47">
        <f t="shared" si="20"/>
        <v>0</v>
      </c>
      <c r="S611" s="48"/>
    </row>
    <row r="612" s="1" customFormat="1" customHeight="1" spans="1:19">
      <c r="A612" s="14">
        <v>688</v>
      </c>
      <c r="B612" s="20">
        <v>46023</v>
      </c>
      <c r="C612" s="16"/>
      <c r="D612" s="17" t="s">
        <v>1859</v>
      </c>
      <c r="E612" s="18" t="s">
        <v>1260</v>
      </c>
      <c r="F612" s="26" t="s">
        <v>26</v>
      </c>
      <c r="G612" s="26" t="s">
        <v>1734</v>
      </c>
      <c r="H612" s="16" t="s">
        <v>1735</v>
      </c>
      <c r="I612" s="33">
        <v>2009.56</v>
      </c>
      <c r="J612" s="35">
        <v>2009.56</v>
      </c>
      <c r="K612" s="35"/>
      <c r="L612" s="34">
        <v>46030</v>
      </c>
      <c r="M612" s="16"/>
      <c r="N612" s="34"/>
      <c r="O612" s="35"/>
      <c r="P612" s="34"/>
      <c r="Q612" s="46">
        <f t="shared" si="21"/>
        <v>2009.56</v>
      </c>
      <c r="R612" s="47">
        <f t="shared" si="20"/>
        <v>0</v>
      </c>
      <c r="S612" s="48"/>
    </row>
    <row r="613" s="1" customFormat="1" customHeight="1" spans="1:19">
      <c r="A613" s="14">
        <v>689</v>
      </c>
      <c r="B613" s="20">
        <v>46023</v>
      </c>
      <c r="C613" s="16"/>
      <c r="D613" s="17" t="s">
        <v>1895</v>
      </c>
      <c r="E613" s="18" t="s">
        <v>1896</v>
      </c>
      <c r="F613" s="26" t="s">
        <v>26</v>
      </c>
      <c r="G613" s="26" t="s">
        <v>1734</v>
      </c>
      <c r="H613" s="16" t="s">
        <v>1735</v>
      </c>
      <c r="I613" s="33">
        <v>0</v>
      </c>
      <c r="J613" s="35"/>
      <c r="K613" s="35"/>
      <c r="L613" s="34"/>
      <c r="M613" s="16"/>
      <c r="N613" s="34"/>
      <c r="O613" s="35"/>
      <c r="P613" s="34"/>
      <c r="Q613" s="46">
        <f t="shared" si="21"/>
        <v>0</v>
      </c>
      <c r="R613" s="47">
        <f t="shared" si="20"/>
        <v>0</v>
      </c>
      <c r="S613" s="48"/>
    </row>
    <row r="614" s="1" customFormat="1" customHeight="1" spans="1:19">
      <c r="A614" s="14">
        <v>690</v>
      </c>
      <c r="B614" s="20">
        <v>46023</v>
      </c>
      <c r="C614" s="16"/>
      <c r="D614" s="17"/>
      <c r="E614" s="18" t="s">
        <v>1933</v>
      </c>
      <c r="F614" s="26" t="s">
        <v>26</v>
      </c>
      <c r="G614" s="26" t="s">
        <v>1734</v>
      </c>
      <c r="H614" s="16" t="s">
        <v>1735</v>
      </c>
      <c r="I614" s="33">
        <v>0</v>
      </c>
      <c r="J614" s="35"/>
      <c r="K614" s="35"/>
      <c r="L614" s="34"/>
      <c r="M614" s="16"/>
      <c r="N614" s="34"/>
      <c r="O614" s="35"/>
      <c r="P614" s="34"/>
      <c r="Q614" s="46">
        <f t="shared" si="21"/>
        <v>0</v>
      </c>
      <c r="R614" s="47">
        <f t="shared" si="20"/>
        <v>0</v>
      </c>
      <c r="S614" s="48"/>
    </row>
    <row r="615" s="1" customFormat="1" customHeight="1" spans="1:19">
      <c r="A615" s="14">
        <v>691</v>
      </c>
      <c r="B615" s="20">
        <v>46023</v>
      </c>
      <c r="C615" s="16"/>
      <c r="D615" s="17" t="s">
        <v>1897</v>
      </c>
      <c r="E615" s="18" t="s">
        <v>1740</v>
      </c>
      <c r="F615" s="26" t="s">
        <v>26</v>
      </c>
      <c r="G615" s="26" t="s">
        <v>1734</v>
      </c>
      <c r="H615" s="16" t="s">
        <v>1735</v>
      </c>
      <c r="I615" s="33">
        <v>264.72</v>
      </c>
      <c r="J615" s="35">
        <v>264.72</v>
      </c>
      <c r="K615" s="35"/>
      <c r="L615" s="34">
        <v>46036</v>
      </c>
      <c r="M615" s="16"/>
      <c r="N615" s="34"/>
      <c r="O615" s="35"/>
      <c r="P615" s="34"/>
      <c r="Q615" s="46">
        <f t="shared" si="21"/>
        <v>264.72</v>
      </c>
      <c r="R615" s="47">
        <f t="shared" si="20"/>
        <v>0</v>
      </c>
      <c r="S615" s="48"/>
    </row>
    <row r="616" s="1" customFormat="1" customHeight="1" spans="1:19">
      <c r="A616" s="14">
        <v>692</v>
      </c>
      <c r="B616" s="20">
        <v>46023</v>
      </c>
      <c r="C616" s="16"/>
      <c r="D616" s="334" t="s">
        <v>1898</v>
      </c>
      <c r="E616" s="18" t="s">
        <v>1899</v>
      </c>
      <c r="F616" s="26" t="s">
        <v>26</v>
      </c>
      <c r="G616" s="26" t="s">
        <v>1734</v>
      </c>
      <c r="H616" s="16" t="s">
        <v>1735</v>
      </c>
      <c r="I616" s="33"/>
      <c r="J616" s="35"/>
      <c r="K616" s="35"/>
      <c r="L616" s="34"/>
      <c r="M616" s="16"/>
      <c r="N616" s="34"/>
      <c r="O616" s="16"/>
      <c r="P616" s="34"/>
      <c r="Q616" s="46">
        <f t="shared" si="21"/>
        <v>0</v>
      </c>
      <c r="R616" s="47">
        <f t="shared" si="20"/>
        <v>0</v>
      </c>
      <c r="S616" s="48"/>
    </row>
    <row r="617" s="1" customFormat="1" customHeight="1" spans="1:19">
      <c r="A617" s="14">
        <v>693</v>
      </c>
      <c r="B617" s="20">
        <v>46023</v>
      </c>
      <c r="C617" s="16"/>
      <c r="D617" s="334" t="s">
        <v>1900</v>
      </c>
      <c r="E617" s="18" t="s">
        <v>1828</v>
      </c>
      <c r="F617" s="26" t="s">
        <v>26</v>
      </c>
      <c r="G617" s="26" t="s">
        <v>1734</v>
      </c>
      <c r="H617" s="16" t="s">
        <v>1735</v>
      </c>
      <c r="I617" s="33">
        <v>91.08</v>
      </c>
      <c r="J617" s="35">
        <v>91.08</v>
      </c>
      <c r="K617" s="35"/>
      <c r="L617" s="34">
        <v>46038</v>
      </c>
      <c r="M617" s="16"/>
      <c r="N617" s="34"/>
      <c r="O617" s="16"/>
      <c r="P617" s="34"/>
      <c r="Q617" s="46">
        <f t="shared" si="21"/>
        <v>91.08</v>
      </c>
      <c r="R617" s="47">
        <f t="shared" si="20"/>
        <v>0</v>
      </c>
      <c r="S617" s="48"/>
    </row>
    <row r="618" s="1" customFormat="1" customHeight="1" spans="1:19">
      <c r="A618" s="14">
        <v>694</v>
      </c>
      <c r="B618" s="20">
        <v>46023</v>
      </c>
      <c r="C618" s="16"/>
      <c r="D618" s="334" t="s">
        <v>1761</v>
      </c>
      <c r="E618" s="18" t="s">
        <v>1762</v>
      </c>
      <c r="F618" s="26" t="s">
        <v>26</v>
      </c>
      <c r="G618" s="26" t="s">
        <v>1734</v>
      </c>
      <c r="H618" s="16" t="s">
        <v>1735</v>
      </c>
      <c r="I618" s="33">
        <v>418.42</v>
      </c>
      <c r="J618" s="35">
        <v>418.42</v>
      </c>
      <c r="K618" s="35"/>
      <c r="L618" s="34">
        <v>46034</v>
      </c>
      <c r="M618" s="16"/>
      <c r="N618" s="34"/>
      <c r="O618" s="16"/>
      <c r="P618" s="34"/>
      <c r="Q618" s="46">
        <f t="shared" si="21"/>
        <v>418.42</v>
      </c>
      <c r="R618" s="47">
        <f t="shared" si="20"/>
        <v>0</v>
      </c>
      <c r="S618" s="48"/>
    </row>
    <row r="619" s="1" customFormat="1" customHeight="1" spans="1:19">
      <c r="A619" s="14">
        <v>695</v>
      </c>
      <c r="B619" s="20">
        <v>46023</v>
      </c>
      <c r="C619" s="16"/>
      <c r="D619" s="334" t="s">
        <v>1901</v>
      </c>
      <c r="E619" s="18" t="s">
        <v>1902</v>
      </c>
      <c r="F619" s="26" t="s">
        <v>26</v>
      </c>
      <c r="G619" s="26" t="s">
        <v>1734</v>
      </c>
      <c r="H619" s="16" t="s">
        <v>1735</v>
      </c>
      <c r="I619" s="33">
        <v>180.27</v>
      </c>
      <c r="J619" s="35">
        <v>180.27</v>
      </c>
      <c r="K619" s="35"/>
      <c r="L619" s="34">
        <v>46034</v>
      </c>
      <c r="M619" s="16"/>
      <c r="N619" s="34"/>
      <c r="O619" s="35"/>
      <c r="P619" s="34"/>
      <c r="Q619" s="46">
        <f t="shared" si="21"/>
        <v>180.27</v>
      </c>
      <c r="R619" s="47">
        <f t="shared" si="20"/>
        <v>0</v>
      </c>
      <c r="S619" s="48"/>
    </row>
    <row r="620" s="1" customFormat="1" customHeight="1" spans="1:19">
      <c r="A620" s="14">
        <v>696</v>
      </c>
      <c r="B620" s="20">
        <v>46023</v>
      </c>
      <c r="C620" s="16"/>
      <c r="D620" s="334" t="s">
        <v>1821</v>
      </c>
      <c r="E620" s="18" t="s">
        <v>1822</v>
      </c>
      <c r="F620" s="26" t="s">
        <v>26</v>
      </c>
      <c r="G620" s="26" t="s">
        <v>1734</v>
      </c>
      <c r="H620" s="16" t="s">
        <v>1735</v>
      </c>
      <c r="I620" s="33">
        <v>117.65</v>
      </c>
      <c r="J620" s="35">
        <v>117.65</v>
      </c>
      <c r="K620" s="35"/>
      <c r="L620" s="34">
        <v>46034</v>
      </c>
      <c r="M620" s="16"/>
      <c r="N620" s="34"/>
      <c r="O620" s="35"/>
      <c r="P620" s="34"/>
      <c r="Q620" s="46">
        <f t="shared" si="21"/>
        <v>117.65</v>
      </c>
      <c r="R620" s="47">
        <f t="shared" si="20"/>
        <v>0</v>
      </c>
      <c r="S620" s="48"/>
    </row>
    <row r="621" s="1" customFormat="1" customHeight="1" spans="1:19">
      <c r="A621" s="14">
        <v>697</v>
      </c>
      <c r="B621" s="20">
        <v>46023</v>
      </c>
      <c r="C621" s="16"/>
      <c r="D621" s="334" t="s">
        <v>1764</v>
      </c>
      <c r="E621" s="18" t="s">
        <v>1765</v>
      </c>
      <c r="F621" s="26" t="s">
        <v>26</v>
      </c>
      <c r="G621" s="26" t="s">
        <v>1734</v>
      </c>
      <c r="H621" s="16" t="s">
        <v>1735</v>
      </c>
      <c r="I621" s="33">
        <v>537.97</v>
      </c>
      <c r="J621" s="35">
        <v>537.97</v>
      </c>
      <c r="K621" s="35"/>
      <c r="L621" s="34">
        <v>46034</v>
      </c>
      <c r="M621" s="16"/>
      <c r="N621" s="34"/>
      <c r="O621" s="35"/>
      <c r="P621" s="34"/>
      <c r="Q621" s="46">
        <f t="shared" si="21"/>
        <v>537.97</v>
      </c>
      <c r="R621" s="47">
        <f t="shared" si="20"/>
        <v>0</v>
      </c>
      <c r="S621" s="48"/>
    </row>
    <row r="622" s="1" customFormat="1" customHeight="1" spans="1:19">
      <c r="A622" s="14">
        <v>698</v>
      </c>
      <c r="B622" s="20">
        <v>46023</v>
      </c>
      <c r="C622" s="16"/>
      <c r="D622" s="334" t="s">
        <v>1842</v>
      </c>
      <c r="E622" s="18" t="s">
        <v>1843</v>
      </c>
      <c r="F622" s="26" t="s">
        <v>26</v>
      </c>
      <c r="G622" s="26" t="s">
        <v>1734</v>
      </c>
      <c r="H622" s="16" t="s">
        <v>1735</v>
      </c>
      <c r="I622" s="33">
        <v>132.83</v>
      </c>
      <c r="J622" s="35">
        <v>132.83</v>
      </c>
      <c r="K622" s="35"/>
      <c r="L622" s="34">
        <v>46036</v>
      </c>
      <c r="M622" s="16"/>
      <c r="N622" s="34"/>
      <c r="O622" s="35"/>
      <c r="P622" s="34"/>
      <c r="Q622" s="46">
        <f t="shared" si="21"/>
        <v>132.83</v>
      </c>
      <c r="R622" s="47">
        <f t="shared" si="20"/>
        <v>0</v>
      </c>
      <c r="S622" s="48"/>
    </row>
    <row r="623" s="1" customFormat="1" customHeight="1" spans="1:19">
      <c r="A623" s="14">
        <v>699</v>
      </c>
      <c r="B623" s="20">
        <v>46023</v>
      </c>
      <c r="C623" s="16" t="s">
        <v>1737</v>
      </c>
      <c r="D623" s="17">
        <v>10</v>
      </c>
      <c r="E623" s="18" t="s">
        <v>1903</v>
      </c>
      <c r="F623" s="26" t="s">
        <v>26</v>
      </c>
      <c r="G623" s="26" t="s">
        <v>1734</v>
      </c>
      <c r="H623" s="16" t="s">
        <v>1735</v>
      </c>
      <c r="I623" s="33">
        <v>232.46</v>
      </c>
      <c r="J623" s="35">
        <v>232.46</v>
      </c>
      <c r="K623" s="35"/>
      <c r="L623" s="34">
        <v>46034</v>
      </c>
      <c r="M623" s="16"/>
      <c r="N623" s="34"/>
      <c r="O623" s="16"/>
      <c r="P623" s="34"/>
      <c r="Q623" s="46">
        <f t="shared" si="21"/>
        <v>232.46</v>
      </c>
      <c r="R623" s="47">
        <f t="shared" si="20"/>
        <v>0</v>
      </c>
      <c r="S623" s="48"/>
    </row>
    <row r="624" s="1" customFormat="1" customHeight="1" spans="1:19">
      <c r="A624" s="14">
        <v>700</v>
      </c>
      <c r="B624" s="20">
        <v>46023</v>
      </c>
      <c r="C624" s="16"/>
      <c r="D624" s="17">
        <v>15</v>
      </c>
      <c r="E624" s="18" t="s">
        <v>1739</v>
      </c>
      <c r="F624" s="26" t="s">
        <v>26</v>
      </c>
      <c r="G624" s="26" t="s">
        <v>1734</v>
      </c>
      <c r="H624" s="16" t="s">
        <v>1735</v>
      </c>
      <c r="I624" s="33">
        <v>0</v>
      </c>
      <c r="J624" s="35"/>
      <c r="K624" s="35"/>
      <c r="L624" s="34"/>
      <c r="M624" s="16"/>
      <c r="N624" s="34"/>
      <c r="O624" s="16"/>
      <c r="P624" s="34"/>
      <c r="Q624" s="46">
        <f t="shared" si="21"/>
        <v>0</v>
      </c>
      <c r="R624" s="47">
        <f t="shared" si="20"/>
        <v>0</v>
      </c>
      <c r="S624" s="48"/>
    </row>
    <row r="625" s="1" customFormat="1" customHeight="1" spans="1:19">
      <c r="A625" s="14">
        <v>701</v>
      </c>
      <c r="B625" s="20">
        <v>46023</v>
      </c>
      <c r="C625" s="16"/>
      <c r="D625" s="17">
        <v>21</v>
      </c>
      <c r="E625" s="18" t="s">
        <v>1739</v>
      </c>
      <c r="F625" s="26" t="s">
        <v>26</v>
      </c>
      <c r="G625" s="26" t="s">
        <v>1734</v>
      </c>
      <c r="H625" s="16" t="s">
        <v>1735</v>
      </c>
      <c r="I625" s="33">
        <v>166.04</v>
      </c>
      <c r="J625" s="35">
        <v>166.04</v>
      </c>
      <c r="K625" s="35"/>
      <c r="L625" s="34">
        <v>46034</v>
      </c>
      <c r="M625" s="16"/>
      <c r="N625" s="34"/>
      <c r="O625" s="16"/>
      <c r="P625" s="34"/>
      <c r="Q625" s="46">
        <f t="shared" si="21"/>
        <v>166.04</v>
      </c>
      <c r="R625" s="47">
        <f t="shared" si="20"/>
        <v>0</v>
      </c>
      <c r="S625" s="48"/>
    </row>
    <row r="626" s="1" customFormat="1" customHeight="1" spans="1:19">
      <c r="A626" s="14">
        <v>702</v>
      </c>
      <c r="B626" s="20">
        <v>46023</v>
      </c>
      <c r="C626" s="16"/>
      <c r="D626" s="17">
        <v>16</v>
      </c>
      <c r="E626" s="23" t="s">
        <v>1774</v>
      </c>
      <c r="F626" s="26" t="s">
        <v>26</v>
      </c>
      <c r="G626" s="26" t="s">
        <v>1734</v>
      </c>
      <c r="H626" s="16" t="s">
        <v>1735</v>
      </c>
      <c r="I626" s="33">
        <v>0</v>
      </c>
      <c r="J626" s="35"/>
      <c r="K626" s="35"/>
      <c r="L626" s="34"/>
      <c r="M626" s="16"/>
      <c r="N626" s="34"/>
      <c r="O626" s="35"/>
      <c r="P626" s="34"/>
      <c r="Q626" s="46">
        <f t="shared" si="21"/>
        <v>0</v>
      </c>
      <c r="R626" s="47">
        <f t="shared" si="20"/>
        <v>0</v>
      </c>
      <c r="S626" s="48"/>
    </row>
    <row r="627" s="1" customFormat="1" customHeight="1" spans="1:19">
      <c r="A627" s="14">
        <v>703</v>
      </c>
      <c r="B627" s="20">
        <v>46023</v>
      </c>
      <c r="C627" s="16"/>
      <c r="D627" s="17" t="s">
        <v>1904</v>
      </c>
      <c r="E627" s="18" t="s">
        <v>1774</v>
      </c>
      <c r="F627" s="26" t="s">
        <v>26</v>
      </c>
      <c r="G627" s="26" t="s">
        <v>1734</v>
      </c>
      <c r="H627" s="16" t="s">
        <v>1735</v>
      </c>
      <c r="I627" s="33">
        <v>148.01</v>
      </c>
      <c r="J627" s="35">
        <v>148.01</v>
      </c>
      <c r="K627" s="35"/>
      <c r="L627" s="34">
        <v>46034</v>
      </c>
      <c r="M627" s="16"/>
      <c r="N627" s="34"/>
      <c r="O627" s="35"/>
      <c r="P627" s="34"/>
      <c r="Q627" s="46">
        <f t="shared" si="21"/>
        <v>148.01</v>
      </c>
      <c r="R627" s="47">
        <f t="shared" si="20"/>
        <v>0</v>
      </c>
      <c r="S627" s="48"/>
    </row>
    <row r="628" s="1" customFormat="1" customHeight="1" spans="1:19">
      <c r="A628" s="14">
        <v>704</v>
      </c>
      <c r="B628" s="20">
        <v>46023</v>
      </c>
      <c r="C628" s="16"/>
      <c r="D628" s="334" t="s">
        <v>1838</v>
      </c>
      <c r="E628" s="18" t="s">
        <v>1839</v>
      </c>
      <c r="F628" s="26" t="s">
        <v>26</v>
      </c>
      <c r="G628" s="26" t="s">
        <v>1734</v>
      </c>
      <c r="H628" s="16" t="s">
        <v>1735</v>
      </c>
      <c r="I628" s="33">
        <v>347.26</v>
      </c>
      <c r="J628" s="35">
        <v>347.26</v>
      </c>
      <c r="K628" s="35"/>
      <c r="L628" s="34">
        <v>46034</v>
      </c>
      <c r="M628" s="16"/>
      <c r="N628" s="34"/>
      <c r="O628" s="35"/>
      <c r="P628" s="34"/>
      <c r="Q628" s="46">
        <f t="shared" si="21"/>
        <v>347.26</v>
      </c>
      <c r="R628" s="47">
        <f t="shared" si="20"/>
        <v>0</v>
      </c>
      <c r="S628" s="48"/>
    </row>
    <row r="629" s="1" customFormat="1" customHeight="1" spans="1:19">
      <c r="A629" s="14">
        <v>705</v>
      </c>
      <c r="B629" s="20">
        <v>46023</v>
      </c>
      <c r="C629" s="16"/>
      <c r="D629" s="17">
        <v>13</v>
      </c>
      <c r="E629" s="18" t="s">
        <v>1763</v>
      </c>
      <c r="F629" s="26" t="s">
        <v>26</v>
      </c>
      <c r="G629" s="26" t="s">
        <v>1734</v>
      </c>
      <c r="H629" s="16" t="s">
        <v>1735</v>
      </c>
      <c r="I629" s="33">
        <v>383.32</v>
      </c>
      <c r="J629" s="35">
        <v>383.32</v>
      </c>
      <c r="K629" s="35"/>
      <c r="L629" s="34">
        <v>46035</v>
      </c>
      <c r="M629" s="16"/>
      <c r="N629" s="34"/>
      <c r="O629" s="35"/>
      <c r="P629" s="34"/>
      <c r="Q629" s="46">
        <f t="shared" si="21"/>
        <v>383.32</v>
      </c>
      <c r="R629" s="47">
        <f t="shared" si="20"/>
        <v>0</v>
      </c>
      <c r="S629" s="48"/>
    </row>
    <row r="630" s="1" customFormat="1" customHeight="1" spans="1:19">
      <c r="A630" s="14">
        <v>706</v>
      </c>
      <c r="B630" s="20">
        <v>46023</v>
      </c>
      <c r="C630" s="16"/>
      <c r="D630" s="17" t="s">
        <v>1834</v>
      </c>
      <c r="E630" s="18" t="s">
        <v>1835</v>
      </c>
      <c r="F630" s="26" t="s">
        <v>26</v>
      </c>
      <c r="G630" s="26" t="s">
        <v>1734</v>
      </c>
      <c r="H630" s="16" t="s">
        <v>1735</v>
      </c>
      <c r="I630" s="33">
        <v>168.89</v>
      </c>
      <c r="J630" s="35">
        <v>168.89</v>
      </c>
      <c r="K630" s="35"/>
      <c r="L630" s="34">
        <v>46036</v>
      </c>
      <c r="M630" s="16"/>
      <c r="N630" s="34"/>
      <c r="O630" s="16"/>
      <c r="P630" s="34"/>
      <c r="Q630" s="46">
        <f t="shared" si="21"/>
        <v>168.89</v>
      </c>
      <c r="R630" s="47">
        <f t="shared" si="20"/>
        <v>0</v>
      </c>
      <c r="S630" s="48"/>
    </row>
    <row r="631" s="1" customFormat="1" customHeight="1" spans="1:19">
      <c r="A631" s="14">
        <v>707</v>
      </c>
      <c r="B631" s="20">
        <v>46023</v>
      </c>
      <c r="C631" s="16"/>
      <c r="D631" s="17" t="s">
        <v>1759</v>
      </c>
      <c r="E631" s="18" t="s">
        <v>1760</v>
      </c>
      <c r="F631" s="26" t="s">
        <v>26</v>
      </c>
      <c r="G631" s="26" t="s">
        <v>1734</v>
      </c>
      <c r="H631" s="16" t="s">
        <v>1735</v>
      </c>
      <c r="I631" s="33">
        <v>373.83</v>
      </c>
      <c r="J631" s="35">
        <v>373.83</v>
      </c>
      <c r="K631" s="35"/>
      <c r="L631" s="34">
        <v>46034</v>
      </c>
      <c r="M631" s="16"/>
      <c r="N631" s="34"/>
      <c r="O631" s="16"/>
      <c r="P631" s="34"/>
      <c r="Q631" s="46">
        <f t="shared" si="21"/>
        <v>373.83</v>
      </c>
      <c r="R631" s="47">
        <f t="shared" si="20"/>
        <v>0</v>
      </c>
      <c r="S631" s="48"/>
    </row>
    <row r="632" s="1" customFormat="1" customHeight="1" spans="1:19">
      <c r="A632" s="14">
        <v>708</v>
      </c>
      <c r="B632" s="20">
        <v>46023</v>
      </c>
      <c r="C632" s="16"/>
      <c r="D632" s="17">
        <v>12</v>
      </c>
      <c r="E632" s="18" t="s">
        <v>1814</v>
      </c>
      <c r="F632" s="26" t="s">
        <v>26</v>
      </c>
      <c r="G632" s="26" t="s">
        <v>1734</v>
      </c>
      <c r="H632" s="16" t="s">
        <v>1735</v>
      </c>
      <c r="I632" s="33">
        <v>27.52</v>
      </c>
      <c r="J632" s="35">
        <v>27.52</v>
      </c>
      <c r="K632" s="35"/>
      <c r="L632" s="34">
        <v>46040</v>
      </c>
      <c r="M632" s="16"/>
      <c r="N632" s="34"/>
      <c r="O632" s="16"/>
      <c r="P632" s="34"/>
      <c r="Q632" s="46">
        <f t="shared" si="21"/>
        <v>27.52</v>
      </c>
      <c r="R632" s="47">
        <f t="shared" si="20"/>
        <v>0</v>
      </c>
      <c r="S632" s="48"/>
    </row>
    <row r="633" s="1" customFormat="1" customHeight="1" spans="1:19">
      <c r="A633" s="14">
        <v>709</v>
      </c>
      <c r="B633" s="20">
        <v>46023</v>
      </c>
      <c r="C633" s="16" t="s">
        <v>1737</v>
      </c>
      <c r="D633" s="17">
        <v>11</v>
      </c>
      <c r="E633" s="18" t="s">
        <v>1829</v>
      </c>
      <c r="F633" s="26" t="s">
        <v>26</v>
      </c>
      <c r="G633" s="26" t="s">
        <v>1734</v>
      </c>
      <c r="H633" s="16" t="s">
        <v>1735</v>
      </c>
      <c r="I633" s="33">
        <v>123.34</v>
      </c>
      <c r="J633" s="35">
        <v>123.34</v>
      </c>
      <c r="K633" s="35"/>
      <c r="L633" s="34">
        <v>46034</v>
      </c>
      <c r="M633" s="16"/>
      <c r="N633" s="34"/>
      <c r="O633" s="35"/>
      <c r="P633" s="34"/>
      <c r="Q633" s="46">
        <f t="shared" si="21"/>
        <v>123.34</v>
      </c>
      <c r="R633" s="47">
        <f t="shared" si="20"/>
        <v>0</v>
      </c>
      <c r="S633" s="48"/>
    </row>
    <row r="634" s="1" customFormat="1" customHeight="1" spans="1:19">
      <c r="A634" s="14">
        <v>710</v>
      </c>
      <c r="B634" s="20">
        <v>46023</v>
      </c>
      <c r="C634" s="16"/>
      <c r="D634" s="17" t="s">
        <v>1905</v>
      </c>
      <c r="E634" s="18" t="s">
        <v>1906</v>
      </c>
      <c r="F634" s="26" t="s">
        <v>26</v>
      </c>
      <c r="G634" s="26" t="s">
        <v>1734</v>
      </c>
      <c r="H634" s="16" t="s">
        <v>1735</v>
      </c>
      <c r="I634" s="33">
        <v>25.62</v>
      </c>
      <c r="J634" s="35">
        <v>25.62</v>
      </c>
      <c r="K634" s="35"/>
      <c r="L634" s="34">
        <v>46035</v>
      </c>
      <c r="M634" s="16"/>
      <c r="N634" s="34"/>
      <c r="O634" s="35"/>
      <c r="P634" s="34"/>
      <c r="Q634" s="46">
        <f t="shared" si="21"/>
        <v>25.62</v>
      </c>
      <c r="R634" s="47">
        <f t="shared" si="20"/>
        <v>0</v>
      </c>
      <c r="S634" s="48"/>
    </row>
    <row r="635" s="1" customFormat="1" customHeight="1" spans="1:19">
      <c r="A635" s="14">
        <v>711</v>
      </c>
      <c r="B635" s="20">
        <v>46023</v>
      </c>
      <c r="C635" s="16"/>
      <c r="D635" s="334" t="s">
        <v>1907</v>
      </c>
      <c r="E635" s="18" t="s">
        <v>1815</v>
      </c>
      <c r="F635" s="26" t="s">
        <v>26</v>
      </c>
      <c r="G635" s="26" t="s">
        <v>1734</v>
      </c>
      <c r="H635" s="16" t="s">
        <v>1735</v>
      </c>
      <c r="I635" s="33">
        <v>859.61</v>
      </c>
      <c r="J635" s="35">
        <v>859.61</v>
      </c>
      <c r="K635" s="35"/>
      <c r="L635" s="34">
        <v>46034</v>
      </c>
      <c r="M635" s="16"/>
      <c r="N635" s="34"/>
      <c r="O635" s="35"/>
      <c r="P635" s="34"/>
      <c r="Q635" s="46">
        <f t="shared" si="21"/>
        <v>859.61</v>
      </c>
      <c r="R635" s="47">
        <f t="shared" si="20"/>
        <v>0</v>
      </c>
      <c r="S635" s="48"/>
    </row>
    <row r="636" s="1" customFormat="1" customHeight="1" spans="1:19">
      <c r="A636" s="14">
        <v>712</v>
      </c>
      <c r="B636" s="20">
        <v>46023</v>
      </c>
      <c r="C636" s="16"/>
      <c r="D636" s="17">
        <v>20</v>
      </c>
      <c r="E636" s="18" t="s">
        <v>1766</v>
      </c>
      <c r="F636" s="26" t="s">
        <v>26</v>
      </c>
      <c r="G636" s="26" t="s">
        <v>1734</v>
      </c>
      <c r="H636" s="16" t="s">
        <v>1735</v>
      </c>
      <c r="I636" s="33">
        <v>67.36</v>
      </c>
      <c r="J636" s="35">
        <v>67.36</v>
      </c>
      <c r="K636" s="35"/>
      <c r="L636" s="34">
        <v>46035</v>
      </c>
      <c r="M636" s="16"/>
      <c r="N636" s="34"/>
      <c r="O636" s="35"/>
      <c r="P636" s="34"/>
      <c r="Q636" s="46">
        <f t="shared" si="21"/>
        <v>67.36</v>
      </c>
      <c r="R636" s="47">
        <f t="shared" si="20"/>
        <v>0</v>
      </c>
      <c r="S636" s="48"/>
    </row>
    <row r="637" s="1" customFormat="1" customHeight="1" spans="1:19">
      <c r="A637" s="14">
        <v>713</v>
      </c>
      <c r="B637" s="20">
        <v>46023</v>
      </c>
      <c r="C637" s="16"/>
      <c r="D637" s="17">
        <v>14</v>
      </c>
      <c r="E637" s="18" t="s">
        <v>1908</v>
      </c>
      <c r="F637" s="26" t="s">
        <v>26</v>
      </c>
      <c r="G637" s="26" t="s">
        <v>1734</v>
      </c>
      <c r="H637" s="16" t="s">
        <v>1735</v>
      </c>
      <c r="I637" s="33">
        <v>134.73</v>
      </c>
      <c r="J637" s="35">
        <v>134.73</v>
      </c>
      <c r="K637" s="35"/>
      <c r="L637" s="34">
        <v>46034</v>
      </c>
      <c r="M637" s="16"/>
      <c r="N637" s="34"/>
      <c r="O637" s="16"/>
      <c r="P637" s="34"/>
      <c r="Q637" s="46">
        <f t="shared" si="21"/>
        <v>134.73</v>
      </c>
      <c r="R637" s="47">
        <f t="shared" si="20"/>
        <v>0</v>
      </c>
      <c r="S637" s="48"/>
    </row>
    <row r="638" s="1" customFormat="1" customHeight="1" spans="1:19">
      <c r="A638" s="14">
        <v>714</v>
      </c>
      <c r="B638" s="20">
        <v>46023</v>
      </c>
      <c r="C638" s="16"/>
      <c r="D638" s="17" t="s">
        <v>1909</v>
      </c>
      <c r="E638" s="18" t="s">
        <v>1910</v>
      </c>
      <c r="F638" s="26" t="s">
        <v>26</v>
      </c>
      <c r="G638" s="26" t="s">
        <v>1734</v>
      </c>
      <c r="H638" s="16" t="s">
        <v>1735</v>
      </c>
      <c r="I638" s="33">
        <v>295.08</v>
      </c>
      <c r="J638" s="35">
        <v>295.08</v>
      </c>
      <c r="K638" s="35"/>
      <c r="L638" s="34">
        <v>46034</v>
      </c>
      <c r="M638" s="16"/>
      <c r="N638" s="34"/>
      <c r="O638" s="16"/>
      <c r="P638" s="34"/>
      <c r="Q638" s="46">
        <f t="shared" si="21"/>
        <v>295.08</v>
      </c>
      <c r="R638" s="47">
        <f t="shared" si="20"/>
        <v>0</v>
      </c>
      <c r="S638" s="48"/>
    </row>
    <row r="639" s="1" customFormat="1" customHeight="1" spans="1:19">
      <c r="A639" s="14">
        <v>715</v>
      </c>
      <c r="B639" s="20">
        <v>46023</v>
      </c>
      <c r="C639" s="16"/>
      <c r="D639" s="17"/>
      <c r="E639" s="18" t="s">
        <v>1924</v>
      </c>
      <c r="F639" s="26" t="s">
        <v>26</v>
      </c>
      <c r="G639" s="26" t="s">
        <v>1734</v>
      </c>
      <c r="H639" s="16" t="s">
        <v>1735</v>
      </c>
      <c r="I639" s="33">
        <v>117.08</v>
      </c>
      <c r="J639" s="35">
        <v>117.08</v>
      </c>
      <c r="K639" s="35"/>
      <c r="L639" s="34">
        <v>46064</v>
      </c>
      <c r="M639" s="16"/>
      <c r="N639" s="34"/>
      <c r="O639" s="16"/>
      <c r="P639" s="34"/>
      <c r="Q639" s="46">
        <f t="shared" si="21"/>
        <v>117.08</v>
      </c>
      <c r="R639" s="47">
        <f t="shared" si="20"/>
        <v>0</v>
      </c>
      <c r="S639" s="48"/>
    </row>
    <row r="640" s="1" customFormat="1" customHeight="1" spans="1:19">
      <c r="A640" s="14">
        <v>719</v>
      </c>
      <c r="B640" s="20">
        <v>46054</v>
      </c>
      <c r="C640" s="66" t="s">
        <v>1934</v>
      </c>
      <c r="D640" s="17" t="s">
        <v>1011</v>
      </c>
      <c r="E640" s="18" t="s">
        <v>1844</v>
      </c>
      <c r="F640" s="26" t="s">
        <v>98</v>
      </c>
      <c r="G640" s="19" t="s">
        <v>1734</v>
      </c>
      <c r="H640" s="16" t="s">
        <v>1741</v>
      </c>
      <c r="I640" s="33"/>
      <c r="J640" s="35"/>
      <c r="K640" s="35"/>
      <c r="L640" s="34"/>
      <c r="M640" s="16"/>
      <c r="N640" s="34"/>
      <c r="O640" s="35"/>
      <c r="P640" s="16"/>
      <c r="Q640" s="46">
        <f t="shared" si="21"/>
        <v>0</v>
      </c>
      <c r="R640" s="47">
        <f t="shared" si="20"/>
        <v>0</v>
      </c>
      <c r="S640" s="48"/>
    </row>
    <row r="641" s="1" customFormat="1" customHeight="1" spans="1:19">
      <c r="A641" s="14">
        <v>720</v>
      </c>
      <c r="B641" s="20">
        <v>46054</v>
      </c>
      <c r="C641" s="66" t="s">
        <v>1934</v>
      </c>
      <c r="D641" s="17" t="s">
        <v>1847</v>
      </c>
      <c r="E641" s="18" t="s">
        <v>1845</v>
      </c>
      <c r="F641" s="26" t="s">
        <v>98</v>
      </c>
      <c r="G641" s="19" t="s">
        <v>1734</v>
      </c>
      <c r="H641" s="16" t="s">
        <v>1741</v>
      </c>
      <c r="I641" s="33"/>
      <c r="J641" s="35"/>
      <c r="K641" s="35"/>
      <c r="L641" s="34"/>
      <c r="M641" s="16"/>
      <c r="N641" s="34"/>
      <c r="O641" s="16"/>
      <c r="P641" s="16"/>
      <c r="Q641" s="46">
        <f t="shared" si="21"/>
        <v>0</v>
      </c>
      <c r="R641" s="47">
        <f t="shared" si="20"/>
        <v>0</v>
      </c>
      <c r="S641" s="48"/>
    </row>
    <row r="642" s="1" customFormat="1" customHeight="1" spans="1:19">
      <c r="A642" s="14">
        <v>723</v>
      </c>
      <c r="B642" s="20">
        <v>46054</v>
      </c>
      <c r="C642" s="69" t="s">
        <v>1935</v>
      </c>
      <c r="D642" s="17" t="s">
        <v>954</v>
      </c>
      <c r="E642" s="18" t="s">
        <v>956</v>
      </c>
      <c r="F642" s="26" t="s">
        <v>98</v>
      </c>
      <c r="G642" s="19" t="s">
        <v>1734</v>
      </c>
      <c r="H642" s="16" t="s">
        <v>1741</v>
      </c>
      <c r="I642" s="33">
        <v>372.6</v>
      </c>
      <c r="J642" s="35">
        <v>372.6</v>
      </c>
      <c r="K642" s="35"/>
      <c r="L642" s="34">
        <v>46084</v>
      </c>
      <c r="M642" s="16"/>
      <c r="N642" s="34"/>
      <c r="O642" s="35"/>
      <c r="P642" s="16"/>
      <c r="Q642" s="46">
        <f t="shared" si="21"/>
        <v>372.6</v>
      </c>
      <c r="R642" s="47">
        <f t="shared" si="20"/>
        <v>0</v>
      </c>
      <c r="S642" s="48"/>
    </row>
    <row r="643" s="1" customFormat="1" customHeight="1" spans="1:19">
      <c r="A643" s="14">
        <v>724</v>
      </c>
      <c r="B643" s="20">
        <v>46054</v>
      </c>
      <c r="C643" s="69" t="s">
        <v>1935</v>
      </c>
      <c r="D643" s="17" t="s">
        <v>954</v>
      </c>
      <c r="E643" s="18" t="s">
        <v>956</v>
      </c>
      <c r="F643" s="26" t="s">
        <v>98</v>
      </c>
      <c r="G643" s="19" t="s">
        <v>1734</v>
      </c>
      <c r="H643" s="16" t="s">
        <v>1741</v>
      </c>
      <c r="I643" s="33">
        <v>633.42</v>
      </c>
      <c r="J643" s="35">
        <v>633.42</v>
      </c>
      <c r="K643" s="35"/>
      <c r="L643" s="34">
        <v>46084</v>
      </c>
      <c r="M643" s="16"/>
      <c r="N643" s="34"/>
      <c r="O643" s="35"/>
      <c r="P643" s="16"/>
      <c r="Q643" s="46">
        <f t="shared" si="21"/>
        <v>633.42</v>
      </c>
      <c r="R643" s="47">
        <f t="shared" si="20"/>
        <v>0</v>
      </c>
      <c r="S643" s="48"/>
    </row>
    <row r="644" s="1" customFormat="1" customHeight="1" spans="1:19">
      <c r="A644" s="14">
        <v>725</v>
      </c>
      <c r="B644" s="20">
        <v>46054</v>
      </c>
      <c r="C644" s="66" t="s">
        <v>16</v>
      </c>
      <c r="D644" s="17" t="s">
        <v>1847</v>
      </c>
      <c r="E644" s="18" t="s">
        <v>1936</v>
      </c>
      <c r="F644" s="26" t="s">
        <v>98</v>
      </c>
      <c r="G644" s="19" t="s">
        <v>1734</v>
      </c>
      <c r="H644" s="16" t="s">
        <v>1741</v>
      </c>
      <c r="I644" s="33">
        <v>0</v>
      </c>
      <c r="J644" s="35"/>
      <c r="K644" s="35"/>
      <c r="L644" s="34"/>
      <c r="M644" s="16"/>
      <c r="N644" s="34"/>
      <c r="O644" s="35"/>
      <c r="P644" s="16"/>
      <c r="Q644" s="46">
        <f t="shared" si="21"/>
        <v>0</v>
      </c>
      <c r="R644" s="47">
        <f t="shared" si="20"/>
        <v>0</v>
      </c>
      <c r="S644" s="48"/>
    </row>
    <row r="645" s="1" customFormat="1" customHeight="1" spans="1:19">
      <c r="A645" s="14">
        <v>726</v>
      </c>
      <c r="B645" s="20">
        <v>46054</v>
      </c>
      <c r="C645" s="66" t="s">
        <v>16</v>
      </c>
      <c r="D645" s="17" t="s">
        <v>1847</v>
      </c>
      <c r="E645" s="18" t="s">
        <v>1848</v>
      </c>
      <c r="F645" s="26" t="s">
        <v>98</v>
      </c>
      <c r="G645" s="19" t="s">
        <v>1734</v>
      </c>
      <c r="H645" s="16" t="s">
        <v>1741</v>
      </c>
      <c r="I645" s="33">
        <v>42.56</v>
      </c>
      <c r="J645" s="35">
        <v>42.56</v>
      </c>
      <c r="K645" s="35"/>
      <c r="L645" s="34">
        <v>46059</v>
      </c>
      <c r="M645" s="16"/>
      <c r="N645" s="34"/>
      <c r="O645" s="35"/>
      <c r="P645" s="16"/>
      <c r="Q645" s="46">
        <f t="shared" si="21"/>
        <v>42.56</v>
      </c>
      <c r="R645" s="47">
        <f t="shared" si="20"/>
        <v>0</v>
      </c>
      <c r="S645" s="48"/>
    </row>
    <row r="646" s="1" customFormat="1" customHeight="1" spans="1:19">
      <c r="A646" s="14">
        <v>727</v>
      </c>
      <c r="B646" s="20">
        <v>46054</v>
      </c>
      <c r="C646" s="66" t="s">
        <v>16</v>
      </c>
      <c r="D646" s="17" t="s">
        <v>946</v>
      </c>
      <c r="E646" s="18" t="s">
        <v>948</v>
      </c>
      <c r="F646" s="26" t="s">
        <v>98</v>
      </c>
      <c r="G646" s="19" t="s">
        <v>1734</v>
      </c>
      <c r="H646" s="16" t="s">
        <v>1741</v>
      </c>
      <c r="I646" s="33">
        <v>42.56</v>
      </c>
      <c r="J646" s="35">
        <v>42.56</v>
      </c>
      <c r="K646" s="35"/>
      <c r="L646" s="34">
        <v>46067</v>
      </c>
      <c r="M646" s="16"/>
      <c r="N646" s="34"/>
      <c r="O646" s="16"/>
      <c r="P646" s="16"/>
      <c r="Q646" s="46">
        <f t="shared" si="21"/>
        <v>42.56</v>
      </c>
      <c r="R646" s="47">
        <f t="shared" si="20"/>
        <v>0</v>
      </c>
      <c r="S646" s="48"/>
    </row>
    <row r="647" s="1" customFormat="1" customHeight="1" spans="1:19">
      <c r="A647" s="14">
        <v>728</v>
      </c>
      <c r="B647" s="20">
        <v>46054</v>
      </c>
      <c r="C647" s="66" t="s">
        <v>16</v>
      </c>
      <c r="D647" s="17" t="s">
        <v>1847</v>
      </c>
      <c r="E647" s="18" t="s">
        <v>1912</v>
      </c>
      <c r="F647" s="26" t="s">
        <v>98</v>
      </c>
      <c r="G647" s="19" t="s">
        <v>1734</v>
      </c>
      <c r="H647" s="16" t="s">
        <v>1741</v>
      </c>
      <c r="I647" s="33">
        <v>0</v>
      </c>
      <c r="J647" s="35"/>
      <c r="K647" s="35"/>
      <c r="L647" s="34"/>
      <c r="M647" s="16"/>
      <c r="N647" s="34"/>
      <c r="O647" s="16"/>
      <c r="P647" s="16"/>
      <c r="Q647" s="46">
        <f t="shared" si="21"/>
        <v>0</v>
      </c>
      <c r="R647" s="47">
        <f t="shared" si="20"/>
        <v>0</v>
      </c>
      <c r="S647" s="48"/>
    </row>
    <row r="648" s="1" customFormat="1" customHeight="1" spans="1:19">
      <c r="A648" s="14">
        <v>729</v>
      </c>
      <c r="B648" s="20">
        <v>46054</v>
      </c>
      <c r="C648" s="66" t="s">
        <v>16</v>
      </c>
      <c r="D648" s="17" t="s">
        <v>1847</v>
      </c>
      <c r="E648" s="18" t="s">
        <v>1836</v>
      </c>
      <c r="F648" s="26" t="s">
        <v>98</v>
      </c>
      <c r="G648" s="19" t="s">
        <v>1734</v>
      </c>
      <c r="H648" s="16" t="s">
        <v>1741</v>
      </c>
      <c r="I648" s="33">
        <v>18.24</v>
      </c>
      <c r="J648" s="35">
        <v>18.24</v>
      </c>
      <c r="K648" s="35"/>
      <c r="L648" s="34">
        <v>46090</v>
      </c>
      <c r="M648" s="16"/>
      <c r="N648" s="34"/>
      <c r="O648" s="16"/>
      <c r="P648" s="16"/>
      <c r="Q648" s="46">
        <f t="shared" si="21"/>
        <v>18.24</v>
      </c>
      <c r="R648" s="47">
        <f t="shared" si="20"/>
        <v>0</v>
      </c>
      <c r="S648" s="48" t="s">
        <v>1860</v>
      </c>
    </row>
    <row r="649" s="1" customFormat="1" customHeight="1" spans="1:19">
      <c r="A649" s="14">
        <v>731</v>
      </c>
      <c r="B649" s="20">
        <v>46054</v>
      </c>
      <c r="C649" s="66" t="s">
        <v>16</v>
      </c>
      <c r="D649" s="17" t="s">
        <v>43</v>
      </c>
      <c r="E649" s="18" t="s">
        <v>45</v>
      </c>
      <c r="F649" s="26" t="s">
        <v>98</v>
      </c>
      <c r="G649" s="19" t="s">
        <v>1734</v>
      </c>
      <c r="H649" s="16" t="s">
        <v>1741</v>
      </c>
      <c r="I649" s="33">
        <v>12.16</v>
      </c>
      <c r="J649" s="35">
        <v>12.16</v>
      </c>
      <c r="K649" s="35"/>
      <c r="L649" s="34">
        <v>46065</v>
      </c>
      <c r="M649" s="16"/>
      <c r="N649" s="34"/>
      <c r="O649" s="35"/>
      <c r="P649" s="16"/>
      <c r="Q649" s="46">
        <f t="shared" si="21"/>
        <v>12.16</v>
      </c>
      <c r="R649" s="47">
        <f t="shared" si="20"/>
        <v>0</v>
      </c>
      <c r="S649" s="48"/>
    </row>
    <row r="650" s="1" customFormat="1" customHeight="1" spans="1:19">
      <c r="A650" s="14">
        <v>732</v>
      </c>
      <c r="B650" s="20">
        <v>46054</v>
      </c>
      <c r="C650" s="24" t="s">
        <v>16</v>
      </c>
      <c r="D650" s="17">
        <v>1003</v>
      </c>
      <c r="E650" s="18" t="s">
        <v>79</v>
      </c>
      <c r="F650" s="26" t="s">
        <v>98</v>
      </c>
      <c r="G650" s="19" t="s">
        <v>1734</v>
      </c>
      <c r="H650" s="16" t="s">
        <v>1741</v>
      </c>
      <c r="I650" s="33">
        <v>12.16</v>
      </c>
      <c r="J650" s="35">
        <v>12.16</v>
      </c>
      <c r="K650" s="35"/>
      <c r="L650" s="34">
        <v>46060</v>
      </c>
      <c r="M650" s="16"/>
      <c r="N650" s="34"/>
      <c r="O650" s="35"/>
      <c r="P650" s="16"/>
      <c r="Q650" s="46">
        <f t="shared" si="21"/>
        <v>12.16</v>
      </c>
      <c r="R650" s="47">
        <f t="shared" si="20"/>
        <v>0</v>
      </c>
      <c r="S650" s="48"/>
    </row>
    <row r="651" s="1" customFormat="1" customHeight="1" spans="1:19">
      <c r="A651" s="14">
        <v>733</v>
      </c>
      <c r="B651" s="20">
        <v>46054</v>
      </c>
      <c r="C651" s="16" t="s">
        <v>16</v>
      </c>
      <c r="D651" s="17">
        <v>1008</v>
      </c>
      <c r="E651" s="18" t="s">
        <v>114</v>
      </c>
      <c r="F651" s="26" t="s">
        <v>98</v>
      </c>
      <c r="G651" s="19" t="s">
        <v>1734</v>
      </c>
      <c r="H651" s="16" t="s">
        <v>1741</v>
      </c>
      <c r="I651" s="33">
        <v>632.32</v>
      </c>
      <c r="J651" s="35">
        <v>632.32</v>
      </c>
      <c r="K651" s="35"/>
      <c r="L651" s="34">
        <v>46062</v>
      </c>
      <c r="M651" s="16"/>
      <c r="N651" s="34"/>
      <c r="O651" s="35"/>
      <c r="P651" s="16"/>
      <c r="Q651" s="46">
        <f t="shared" si="21"/>
        <v>632.32</v>
      </c>
      <c r="R651" s="47">
        <f t="shared" si="20"/>
        <v>0</v>
      </c>
      <c r="S651" s="48"/>
    </row>
    <row r="652" s="1" customFormat="1" customHeight="1" spans="1:19">
      <c r="A652" s="14">
        <v>734</v>
      </c>
      <c r="B652" s="20">
        <v>46054</v>
      </c>
      <c r="C652" s="66" t="s">
        <v>16</v>
      </c>
      <c r="D652" s="17" t="s">
        <v>1937</v>
      </c>
      <c r="E652" s="18" t="s">
        <v>120</v>
      </c>
      <c r="F652" s="26" t="s">
        <v>98</v>
      </c>
      <c r="G652" s="19" t="s">
        <v>1734</v>
      </c>
      <c r="H652" s="16" t="s">
        <v>1741</v>
      </c>
      <c r="I652" s="33">
        <v>772.16</v>
      </c>
      <c r="J652" s="35">
        <v>772.16</v>
      </c>
      <c r="K652" s="35"/>
      <c r="L652" s="34">
        <v>46063</v>
      </c>
      <c r="M652" s="16"/>
      <c r="N652" s="34"/>
      <c r="O652" s="16"/>
      <c r="P652" s="16"/>
      <c r="Q652" s="46">
        <f t="shared" si="21"/>
        <v>772.16</v>
      </c>
      <c r="R652" s="47">
        <f t="shared" si="20"/>
        <v>0</v>
      </c>
      <c r="S652" s="48"/>
    </row>
    <row r="653" s="1" customFormat="1" customHeight="1" spans="1:19">
      <c r="A653" s="14">
        <v>735</v>
      </c>
      <c r="B653" s="20">
        <v>46054</v>
      </c>
      <c r="C653" s="66" t="s">
        <v>16</v>
      </c>
      <c r="D653" s="17" t="s">
        <v>1800</v>
      </c>
      <c r="E653" s="18" t="s">
        <v>126</v>
      </c>
      <c r="F653" s="26" t="s">
        <v>98</v>
      </c>
      <c r="G653" s="19" t="s">
        <v>1734</v>
      </c>
      <c r="H653" s="16" t="s">
        <v>1741</v>
      </c>
      <c r="I653" s="33">
        <v>273.6</v>
      </c>
      <c r="J653" s="35">
        <v>273.6</v>
      </c>
      <c r="K653" s="35"/>
      <c r="L653" s="34">
        <v>46060</v>
      </c>
      <c r="M653" s="16"/>
      <c r="N653" s="34"/>
      <c r="O653" s="16"/>
      <c r="P653" s="16"/>
      <c r="Q653" s="46">
        <f t="shared" si="21"/>
        <v>273.6</v>
      </c>
      <c r="R653" s="47">
        <f t="shared" ref="R653:R716" si="22">I653-Q653</f>
        <v>0</v>
      </c>
      <c r="S653" s="48"/>
    </row>
    <row r="654" s="1" customFormat="1" customHeight="1" spans="1:19">
      <c r="A654" s="14">
        <v>737</v>
      </c>
      <c r="B654" s="20">
        <v>46054</v>
      </c>
      <c r="C654" s="66" t="s">
        <v>16</v>
      </c>
      <c r="D654" s="17" t="s">
        <v>1767</v>
      </c>
      <c r="E654" s="18" t="s">
        <v>1768</v>
      </c>
      <c r="F654" s="26" t="s">
        <v>98</v>
      </c>
      <c r="G654" s="19" t="s">
        <v>1734</v>
      </c>
      <c r="H654" s="16" t="s">
        <v>1741</v>
      </c>
      <c r="I654" s="33">
        <v>1039.68</v>
      </c>
      <c r="J654" s="35">
        <v>1039.68</v>
      </c>
      <c r="K654" s="35"/>
      <c r="L654" s="34">
        <v>46062</v>
      </c>
      <c r="M654" s="16"/>
      <c r="N654" s="34"/>
      <c r="O654" s="35"/>
      <c r="P654" s="16"/>
      <c r="Q654" s="46">
        <f t="shared" si="21"/>
        <v>1039.68</v>
      </c>
      <c r="R654" s="47">
        <f t="shared" si="22"/>
        <v>0</v>
      </c>
      <c r="S654" s="48"/>
    </row>
    <row r="655" s="1" customFormat="1" customHeight="1" spans="1:19">
      <c r="A655" s="14">
        <v>738</v>
      </c>
      <c r="B655" s="20">
        <v>46054</v>
      </c>
      <c r="C655" s="66" t="s">
        <v>285</v>
      </c>
      <c r="D655" s="17">
        <v>2001</v>
      </c>
      <c r="E655" s="18" t="s">
        <v>288</v>
      </c>
      <c r="F655" s="26" t="s">
        <v>98</v>
      </c>
      <c r="G655" s="19" t="s">
        <v>1734</v>
      </c>
      <c r="H655" s="16" t="s">
        <v>1741</v>
      </c>
      <c r="I655" s="33">
        <v>1246.4</v>
      </c>
      <c r="J655" s="35">
        <v>1246.4</v>
      </c>
      <c r="K655" s="35"/>
      <c r="L655" s="34">
        <v>46088</v>
      </c>
      <c r="M655" s="16"/>
      <c r="N655" s="34"/>
      <c r="O655" s="35"/>
      <c r="P655" s="16"/>
      <c r="Q655" s="46">
        <f t="shared" si="21"/>
        <v>1246.4</v>
      </c>
      <c r="R655" s="47">
        <f t="shared" si="22"/>
        <v>0</v>
      </c>
      <c r="S655" s="48"/>
    </row>
    <row r="656" s="1" customFormat="1" customHeight="1" spans="1:19">
      <c r="A656" s="14">
        <v>739</v>
      </c>
      <c r="B656" s="20">
        <v>46054</v>
      </c>
      <c r="C656" s="66" t="s">
        <v>285</v>
      </c>
      <c r="D656" s="17" t="s">
        <v>1756</v>
      </c>
      <c r="E656" s="18" t="s">
        <v>338</v>
      </c>
      <c r="F656" s="26" t="s">
        <v>98</v>
      </c>
      <c r="G656" s="19" t="s">
        <v>1734</v>
      </c>
      <c r="H656" s="16" t="s">
        <v>1741</v>
      </c>
      <c r="I656" s="33">
        <v>36.48</v>
      </c>
      <c r="J656" s="35">
        <v>36.48</v>
      </c>
      <c r="K656" s="35"/>
      <c r="L656" s="34">
        <v>46097</v>
      </c>
      <c r="M656" s="16"/>
      <c r="N656" s="34"/>
      <c r="O656" s="35"/>
      <c r="P656" s="16"/>
      <c r="Q656" s="46">
        <f t="shared" si="21"/>
        <v>36.48</v>
      </c>
      <c r="R656" s="47">
        <f t="shared" si="22"/>
        <v>0</v>
      </c>
      <c r="S656" s="48"/>
    </row>
    <row r="657" s="1" customFormat="1" customHeight="1" spans="1:19">
      <c r="A657" s="14">
        <v>740</v>
      </c>
      <c r="B657" s="20">
        <v>46054</v>
      </c>
      <c r="C657" s="66" t="s">
        <v>285</v>
      </c>
      <c r="D657" s="17">
        <v>2027</v>
      </c>
      <c r="E657" s="18" t="s">
        <v>452</v>
      </c>
      <c r="F657" s="26" t="s">
        <v>98</v>
      </c>
      <c r="G657" s="19" t="s">
        <v>1734</v>
      </c>
      <c r="H657" s="16" t="s">
        <v>1741</v>
      </c>
      <c r="I657" s="33">
        <v>24.32</v>
      </c>
      <c r="J657" s="35">
        <v>24.32</v>
      </c>
      <c r="K657" s="35"/>
      <c r="L657" s="34">
        <v>46228</v>
      </c>
      <c r="M657" s="16"/>
      <c r="N657" s="34"/>
      <c r="O657" s="35"/>
      <c r="P657" s="16"/>
      <c r="Q657" s="46">
        <f t="shared" si="21"/>
        <v>24.32</v>
      </c>
      <c r="R657" s="47">
        <f t="shared" si="22"/>
        <v>0</v>
      </c>
      <c r="S657" s="48"/>
    </row>
    <row r="658" s="1" customFormat="1" customHeight="1" spans="1:19">
      <c r="A658" s="14">
        <v>741</v>
      </c>
      <c r="B658" s="20">
        <v>46054</v>
      </c>
      <c r="C658" s="66" t="s">
        <v>285</v>
      </c>
      <c r="D658" s="17">
        <v>2036</v>
      </c>
      <c r="E658" s="18" t="s">
        <v>479</v>
      </c>
      <c r="F658" s="26" t="s">
        <v>98</v>
      </c>
      <c r="G658" s="19" t="s">
        <v>1734</v>
      </c>
      <c r="H658" s="16" t="s">
        <v>1741</v>
      </c>
      <c r="I658" s="33">
        <v>18.24</v>
      </c>
      <c r="J658" s="35">
        <v>18.24</v>
      </c>
      <c r="K658" s="35"/>
      <c r="L658" s="34">
        <v>46088</v>
      </c>
      <c r="M658" s="16"/>
      <c r="N658" s="34"/>
      <c r="O658" s="16"/>
      <c r="P658" s="16"/>
      <c r="Q658" s="46">
        <f t="shared" si="21"/>
        <v>18.24</v>
      </c>
      <c r="R658" s="47">
        <f t="shared" si="22"/>
        <v>0</v>
      </c>
      <c r="S658" s="48"/>
    </row>
    <row r="659" s="1" customFormat="1" customHeight="1" spans="1:19">
      <c r="A659" s="14">
        <v>742</v>
      </c>
      <c r="B659" s="20">
        <v>46054</v>
      </c>
      <c r="C659" s="66" t="s">
        <v>491</v>
      </c>
      <c r="D659" s="17">
        <v>3001</v>
      </c>
      <c r="E659" s="18" t="s">
        <v>494</v>
      </c>
      <c r="F659" s="26" t="s">
        <v>98</v>
      </c>
      <c r="G659" s="19" t="s">
        <v>1734</v>
      </c>
      <c r="H659" s="16" t="s">
        <v>1741</v>
      </c>
      <c r="I659" s="33">
        <v>12.16</v>
      </c>
      <c r="J659" s="35">
        <v>12.16</v>
      </c>
      <c r="K659" s="35"/>
      <c r="L659" s="34">
        <v>46086</v>
      </c>
      <c r="M659" s="16"/>
      <c r="N659" s="34"/>
      <c r="O659" s="16"/>
      <c r="P659" s="16"/>
      <c r="Q659" s="46">
        <f t="shared" si="21"/>
        <v>12.16</v>
      </c>
      <c r="R659" s="47">
        <f t="shared" si="22"/>
        <v>0</v>
      </c>
      <c r="S659" s="48"/>
    </row>
    <row r="660" s="1" customFormat="1" customHeight="1" spans="1:19">
      <c r="A660" s="14">
        <v>743</v>
      </c>
      <c r="B660" s="20">
        <v>46054</v>
      </c>
      <c r="C660" s="66" t="s">
        <v>491</v>
      </c>
      <c r="D660" s="17">
        <v>3001</v>
      </c>
      <c r="E660" s="18" t="s">
        <v>1913</v>
      </c>
      <c r="F660" s="26" t="s">
        <v>98</v>
      </c>
      <c r="G660" s="19" t="s">
        <v>1734</v>
      </c>
      <c r="H660" s="16" t="s">
        <v>1741</v>
      </c>
      <c r="I660" s="33">
        <v>0</v>
      </c>
      <c r="J660" s="35"/>
      <c r="K660" s="35"/>
      <c r="L660" s="34"/>
      <c r="M660" s="16"/>
      <c r="N660" s="34"/>
      <c r="O660" s="16"/>
      <c r="P660" s="16"/>
      <c r="Q660" s="46">
        <f t="shared" si="21"/>
        <v>0</v>
      </c>
      <c r="R660" s="47">
        <f t="shared" si="22"/>
        <v>0</v>
      </c>
      <c r="S660" s="48"/>
    </row>
    <row r="661" s="1" customFormat="1" customHeight="1" spans="1:19">
      <c r="A661" s="14">
        <v>744</v>
      </c>
      <c r="B661" s="20">
        <v>46054</v>
      </c>
      <c r="C661" s="66" t="s">
        <v>491</v>
      </c>
      <c r="D661" s="17">
        <v>3011</v>
      </c>
      <c r="E661" s="18" t="s">
        <v>1911</v>
      </c>
      <c r="F661" s="26" t="s">
        <v>98</v>
      </c>
      <c r="G661" s="19" t="s">
        <v>1734</v>
      </c>
      <c r="H661" s="16" t="s">
        <v>1741</v>
      </c>
      <c r="I661" s="33">
        <v>0</v>
      </c>
      <c r="J661" s="35"/>
      <c r="K661" s="35"/>
      <c r="L661" s="34"/>
      <c r="M661" s="16"/>
      <c r="N661" s="34"/>
      <c r="O661" s="35"/>
      <c r="P661" s="16"/>
      <c r="Q661" s="46">
        <f t="shared" ref="Q661:Q724" si="23">J661+M661+O661</f>
        <v>0</v>
      </c>
      <c r="R661" s="47">
        <f t="shared" si="22"/>
        <v>0</v>
      </c>
      <c r="S661" s="48"/>
    </row>
    <row r="662" s="1" customFormat="1" customHeight="1" spans="1:19">
      <c r="A662" s="14">
        <v>745</v>
      </c>
      <c r="B662" s="20">
        <v>46054</v>
      </c>
      <c r="C662" s="66" t="s">
        <v>491</v>
      </c>
      <c r="D662" s="17">
        <v>3012</v>
      </c>
      <c r="E662" s="18" t="s">
        <v>1914</v>
      </c>
      <c r="F662" s="26" t="s">
        <v>98</v>
      </c>
      <c r="G662" s="19" t="s">
        <v>1734</v>
      </c>
      <c r="H662" s="16" t="s">
        <v>1741</v>
      </c>
      <c r="I662" s="33">
        <v>0</v>
      </c>
      <c r="J662" s="35"/>
      <c r="K662" s="35"/>
      <c r="L662" s="34"/>
      <c r="M662" s="16"/>
      <c r="N662" s="34"/>
      <c r="O662" s="35"/>
      <c r="P662" s="16"/>
      <c r="Q662" s="46">
        <f t="shared" si="23"/>
        <v>0</v>
      </c>
      <c r="R662" s="47">
        <f t="shared" si="22"/>
        <v>0</v>
      </c>
      <c r="S662" s="48"/>
    </row>
    <row r="663" s="1" customFormat="1" customHeight="1" spans="1:19">
      <c r="A663" s="14">
        <v>746</v>
      </c>
      <c r="B663" s="20">
        <v>46054</v>
      </c>
      <c r="C663" s="66" t="s">
        <v>491</v>
      </c>
      <c r="D663" s="17" t="s">
        <v>1915</v>
      </c>
      <c r="E663" s="18" t="s">
        <v>565</v>
      </c>
      <c r="F663" s="26" t="s">
        <v>98</v>
      </c>
      <c r="G663" s="19" t="s">
        <v>1734</v>
      </c>
      <c r="H663" s="16" t="s">
        <v>1741</v>
      </c>
      <c r="I663" s="33">
        <v>6.08</v>
      </c>
      <c r="J663" s="35">
        <v>6.08</v>
      </c>
      <c r="K663" s="35"/>
      <c r="L663" s="34">
        <v>46130</v>
      </c>
      <c r="M663" s="16"/>
      <c r="N663" s="34"/>
      <c r="O663" s="35"/>
      <c r="P663" s="16"/>
      <c r="Q663" s="46">
        <f t="shared" si="23"/>
        <v>6.08</v>
      </c>
      <c r="R663" s="47">
        <f t="shared" si="22"/>
        <v>0</v>
      </c>
      <c r="S663" s="48"/>
    </row>
    <row r="664" s="1" customFormat="1" customHeight="1" spans="1:19">
      <c r="A664" s="14">
        <v>747</v>
      </c>
      <c r="B664" s="20">
        <v>46054</v>
      </c>
      <c r="C664" s="66" t="s">
        <v>491</v>
      </c>
      <c r="D664" s="17">
        <v>3023</v>
      </c>
      <c r="E664" s="18" t="s">
        <v>577</v>
      </c>
      <c r="F664" s="26" t="s">
        <v>98</v>
      </c>
      <c r="G664" s="19" t="s">
        <v>1734</v>
      </c>
      <c r="H664" s="16" t="s">
        <v>1741</v>
      </c>
      <c r="I664" s="33">
        <v>0</v>
      </c>
      <c r="J664" s="35"/>
      <c r="K664" s="35"/>
      <c r="L664" s="34"/>
      <c r="M664" s="16"/>
      <c r="N664" s="34"/>
      <c r="O664" s="35"/>
      <c r="P664" s="16"/>
      <c r="Q664" s="46">
        <f t="shared" si="23"/>
        <v>0</v>
      </c>
      <c r="R664" s="47">
        <f t="shared" si="22"/>
        <v>0</v>
      </c>
      <c r="S664" s="48"/>
    </row>
    <row r="665" s="1" customFormat="1" customHeight="1" spans="1:19">
      <c r="A665" s="14">
        <v>748</v>
      </c>
      <c r="B665" s="20">
        <v>46054</v>
      </c>
      <c r="C665" s="66" t="s">
        <v>491</v>
      </c>
      <c r="D665" s="17" t="s">
        <v>1794</v>
      </c>
      <c r="E665" s="18" t="s">
        <v>1250</v>
      </c>
      <c r="F665" s="26" t="s">
        <v>98</v>
      </c>
      <c r="G665" s="19" t="s">
        <v>1734</v>
      </c>
      <c r="H665" s="16" t="s">
        <v>1741</v>
      </c>
      <c r="I665" s="33">
        <v>0</v>
      </c>
      <c r="J665" s="35"/>
      <c r="K665" s="35"/>
      <c r="L665" s="34"/>
      <c r="M665" s="16"/>
      <c r="N665" s="34"/>
      <c r="O665" s="16"/>
      <c r="P665" s="16"/>
      <c r="Q665" s="46">
        <f t="shared" si="23"/>
        <v>0</v>
      </c>
      <c r="R665" s="47">
        <f t="shared" si="22"/>
        <v>0</v>
      </c>
      <c r="S665" s="48"/>
    </row>
    <row r="666" s="1" customFormat="1" customHeight="1" spans="1:19">
      <c r="A666" s="14">
        <v>749</v>
      </c>
      <c r="B666" s="20">
        <v>46054</v>
      </c>
      <c r="C666" s="66" t="s">
        <v>491</v>
      </c>
      <c r="D666" s="17">
        <v>3020</v>
      </c>
      <c r="E666" s="18" t="s">
        <v>1916</v>
      </c>
      <c r="F666" s="26" t="s">
        <v>98</v>
      </c>
      <c r="G666" s="19" t="s">
        <v>1734</v>
      </c>
      <c r="H666" s="16" t="s">
        <v>1741</v>
      </c>
      <c r="I666" s="33">
        <v>0</v>
      </c>
      <c r="J666" s="35"/>
      <c r="K666" s="35"/>
      <c r="L666" s="34"/>
      <c r="M666" s="16"/>
      <c r="N666" s="34"/>
      <c r="O666" s="16"/>
      <c r="P666" s="16"/>
      <c r="Q666" s="46">
        <f t="shared" si="23"/>
        <v>0</v>
      </c>
      <c r="R666" s="47">
        <f t="shared" si="22"/>
        <v>0</v>
      </c>
      <c r="S666" s="48"/>
    </row>
    <row r="667" s="1" customFormat="1" customHeight="1" spans="1:19">
      <c r="A667" s="14">
        <v>750</v>
      </c>
      <c r="B667" s="20">
        <v>46054</v>
      </c>
      <c r="C667" s="16" t="s">
        <v>491</v>
      </c>
      <c r="D667" s="17">
        <v>3033</v>
      </c>
      <c r="E667" s="18" t="s">
        <v>617</v>
      </c>
      <c r="F667" s="26" t="s">
        <v>98</v>
      </c>
      <c r="G667" s="19" t="s">
        <v>1734</v>
      </c>
      <c r="H667" s="16" t="s">
        <v>1741</v>
      </c>
      <c r="I667" s="33">
        <v>12.16</v>
      </c>
      <c r="J667" s="35">
        <v>12.16</v>
      </c>
      <c r="K667" s="35"/>
      <c r="L667" s="34">
        <v>46095</v>
      </c>
      <c r="M667" s="16"/>
      <c r="N667" s="34"/>
      <c r="O667" s="16"/>
      <c r="P667" s="16"/>
      <c r="Q667" s="46">
        <f t="shared" si="23"/>
        <v>12.16</v>
      </c>
      <c r="R667" s="47">
        <f t="shared" si="22"/>
        <v>0</v>
      </c>
      <c r="S667" s="48"/>
    </row>
    <row r="668" s="1" customFormat="1" customHeight="1" spans="1:19">
      <c r="A668" s="14">
        <v>751</v>
      </c>
      <c r="B668" s="20">
        <v>46054</v>
      </c>
      <c r="C668" s="66" t="s">
        <v>630</v>
      </c>
      <c r="D668" s="17">
        <v>4002</v>
      </c>
      <c r="E668" s="18" t="s">
        <v>633</v>
      </c>
      <c r="F668" s="26" t="s">
        <v>98</v>
      </c>
      <c r="G668" s="19" t="s">
        <v>1734</v>
      </c>
      <c r="H668" s="16" t="s">
        <v>1741</v>
      </c>
      <c r="I668" s="33">
        <v>1105.38</v>
      </c>
      <c r="J668" s="35">
        <v>1105.38</v>
      </c>
      <c r="K668" s="35">
        <v>3</v>
      </c>
      <c r="L668" s="34">
        <v>46065</v>
      </c>
      <c r="M668" s="16"/>
      <c r="N668" s="34"/>
      <c r="O668" s="35"/>
      <c r="P668" s="16"/>
      <c r="Q668" s="46">
        <f t="shared" si="23"/>
        <v>1105.38</v>
      </c>
      <c r="R668" s="47">
        <f t="shared" si="22"/>
        <v>0</v>
      </c>
      <c r="S668" s="48"/>
    </row>
    <row r="669" s="1" customFormat="1" customHeight="1" spans="1:19">
      <c r="A669" s="14">
        <v>752</v>
      </c>
      <c r="B669" s="20">
        <v>46054</v>
      </c>
      <c r="C669" s="66" t="s">
        <v>630</v>
      </c>
      <c r="D669" s="17" t="s">
        <v>1105</v>
      </c>
      <c r="E669" s="18" t="s">
        <v>1106</v>
      </c>
      <c r="F669" s="26" t="s">
        <v>98</v>
      </c>
      <c r="G669" s="19" t="s">
        <v>1734</v>
      </c>
      <c r="H669" s="16" t="s">
        <v>1741</v>
      </c>
      <c r="I669" s="33">
        <v>248.4</v>
      </c>
      <c r="J669" s="35">
        <v>248.4</v>
      </c>
      <c r="K669" s="35"/>
      <c r="L669" s="34">
        <v>46063</v>
      </c>
      <c r="M669" s="16"/>
      <c r="N669" s="34"/>
      <c r="O669" s="35"/>
      <c r="P669" s="16"/>
      <c r="Q669" s="46">
        <f t="shared" si="23"/>
        <v>248.4</v>
      </c>
      <c r="R669" s="47">
        <f t="shared" si="22"/>
        <v>0</v>
      </c>
      <c r="S669" s="48"/>
    </row>
    <row r="670" s="1" customFormat="1" customHeight="1" spans="1:19">
      <c r="A670" s="14">
        <v>753</v>
      </c>
      <c r="B670" s="20">
        <v>46054</v>
      </c>
      <c r="C670" s="66" t="s">
        <v>630</v>
      </c>
      <c r="D670" s="17" t="s">
        <v>1105</v>
      </c>
      <c r="E670" s="18" t="s">
        <v>1106</v>
      </c>
      <c r="F670" s="26" t="s">
        <v>98</v>
      </c>
      <c r="G670" s="19" t="s">
        <v>1734</v>
      </c>
      <c r="H670" s="16" t="s">
        <v>1741</v>
      </c>
      <c r="I670" s="33">
        <v>0</v>
      </c>
      <c r="J670" s="35"/>
      <c r="K670" s="35"/>
      <c r="L670" s="34"/>
      <c r="M670" s="16"/>
      <c r="N670" s="34"/>
      <c r="O670" s="35"/>
      <c r="P670" s="16"/>
      <c r="Q670" s="46">
        <f t="shared" si="23"/>
        <v>0</v>
      </c>
      <c r="R670" s="47">
        <f t="shared" si="22"/>
        <v>0</v>
      </c>
      <c r="S670" s="48"/>
    </row>
    <row r="671" s="1" customFormat="1" customHeight="1" spans="1:19">
      <c r="A671" s="14">
        <v>754</v>
      </c>
      <c r="B671" s="20">
        <v>46054</v>
      </c>
      <c r="C671" s="66" t="s">
        <v>630</v>
      </c>
      <c r="D671" s="17">
        <v>4012</v>
      </c>
      <c r="E671" s="18" t="s">
        <v>647</v>
      </c>
      <c r="F671" s="26" t="s">
        <v>98</v>
      </c>
      <c r="G671" s="19" t="s">
        <v>1734</v>
      </c>
      <c r="H671" s="16" t="s">
        <v>1741</v>
      </c>
      <c r="I671" s="33">
        <v>79.04</v>
      </c>
      <c r="J671" s="35">
        <v>79.04</v>
      </c>
      <c r="K671" s="35"/>
      <c r="L671" s="34">
        <v>46094</v>
      </c>
      <c r="M671" s="16"/>
      <c r="N671" s="34"/>
      <c r="O671" s="35"/>
      <c r="P671" s="16"/>
      <c r="Q671" s="46">
        <f t="shared" si="23"/>
        <v>79.04</v>
      </c>
      <c r="R671" s="47">
        <f t="shared" si="22"/>
        <v>0</v>
      </c>
      <c r="S671" s="48"/>
    </row>
    <row r="672" s="1" customFormat="1" customHeight="1" spans="1:19">
      <c r="A672" s="14">
        <v>755</v>
      </c>
      <c r="B672" s="20">
        <v>46054</v>
      </c>
      <c r="C672" s="66" t="s">
        <v>630</v>
      </c>
      <c r="D672" s="17">
        <v>4025</v>
      </c>
      <c r="E672" s="18" t="s">
        <v>1855</v>
      </c>
      <c r="F672" s="26" t="s">
        <v>98</v>
      </c>
      <c r="G672" s="19" t="s">
        <v>1734</v>
      </c>
      <c r="H672" s="16" t="s">
        <v>1741</v>
      </c>
      <c r="I672" s="33">
        <v>6.08</v>
      </c>
      <c r="J672" s="35">
        <v>6.08</v>
      </c>
      <c r="K672" s="35"/>
      <c r="L672" s="34">
        <v>46062</v>
      </c>
      <c r="M672" s="16"/>
      <c r="N672" s="34"/>
      <c r="O672" s="16"/>
      <c r="P672" s="16"/>
      <c r="Q672" s="46">
        <f t="shared" si="23"/>
        <v>6.08</v>
      </c>
      <c r="R672" s="47">
        <f t="shared" si="22"/>
        <v>0</v>
      </c>
      <c r="S672" s="48"/>
    </row>
    <row r="673" s="1" customFormat="1" customHeight="1" spans="1:19">
      <c r="A673" s="14">
        <v>756</v>
      </c>
      <c r="B673" s="20">
        <v>46054</v>
      </c>
      <c r="C673" s="66" t="s">
        <v>630</v>
      </c>
      <c r="D673" s="17">
        <v>4027</v>
      </c>
      <c r="E673" s="18" t="s">
        <v>1757</v>
      </c>
      <c r="F673" s="26" t="s">
        <v>98</v>
      </c>
      <c r="G673" s="19" t="s">
        <v>1734</v>
      </c>
      <c r="H673" s="16" t="s">
        <v>1741</v>
      </c>
      <c r="I673" s="33">
        <v>0</v>
      </c>
      <c r="J673" s="35"/>
      <c r="K673" s="35"/>
      <c r="L673" s="34"/>
      <c r="M673" s="16"/>
      <c r="N673" s="34"/>
      <c r="O673" s="16"/>
      <c r="P673" s="16"/>
      <c r="Q673" s="46">
        <f t="shared" si="23"/>
        <v>0</v>
      </c>
      <c r="R673" s="47">
        <f t="shared" si="22"/>
        <v>0</v>
      </c>
      <c r="S673" s="48"/>
    </row>
    <row r="674" s="1" customFormat="1" customHeight="1" spans="1:19">
      <c r="A674" s="14">
        <v>757</v>
      </c>
      <c r="B674" s="20">
        <v>46054</v>
      </c>
      <c r="C674" s="66" t="s">
        <v>679</v>
      </c>
      <c r="D674" s="17">
        <v>5001</v>
      </c>
      <c r="E674" s="18" t="s">
        <v>682</v>
      </c>
      <c r="F674" s="26" t="s">
        <v>98</v>
      </c>
      <c r="G674" s="19" t="s">
        <v>1734</v>
      </c>
      <c r="H674" s="16" t="s">
        <v>1741</v>
      </c>
      <c r="I674" s="33">
        <v>1860.48</v>
      </c>
      <c r="J674" s="35">
        <v>1860.48</v>
      </c>
      <c r="K674" s="35"/>
      <c r="L674" s="34">
        <v>46054</v>
      </c>
      <c r="M674" s="16"/>
      <c r="N674" s="34"/>
      <c r="O674" s="16"/>
      <c r="P674" s="16"/>
      <c r="Q674" s="46">
        <f t="shared" si="23"/>
        <v>1860.48</v>
      </c>
      <c r="R674" s="47">
        <f t="shared" si="22"/>
        <v>0</v>
      </c>
      <c r="S674" s="48"/>
    </row>
    <row r="675" s="1" customFormat="1" customHeight="1" spans="1:19">
      <c r="A675" s="14">
        <v>758</v>
      </c>
      <c r="B675" s="20">
        <v>46054</v>
      </c>
      <c r="C675" s="66" t="s">
        <v>679</v>
      </c>
      <c r="D675" s="17" t="s">
        <v>1917</v>
      </c>
      <c r="E675" s="18" t="s">
        <v>1918</v>
      </c>
      <c r="F675" s="26" t="s">
        <v>98</v>
      </c>
      <c r="G675" s="19" t="s">
        <v>1734</v>
      </c>
      <c r="H675" s="16" t="s">
        <v>1741</v>
      </c>
      <c r="I675" s="33">
        <v>462.08</v>
      </c>
      <c r="J675" s="35">
        <v>462.08</v>
      </c>
      <c r="K675" s="35"/>
      <c r="L675" s="34">
        <v>46122</v>
      </c>
      <c r="M675" s="16"/>
      <c r="N675" s="34"/>
      <c r="O675" s="35"/>
      <c r="P675" s="16"/>
      <c r="Q675" s="46">
        <f t="shared" si="23"/>
        <v>462.08</v>
      </c>
      <c r="R675" s="47">
        <f t="shared" si="22"/>
        <v>0</v>
      </c>
      <c r="S675" s="48"/>
    </row>
    <row r="676" s="1" customFormat="1" customHeight="1" spans="1:19">
      <c r="A676" s="14">
        <v>759</v>
      </c>
      <c r="B676" s="20">
        <v>46054</v>
      </c>
      <c r="C676" s="66" t="s">
        <v>679</v>
      </c>
      <c r="D676" s="17">
        <v>5003</v>
      </c>
      <c r="E676" s="18" t="s">
        <v>696</v>
      </c>
      <c r="F676" s="26" t="s">
        <v>98</v>
      </c>
      <c r="G676" s="19" t="s">
        <v>1734</v>
      </c>
      <c r="H676" s="16" t="s">
        <v>1741</v>
      </c>
      <c r="I676" s="33">
        <v>601.92</v>
      </c>
      <c r="J676" s="35">
        <v>601.92</v>
      </c>
      <c r="K676" s="35"/>
      <c r="L676" s="34">
        <v>46060</v>
      </c>
      <c r="M676" s="16"/>
      <c r="N676" s="34"/>
      <c r="O676" s="35"/>
      <c r="P676" s="16"/>
      <c r="Q676" s="46">
        <f t="shared" si="23"/>
        <v>601.92</v>
      </c>
      <c r="R676" s="47">
        <f t="shared" si="22"/>
        <v>0</v>
      </c>
      <c r="S676" s="48"/>
    </row>
    <row r="677" s="1" customFormat="1" customHeight="1" spans="1:19">
      <c r="A677" s="14">
        <v>760</v>
      </c>
      <c r="B677" s="20">
        <v>46054</v>
      </c>
      <c r="C677" s="66" t="s">
        <v>679</v>
      </c>
      <c r="D677" s="17">
        <v>5005</v>
      </c>
      <c r="E677" s="18" t="s">
        <v>702</v>
      </c>
      <c r="F677" s="26" t="s">
        <v>98</v>
      </c>
      <c r="G677" s="19" t="s">
        <v>1734</v>
      </c>
      <c r="H677" s="16" t="s">
        <v>1741</v>
      </c>
      <c r="I677" s="33">
        <v>91.2</v>
      </c>
      <c r="J677" s="35">
        <v>91.2</v>
      </c>
      <c r="K677" s="35"/>
      <c r="L677" s="34">
        <v>46061</v>
      </c>
      <c r="M677" s="16"/>
      <c r="N677" s="34"/>
      <c r="O677" s="35"/>
      <c r="P677" s="16"/>
      <c r="Q677" s="46">
        <f t="shared" si="23"/>
        <v>91.2</v>
      </c>
      <c r="R677" s="47">
        <f t="shared" si="22"/>
        <v>0</v>
      </c>
      <c r="S677" s="48"/>
    </row>
    <row r="678" s="1" customFormat="1" customHeight="1" spans="1:19">
      <c r="A678" s="14">
        <v>761</v>
      </c>
      <c r="B678" s="20">
        <v>46054</v>
      </c>
      <c r="C678" s="66" t="s">
        <v>679</v>
      </c>
      <c r="D678" s="17">
        <v>5006</v>
      </c>
      <c r="E678" s="18" t="s">
        <v>706</v>
      </c>
      <c r="F678" s="26" t="s">
        <v>98</v>
      </c>
      <c r="G678" s="19" t="s">
        <v>1734</v>
      </c>
      <c r="H678" s="16" t="s">
        <v>1741</v>
      </c>
      <c r="I678" s="33">
        <v>182.4</v>
      </c>
      <c r="J678" s="35">
        <v>182.4</v>
      </c>
      <c r="K678" s="35"/>
      <c r="L678" s="34">
        <v>46182</v>
      </c>
      <c r="M678" s="16"/>
      <c r="N678" s="34"/>
      <c r="O678" s="35"/>
      <c r="P678" s="16"/>
      <c r="Q678" s="46">
        <f t="shared" si="23"/>
        <v>182.4</v>
      </c>
      <c r="R678" s="47">
        <f t="shared" si="22"/>
        <v>0</v>
      </c>
      <c r="S678" s="48"/>
    </row>
    <row r="679" s="1" customFormat="1" customHeight="1" spans="1:19">
      <c r="A679" s="14">
        <v>762</v>
      </c>
      <c r="B679" s="20">
        <v>46054</v>
      </c>
      <c r="C679" s="66" t="s">
        <v>679</v>
      </c>
      <c r="D679" s="17">
        <v>5008</v>
      </c>
      <c r="E679" s="18" t="s">
        <v>713</v>
      </c>
      <c r="F679" s="26" t="s">
        <v>98</v>
      </c>
      <c r="G679" s="19" t="s">
        <v>1734</v>
      </c>
      <c r="H679" s="16" t="s">
        <v>1741</v>
      </c>
      <c r="I679" s="33">
        <v>2681.28</v>
      </c>
      <c r="J679" s="35">
        <v>2282</v>
      </c>
      <c r="K679" s="35"/>
      <c r="L679" s="34">
        <v>46088</v>
      </c>
      <c r="M679" s="16">
        <v>399.28</v>
      </c>
      <c r="N679" s="34">
        <v>46094</v>
      </c>
      <c r="O679" s="16"/>
      <c r="P679" s="16"/>
      <c r="Q679" s="46">
        <f t="shared" si="23"/>
        <v>2681.28</v>
      </c>
      <c r="R679" s="47">
        <f t="shared" si="22"/>
        <v>0</v>
      </c>
      <c r="S679" s="48" t="s">
        <v>1203</v>
      </c>
    </row>
    <row r="680" s="1" customFormat="1" customHeight="1" spans="1:19">
      <c r="A680" s="14">
        <v>763</v>
      </c>
      <c r="B680" s="20">
        <v>46054</v>
      </c>
      <c r="C680" s="16" t="s">
        <v>679</v>
      </c>
      <c r="D680" s="17" t="s">
        <v>1819</v>
      </c>
      <c r="E680" s="18" t="s">
        <v>720</v>
      </c>
      <c r="F680" s="26" t="s">
        <v>98</v>
      </c>
      <c r="G680" s="19" t="s">
        <v>1734</v>
      </c>
      <c r="H680" s="16" t="s">
        <v>1741</v>
      </c>
      <c r="I680" s="33">
        <v>176.32</v>
      </c>
      <c r="J680" s="35">
        <v>176.32</v>
      </c>
      <c r="K680" s="35"/>
      <c r="L680" s="34">
        <v>46095</v>
      </c>
      <c r="M680" s="16"/>
      <c r="N680" s="34"/>
      <c r="O680" s="16"/>
      <c r="P680" s="16"/>
      <c r="Q680" s="46">
        <f t="shared" si="23"/>
        <v>176.32</v>
      </c>
      <c r="R680" s="47">
        <f t="shared" si="22"/>
        <v>0</v>
      </c>
      <c r="S680" s="48"/>
    </row>
    <row r="681" s="1" customFormat="1" customHeight="1" spans="1:19">
      <c r="A681" s="14">
        <v>764</v>
      </c>
      <c r="B681" s="20">
        <v>46054</v>
      </c>
      <c r="C681" s="66" t="s">
        <v>679</v>
      </c>
      <c r="D681" s="17">
        <v>5010</v>
      </c>
      <c r="E681" s="18" t="s">
        <v>729</v>
      </c>
      <c r="F681" s="26" t="s">
        <v>98</v>
      </c>
      <c r="G681" s="19" t="s">
        <v>1734</v>
      </c>
      <c r="H681" s="16" t="s">
        <v>1741</v>
      </c>
      <c r="I681" s="33">
        <v>535.04</v>
      </c>
      <c r="J681" s="35">
        <v>535.04</v>
      </c>
      <c r="K681" s="35"/>
      <c r="L681" s="34">
        <v>46063</v>
      </c>
      <c r="M681" s="16"/>
      <c r="N681" s="34"/>
      <c r="O681" s="35"/>
      <c r="P681" s="16"/>
      <c r="Q681" s="46">
        <f t="shared" si="23"/>
        <v>535.04</v>
      </c>
      <c r="R681" s="47">
        <f t="shared" si="22"/>
        <v>0</v>
      </c>
      <c r="S681" s="48"/>
    </row>
    <row r="682" s="1" customFormat="1" customHeight="1" spans="1:19">
      <c r="A682" s="14">
        <v>765</v>
      </c>
      <c r="B682" s="20">
        <v>46054</v>
      </c>
      <c r="C682" s="66" t="s">
        <v>679</v>
      </c>
      <c r="D682" s="17">
        <v>5011</v>
      </c>
      <c r="E682" s="18" t="s">
        <v>1837</v>
      </c>
      <c r="F682" s="26" t="s">
        <v>98</v>
      </c>
      <c r="G682" s="19" t="s">
        <v>1734</v>
      </c>
      <c r="H682" s="16" t="s">
        <v>1741</v>
      </c>
      <c r="I682" s="33">
        <v>224.96</v>
      </c>
      <c r="J682" s="35">
        <v>224.96</v>
      </c>
      <c r="K682" s="35"/>
      <c r="L682" s="34">
        <v>46061</v>
      </c>
      <c r="M682" s="16"/>
      <c r="N682" s="34"/>
      <c r="O682" s="35"/>
      <c r="P682" s="16"/>
      <c r="Q682" s="46">
        <f t="shared" si="23"/>
        <v>224.96</v>
      </c>
      <c r="R682" s="47">
        <f t="shared" si="22"/>
        <v>0</v>
      </c>
      <c r="S682" s="48"/>
    </row>
    <row r="683" s="1" customFormat="1" customHeight="1" spans="1:19">
      <c r="A683" s="14">
        <v>766</v>
      </c>
      <c r="B683" s="20">
        <v>46054</v>
      </c>
      <c r="C683" s="66" t="s">
        <v>679</v>
      </c>
      <c r="D683" s="17">
        <v>5012</v>
      </c>
      <c r="E683" s="18" t="s">
        <v>1856</v>
      </c>
      <c r="F683" s="26" t="s">
        <v>98</v>
      </c>
      <c r="G683" s="19" t="s">
        <v>1734</v>
      </c>
      <c r="H683" s="16" t="s">
        <v>1741</v>
      </c>
      <c r="I683" s="33">
        <v>224.96</v>
      </c>
      <c r="J683" s="35"/>
      <c r="K683" s="35"/>
      <c r="L683" s="34"/>
      <c r="M683" s="16"/>
      <c r="N683" s="34"/>
      <c r="O683" s="35">
        <v>224.96</v>
      </c>
      <c r="P683" s="16"/>
      <c r="Q683" s="46">
        <f t="shared" si="23"/>
        <v>224.96</v>
      </c>
      <c r="R683" s="47">
        <f t="shared" si="22"/>
        <v>0</v>
      </c>
      <c r="S683" s="48" t="s">
        <v>1799</v>
      </c>
    </row>
    <row r="684" s="1" customFormat="1" customHeight="1" spans="1:19">
      <c r="A684" s="14">
        <v>767</v>
      </c>
      <c r="B684" s="20">
        <v>46054</v>
      </c>
      <c r="C684" s="66" t="s">
        <v>679</v>
      </c>
      <c r="D684" s="17">
        <v>5015</v>
      </c>
      <c r="E684" s="18" t="s">
        <v>765</v>
      </c>
      <c r="F684" s="26" t="s">
        <v>98</v>
      </c>
      <c r="G684" s="19" t="s">
        <v>1734</v>
      </c>
      <c r="H684" s="16" t="s">
        <v>1741</v>
      </c>
      <c r="I684" s="33">
        <v>18.24</v>
      </c>
      <c r="J684" s="35">
        <v>18.24</v>
      </c>
      <c r="K684" s="35"/>
      <c r="L684" s="34">
        <v>46084</v>
      </c>
      <c r="M684" s="16"/>
      <c r="N684" s="34"/>
      <c r="O684" s="35"/>
      <c r="P684" s="16"/>
      <c r="Q684" s="46">
        <f t="shared" si="23"/>
        <v>18.24</v>
      </c>
      <c r="R684" s="47">
        <f t="shared" si="22"/>
        <v>0</v>
      </c>
      <c r="S684" s="48"/>
    </row>
    <row r="685" s="1" customFormat="1" customHeight="1" spans="1:19">
      <c r="A685" s="14">
        <v>768</v>
      </c>
      <c r="B685" s="20">
        <v>46054</v>
      </c>
      <c r="C685" s="66" t="s">
        <v>679</v>
      </c>
      <c r="D685" s="17"/>
      <c r="E685" s="18"/>
      <c r="F685" s="26" t="s">
        <v>98</v>
      </c>
      <c r="G685" s="19" t="s">
        <v>1734</v>
      </c>
      <c r="H685" s="16" t="s">
        <v>1741</v>
      </c>
      <c r="I685" s="33">
        <v>0</v>
      </c>
      <c r="J685" s="35"/>
      <c r="K685" s="35"/>
      <c r="L685" s="34"/>
      <c r="M685" s="16"/>
      <c r="N685" s="34"/>
      <c r="O685" s="16"/>
      <c r="P685" s="16"/>
      <c r="Q685" s="46">
        <f t="shared" si="23"/>
        <v>0</v>
      </c>
      <c r="R685" s="47">
        <f t="shared" si="22"/>
        <v>0</v>
      </c>
      <c r="S685" s="48"/>
    </row>
    <row r="686" s="1" customFormat="1" customHeight="1" spans="1:19">
      <c r="A686" s="14">
        <v>769</v>
      </c>
      <c r="B686" s="20">
        <v>46054</v>
      </c>
      <c r="C686" s="66" t="s">
        <v>679</v>
      </c>
      <c r="D686" s="17">
        <v>5015</v>
      </c>
      <c r="E686" s="18" t="s">
        <v>765</v>
      </c>
      <c r="F686" s="26" t="s">
        <v>98</v>
      </c>
      <c r="G686" s="19" t="s">
        <v>1734</v>
      </c>
      <c r="H686" s="16" t="s">
        <v>1741</v>
      </c>
      <c r="I686" s="33">
        <v>747.84</v>
      </c>
      <c r="J686" s="35">
        <v>747.84</v>
      </c>
      <c r="K686" s="35"/>
      <c r="L686" s="34">
        <v>46084</v>
      </c>
      <c r="M686" s="16"/>
      <c r="N686" s="34"/>
      <c r="O686" s="16"/>
      <c r="P686" s="16"/>
      <c r="Q686" s="46">
        <f t="shared" si="23"/>
        <v>747.84</v>
      </c>
      <c r="R686" s="47">
        <f t="shared" si="22"/>
        <v>0</v>
      </c>
      <c r="S686" s="48"/>
    </row>
    <row r="687" s="1" customFormat="1" customHeight="1" spans="1:19">
      <c r="A687" s="14">
        <v>770</v>
      </c>
      <c r="B687" s="20">
        <v>46054</v>
      </c>
      <c r="C687" s="66" t="s">
        <v>679</v>
      </c>
      <c r="D687" s="17">
        <v>5017</v>
      </c>
      <c r="E687" s="18" t="s">
        <v>1802</v>
      </c>
      <c r="F687" s="26" t="s">
        <v>98</v>
      </c>
      <c r="G687" s="19" t="s">
        <v>1734</v>
      </c>
      <c r="H687" s="16" t="s">
        <v>1741</v>
      </c>
      <c r="I687" s="33">
        <v>273.6</v>
      </c>
      <c r="J687" s="35">
        <v>273.6</v>
      </c>
      <c r="K687" s="35"/>
      <c r="L687" s="34">
        <v>46063</v>
      </c>
      <c r="M687" s="16"/>
      <c r="N687" s="34"/>
      <c r="O687" s="16"/>
      <c r="P687" s="16"/>
      <c r="Q687" s="46">
        <f t="shared" si="23"/>
        <v>273.6</v>
      </c>
      <c r="R687" s="47">
        <f t="shared" si="22"/>
        <v>0</v>
      </c>
      <c r="S687" s="48"/>
    </row>
    <row r="688" s="1" customFormat="1" customHeight="1" spans="1:19">
      <c r="A688" s="14">
        <v>771</v>
      </c>
      <c r="B688" s="20">
        <v>46054</v>
      </c>
      <c r="C688" s="66" t="s">
        <v>679</v>
      </c>
      <c r="D688" s="17">
        <v>5018</v>
      </c>
      <c r="E688" s="18" t="s">
        <v>780</v>
      </c>
      <c r="F688" s="26" t="s">
        <v>98</v>
      </c>
      <c r="G688" s="19" t="s">
        <v>1734</v>
      </c>
      <c r="H688" s="16" t="s">
        <v>1741</v>
      </c>
      <c r="I688" s="33">
        <v>54.72</v>
      </c>
      <c r="J688" s="35">
        <v>54.72</v>
      </c>
      <c r="K688" s="35">
        <v>0.07</v>
      </c>
      <c r="L688" s="34">
        <v>46061</v>
      </c>
      <c r="M688" s="16"/>
      <c r="N688" s="34"/>
      <c r="O688" s="35"/>
      <c r="P688" s="16"/>
      <c r="Q688" s="46">
        <f t="shared" si="23"/>
        <v>54.72</v>
      </c>
      <c r="R688" s="47">
        <f t="shared" si="22"/>
        <v>0</v>
      </c>
      <c r="S688" s="48"/>
    </row>
    <row r="689" s="1" customFormat="1" customHeight="1" spans="1:19">
      <c r="A689" s="14">
        <v>772</v>
      </c>
      <c r="B689" s="20">
        <v>46054</v>
      </c>
      <c r="C689" s="66" t="s">
        <v>679</v>
      </c>
      <c r="D689" s="17">
        <v>5019</v>
      </c>
      <c r="E689" s="18" t="s">
        <v>785</v>
      </c>
      <c r="F689" s="26" t="s">
        <v>98</v>
      </c>
      <c r="G689" s="19" t="s">
        <v>1734</v>
      </c>
      <c r="H689" s="16" t="s">
        <v>1741</v>
      </c>
      <c r="I689" s="33">
        <v>60.8</v>
      </c>
      <c r="J689" s="35"/>
      <c r="K689" s="35">
        <f>273.76-79.04-66.88</f>
        <v>127.84</v>
      </c>
      <c r="L689" s="34">
        <v>46065</v>
      </c>
      <c r="M689" s="16"/>
      <c r="N689" s="34"/>
      <c r="O689" s="35">
        <v>60.8</v>
      </c>
      <c r="P689" s="16"/>
      <c r="Q689" s="46">
        <f t="shared" si="23"/>
        <v>60.8</v>
      </c>
      <c r="R689" s="47">
        <f t="shared" si="22"/>
        <v>0</v>
      </c>
      <c r="S689" s="48" t="s">
        <v>1919</v>
      </c>
    </row>
    <row r="690" s="1" customFormat="1" customHeight="1" spans="1:19">
      <c r="A690" s="14">
        <v>773</v>
      </c>
      <c r="B690" s="20">
        <v>46054</v>
      </c>
      <c r="C690" s="66" t="s">
        <v>679</v>
      </c>
      <c r="D690" s="17">
        <v>5020</v>
      </c>
      <c r="E690" s="18" t="s">
        <v>791</v>
      </c>
      <c r="F690" s="26" t="s">
        <v>98</v>
      </c>
      <c r="G690" s="19" t="s">
        <v>1734</v>
      </c>
      <c r="H690" s="16" t="s">
        <v>1741</v>
      </c>
      <c r="I690" s="33">
        <v>224.96</v>
      </c>
      <c r="J690" s="35">
        <v>224.96</v>
      </c>
      <c r="K690" s="35">
        <f>1000.44-206.72-206.72-212.8</f>
        <v>374.2</v>
      </c>
      <c r="L690" s="34">
        <v>46065</v>
      </c>
      <c r="M690" s="16"/>
      <c r="N690" s="34"/>
      <c r="O690" s="35"/>
      <c r="P690" s="16"/>
      <c r="Q690" s="46">
        <f t="shared" si="23"/>
        <v>224.96</v>
      </c>
      <c r="R690" s="47">
        <f t="shared" si="22"/>
        <v>0</v>
      </c>
      <c r="S690" s="48" t="s">
        <v>1938</v>
      </c>
    </row>
    <row r="691" s="1" customFormat="1" customHeight="1" spans="1:19">
      <c r="A691" s="14">
        <v>774</v>
      </c>
      <c r="B691" s="20">
        <v>46054</v>
      </c>
      <c r="C691" s="66" t="s">
        <v>679</v>
      </c>
      <c r="D691" s="17" t="s">
        <v>1920</v>
      </c>
      <c r="E691" s="18" t="s">
        <v>799</v>
      </c>
      <c r="F691" s="26" t="s">
        <v>98</v>
      </c>
      <c r="G691" s="19" t="s">
        <v>1734</v>
      </c>
      <c r="H691" s="16" t="s">
        <v>1741</v>
      </c>
      <c r="I691" s="33">
        <v>784.32</v>
      </c>
      <c r="J691" s="35">
        <v>784.32</v>
      </c>
      <c r="K691" s="35"/>
      <c r="L691" s="34">
        <v>46062</v>
      </c>
      <c r="M691" s="16"/>
      <c r="N691" s="34"/>
      <c r="O691" s="35"/>
      <c r="P691" s="16"/>
      <c r="Q691" s="46">
        <f t="shared" si="23"/>
        <v>784.32</v>
      </c>
      <c r="R691" s="47">
        <f t="shared" si="22"/>
        <v>0</v>
      </c>
      <c r="S691" s="48"/>
    </row>
    <row r="692" s="1" customFormat="1" customHeight="1" spans="1:19">
      <c r="A692" s="14">
        <v>775</v>
      </c>
      <c r="B692" s="20">
        <v>46054</v>
      </c>
      <c r="C692" s="66" t="s">
        <v>679</v>
      </c>
      <c r="D692" s="17" t="s">
        <v>1939</v>
      </c>
      <c r="E692" s="18" t="s">
        <v>1145</v>
      </c>
      <c r="F692" s="26" t="s">
        <v>98</v>
      </c>
      <c r="G692" s="19" t="s">
        <v>1734</v>
      </c>
      <c r="H692" s="16" t="s">
        <v>1741</v>
      </c>
      <c r="I692" s="33">
        <v>863.36</v>
      </c>
      <c r="J692" s="35">
        <v>863.36</v>
      </c>
      <c r="K692" s="35"/>
      <c r="L692" s="34">
        <v>46065</v>
      </c>
      <c r="M692" s="16"/>
      <c r="N692" s="34"/>
      <c r="O692" s="16"/>
      <c r="P692" s="16"/>
      <c r="Q692" s="46">
        <f t="shared" si="23"/>
        <v>863.36</v>
      </c>
      <c r="R692" s="47">
        <f t="shared" si="22"/>
        <v>0</v>
      </c>
      <c r="S692" s="48"/>
    </row>
    <row r="693" s="1" customFormat="1" customHeight="1" spans="1:19">
      <c r="A693" s="14">
        <v>776</v>
      </c>
      <c r="B693" s="20">
        <v>46054</v>
      </c>
      <c r="C693" s="66" t="s">
        <v>679</v>
      </c>
      <c r="D693" s="17">
        <v>5022</v>
      </c>
      <c r="E693" s="18" t="s">
        <v>809</v>
      </c>
      <c r="F693" s="26" t="s">
        <v>98</v>
      </c>
      <c r="G693" s="19" t="s">
        <v>1734</v>
      </c>
      <c r="H693" s="16" t="s">
        <v>1741</v>
      </c>
      <c r="I693" s="33">
        <v>340.48</v>
      </c>
      <c r="J693" s="35">
        <v>340.48</v>
      </c>
      <c r="K693" s="35"/>
      <c r="L693" s="34">
        <v>46061</v>
      </c>
      <c r="M693" s="16"/>
      <c r="N693" s="34"/>
      <c r="O693" s="16"/>
      <c r="P693" s="16"/>
      <c r="Q693" s="46">
        <f t="shared" si="23"/>
        <v>340.48</v>
      </c>
      <c r="R693" s="47">
        <f t="shared" si="22"/>
        <v>0</v>
      </c>
      <c r="S693" s="48"/>
    </row>
    <row r="694" s="1" customFormat="1" customHeight="1" spans="1:19">
      <c r="A694" s="14">
        <v>777</v>
      </c>
      <c r="B694" s="20">
        <v>46054</v>
      </c>
      <c r="C694" s="66" t="s">
        <v>679</v>
      </c>
      <c r="D694" s="17">
        <v>5023</v>
      </c>
      <c r="E694" s="18" t="s">
        <v>813</v>
      </c>
      <c r="F694" s="26" t="s">
        <v>98</v>
      </c>
      <c r="G694" s="19" t="s">
        <v>1734</v>
      </c>
      <c r="H694" s="16" t="s">
        <v>1741</v>
      </c>
      <c r="I694" s="33">
        <v>559.36</v>
      </c>
      <c r="J694" s="35">
        <v>470.49</v>
      </c>
      <c r="K694" s="35"/>
      <c r="L694" s="34">
        <v>46008</v>
      </c>
      <c r="M694" s="16">
        <v>88.87</v>
      </c>
      <c r="N694" s="34">
        <v>46114</v>
      </c>
      <c r="O694" s="16"/>
      <c r="P694" s="16"/>
      <c r="Q694" s="46">
        <f t="shared" si="23"/>
        <v>559.36</v>
      </c>
      <c r="R694" s="47">
        <f t="shared" si="22"/>
        <v>0</v>
      </c>
      <c r="S694" s="48"/>
    </row>
    <row r="695" s="1" customFormat="1" customHeight="1" spans="1:19">
      <c r="A695" s="14">
        <v>778</v>
      </c>
      <c r="B695" s="20">
        <v>46054</v>
      </c>
      <c r="C695" s="66" t="s">
        <v>679</v>
      </c>
      <c r="D695" s="17" t="s">
        <v>1775</v>
      </c>
      <c r="E695" s="18" t="s">
        <v>1124</v>
      </c>
      <c r="F695" s="26" t="s">
        <v>98</v>
      </c>
      <c r="G695" s="19" t="s">
        <v>1734</v>
      </c>
      <c r="H695" s="16" t="s">
        <v>1741</v>
      </c>
      <c r="I695" s="33">
        <v>310.08</v>
      </c>
      <c r="J695" s="35">
        <v>310.08</v>
      </c>
      <c r="K695" s="35"/>
      <c r="L695" s="34">
        <v>46064</v>
      </c>
      <c r="M695" s="16"/>
      <c r="N695" s="34"/>
      <c r="O695" s="35"/>
      <c r="P695" s="16"/>
      <c r="Q695" s="46">
        <f t="shared" si="23"/>
        <v>310.08</v>
      </c>
      <c r="R695" s="47">
        <f t="shared" si="22"/>
        <v>0</v>
      </c>
      <c r="S695" s="48"/>
    </row>
    <row r="696" s="1" customFormat="1" customHeight="1" spans="1:19">
      <c r="A696" s="14">
        <v>779</v>
      </c>
      <c r="B696" s="20">
        <v>46054</v>
      </c>
      <c r="C696" s="66" t="s">
        <v>679</v>
      </c>
      <c r="D696" s="17" t="s">
        <v>935</v>
      </c>
      <c r="E696" s="18" t="s">
        <v>936</v>
      </c>
      <c r="F696" s="26" t="s">
        <v>98</v>
      </c>
      <c r="G696" s="19" t="s">
        <v>1734</v>
      </c>
      <c r="H696" s="16" t="s">
        <v>1741</v>
      </c>
      <c r="I696" s="33">
        <v>133.76</v>
      </c>
      <c r="J696" s="35">
        <v>133.76</v>
      </c>
      <c r="K696" s="35"/>
      <c r="L696" s="34">
        <v>46062</v>
      </c>
      <c r="M696" s="16"/>
      <c r="N696" s="34"/>
      <c r="O696" s="35"/>
      <c r="P696" s="16"/>
      <c r="Q696" s="46">
        <f t="shared" si="23"/>
        <v>133.76</v>
      </c>
      <c r="R696" s="47">
        <f t="shared" si="22"/>
        <v>0</v>
      </c>
      <c r="S696" s="48"/>
    </row>
    <row r="697" s="1" customFormat="1" customHeight="1" spans="1:19">
      <c r="A697" s="14">
        <v>780</v>
      </c>
      <c r="B697" s="20">
        <v>46054</v>
      </c>
      <c r="C697" s="66" t="s">
        <v>679</v>
      </c>
      <c r="D697" s="17" t="s">
        <v>1922</v>
      </c>
      <c r="E697" s="18" t="s">
        <v>1923</v>
      </c>
      <c r="F697" s="26" t="s">
        <v>98</v>
      </c>
      <c r="G697" s="19" t="s">
        <v>1734</v>
      </c>
      <c r="H697" s="16" t="s">
        <v>1741</v>
      </c>
      <c r="I697" s="33">
        <v>0</v>
      </c>
      <c r="J697" s="35"/>
      <c r="K697" s="35"/>
      <c r="L697" s="34"/>
      <c r="M697" s="16"/>
      <c r="N697" s="34"/>
      <c r="O697" s="35"/>
      <c r="P697" s="16"/>
      <c r="Q697" s="46">
        <f t="shared" si="23"/>
        <v>0</v>
      </c>
      <c r="R697" s="47">
        <f t="shared" si="22"/>
        <v>0</v>
      </c>
      <c r="S697" s="48"/>
    </row>
    <row r="698" s="1" customFormat="1" customHeight="1" spans="1:19">
      <c r="A698" s="14">
        <v>781</v>
      </c>
      <c r="B698" s="20">
        <v>46054</v>
      </c>
      <c r="C698" s="66" t="s">
        <v>816</v>
      </c>
      <c r="D698" s="17" t="s">
        <v>1771</v>
      </c>
      <c r="E698" s="18" t="s">
        <v>819</v>
      </c>
      <c r="F698" s="26" t="s">
        <v>98</v>
      </c>
      <c r="G698" s="19" t="s">
        <v>1734</v>
      </c>
      <c r="H698" s="16" t="s">
        <v>1741</v>
      </c>
      <c r="I698" s="33">
        <v>638.4</v>
      </c>
      <c r="J698" s="35">
        <v>638.4</v>
      </c>
      <c r="K698" s="35"/>
      <c r="L698" s="34">
        <v>46101</v>
      </c>
      <c r="M698" s="16"/>
      <c r="N698" s="34"/>
      <c r="O698" s="16"/>
      <c r="P698" s="16"/>
      <c r="Q698" s="46">
        <f t="shared" si="23"/>
        <v>638.4</v>
      </c>
      <c r="R698" s="47">
        <f t="shared" si="22"/>
        <v>0</v>
      </c>
      <c r="S698" s="48"/>
    </row>
    <row r="699" s="1" customFormat="1" customHeight="1" spans="1:19">
      <c r="A699" s="14">
        <v>782</v>
      </c>
      <c r="B699" s="20">
        <v>46054</v>
      </c>
      <c r="C699" s="66" t="s">
        <v>816</v>
      </c>
      <c r="D699" s="17">
        <v>6008</v>
      </c>
      <c r="E699" s="18" t="s">
        <v>1871</v>
      </c>
      <c r="F699" s="26" t="s">
        <v>98</v>
      </c>
      <c r="G699" s="19" t="s">
        <v>1734</v>
      </c>
      <c r="H699" s="16" t="s">
        <v>1741</v>
      </c>
      <c r="I699" s="33">
        <v>0</v>
      </c>
      <c r="J699" s="35"/>
      <c r="K699" s="35"/>
      <c r="L699" s="34"/>
      <c r="M699" s="16"/>
      <c r="N699" s="34"/>
      <c r="O699" s="16"/>
      <c r="P699" s="16"/>
      <c r="Q699" s="46">
        <f t="shared" si="23"/>
        <v>0</v>
      </c>
      <c r="R699" s="47">
        <f t="shared" si="22"/>
        <v>0</v>
      </c>
      <c r="S699" s="48"/>
    </row>
    <row r="700" s="1" customFormat="1" customHeight="1" spans="1:19">
      <c r="A700" s="14">
        <v>785</v>
      </c>
      <c r="B700" s="20">
        <v>46054</v>
      </c>
      <c r="C700" s="66" t="s">
        <v>679</v>
      </c>
      <c r="D700" s="17">
        <v>5013</v>
      </c>
      <c r="E700" s="18" t="s">
        <v>760</v>
      </c>
      <c r="F700" s="26" t="s">
        <v>98</v>
      </c>
      <c r="G700" s="19" t="s">
        <v>1734</v>
      </c>
      <c r="H700" s="16" t="s">
        <v>1741</v>
      </c>
      <c r="I700" s="33">
        <v>741.76</v>
      </c>
      <c r="J700" s="35">
        <v>741.76</v>
      </c>
      <c r="K700" s="35"/>
      <c r="L700" s="34">
        <v>46062</v>
      </c>
      <c r="M700" s="16"/>
      <c r="N700" s="34"/>
      <c r="O700" s="35"/>
      <c r="P700" s="16"/>
      <c r="Q700" s="46">
        <f t="shared" si="23"/>
        <v>741.76</v>
      </c>
      <c r="R700" s="47">
        <f t="shared" si="22"/>
        <v>0</v>
      </c>
      <c r="S700" s="48"/>
    </row>
    <row r="701" s="1" customFormat="1" customHeight="1" spans="1:19">
      <c r="A701" s="14">
        <v>786</v>
      </c>
      <c r="B701" s="20">
        <v>46054</v>
      </c>
      <c r="C701" s="66" t="s">
        <v>679</v>
      </c>
      <c r="D701" s="17" t="s">
        <v>1859</v>
      </c>
      <c r="E701" s="18" t="s">
        <v>1260</v>
      </c>
      <c r="F701" s="26" t="s">
        <v>98</v>
      </c>
      <c r="G701" s="19" t="s">
        <v>1734</v>
      </c>
      <c r="H701" s="16" t="s">
        <v>1741</v>
      </c>
      <c r="I701" s="33">
        <v>194.56</v>
      </c>
      <c r="J701" s="35">
        <v>194.56</v>
      </c>
      <c r="K701" s="35"/>
      <c r="L701" s="34">
        <v>46063</v>
      </c>
      <c r="M701" s="16"/>
      <c r="N701" s="34"/>
      <c r="O701" s="35"/>
      <c r="P701" s="16"/>
      <c r="Q701" s="46">
        <f t="shared" si="23"/>
        <v>194.56</v>
      </c>
      <c r="R701" s="47">
        <f t="shared" si="22"/>
        <v>0</v>
      </c>
      <c r="S701" s="48"/>
    </row>
    <row r="702" s="1" customFormat="1" customHeight="1" spans="1:19">
      <c r="A702" s="14">
        <v>787</v>
      </c>
      <c r="B702" s="20">
        <v>46054</v>
      </c>
      <c r="C702" s="16"/>
      <c r="D702" s="17" t="s">
        <v>1897</v>
      </c>
      <c r="E702" s="18" t="s">
        <v>1740</v>
      </c>
      <c r="F702" s="26" t="s">
        <v>98</v>
      </c>
      <c r="G702" s="19" t="s">
        <v>1734</v>
      </c>
      <c r="H702" s="16" t="s">
        <v>1741</v>
      </c>
      <c r="I702" s="33">
        <v>11.63</v>
      </c>
      <c r="J702" s="35">
        <v>11.63</v>
      </c>
      <c r="K702" s="35"/>
      <c r="L702" s="34">
        <v>46060</v>
      </c>
      <c r="M702" s="16"/>
      <c r="N702" s="34"/>
      <c r="O702" s="35"/>
      <c r="P702" s="16"/>
      <c r="Q702" s="46">
        <f t="shared" si="23"/>
        <v>11.63</v>
      </c>
      <c r="R702" s="47">
        <f t="shared" si="22"/>
        <v>0</v>
      </c>
      <c r="S702" s="48"/>
    </row>
    <row r="703" s="1" customFormat="1" customHeight="1" spans="1:19">
      <c r="A703" s="14">
        <v>788</v>
      </c>
      <c r="B703" s="20">
        <v>46054</v>
      </c>
      <c r="C703" s="16"/>
      <c r="D703" s="334" t="s">
        <v>1898</v>
      </c>
      <c r="E703" s="18" t="s">
        <v>1899</v>
      </c>
      <c r="F703" s="26" t="s">
        <v>98</v>
      </c>
      <c r="G703" s="19" t="s">
        <v>1734</v>
      </c>
      <c r="H703" s="16" t="s">
        <v>1741</v>
      </c>
      <c r="I703" s="33">
        <v>11.63</v>
      </c>
      <c r="J703" s="35">
        <v>11.63</v>
      </c>
      <c r="K703" s="35"/>
      <c r="L703" s="34">
        <v>46063</v>
      </c>
      <c r="M703" s="16"/>
      <c r="N703" s="34"/>
      <c r="O703" s="16"/>
      <c r="P703" s="16"/>
      <c r="Q703" s="46">
        <f t="shared" si="23"/>
        <v>11.63</v>
      </c>
      <c r="R703" s="47">
        <f t="shared" si="22"/>
        <v>0</v>
      </c>
      <c r="S703" s="48"/>
    </row>
    <row r="704" s="1" customFormat="1" customHeight="1" spans="1:19">
      <c r="A704" s="14">
        <v>789</v>
      </c>
      <c r="B704" s="20">
        <v>46054</v>
      </c>
      <c r="C704" s="16"/>
      <c r="D704" s="334" t="s">
        <v>1900</v>
      </c>
      <c r="E704" s="18" t="s">
        <v>1828</v>
      </c>
      <c r="F704" s="26" t="s">
        <v>98</v>
      </c>
      <c r="G704" s="19" t="s">
        <v>1734</v>
      </c>
      <c r="H704" s="16" t="s">
        <v>1741</v>
      </c>
      <c r="I704" s="33">
        <v>11.63</v>
      </c>
      <c r="J704" s="35">
        <v>11.63</v>
      </c>
      <c r="K704" s="35"/>
      <c r="L704" s="34">
        <v>46063</v>
      </c>
      <c r="M704" s="16"/>
      <c r="N704" s="34"/>
      <c r="O704" s="16"/>
      <c r="P704" s="16"/>
      <c r="Q704" s="46">
        <f t="shared" si="23"/>
        <v>11.63</v>
      </c>
      <c r="R704" s="47">
        <f t="shared" si="22"/>
        <v>0</v>
      </c>
      <c r="S704" s="48"/>
    </row>
    <row r="705" s="1" customFormat="1" customHeight="1" spans="1:19">
      <c r="A705" s="14">
        <v>790</v>
      </c>
      <c r="B705" s="20">
        <v>46054</v>
      </c>
      <c r="C705" s="16"/>
      <c r="D705" s="334" t="s">
        <v>1761</v>
      </c>
      <c r="E705" s="18" t="s">
        <v>1762</v>
      </c>
      <c r="F705" s="26" t="s">
        <v>98</v>
      </c>
      <c r="G705" s="19" t="s">
        <v>1734</v>
      </c>
      <c r="H705" s="16" t="s">
        <v>1741</v>
      </c>
      <c r="I705" s="33">
        <v>11.63</v>
      </c>
      <c r="J705" s="35">
        <v>11.63</v>
      </c>
      <c r="K705" s="35"/>
      <c r="L705" s="34">
        <v>46063</v>
      </c>
      <c r="M705" s="16"/>
      <c r="N705" s="34"/>
      <c r="O705" s="16"/>
      <c r="P705" s="16"/>
      <c r="Q705" s="46">
        <f t="shared" si="23"/>
        <v>11.63</v>
      </c>
      <c r="R705" s="47">
        <f t="shared" si="22"/>
        <v>0</v>
      </c>
      <c r="S705" s="48"/>
    </row>
    <row r="706" s="1" customFormat="1" customHeight="1" spans="1:19">
      <c r="A706" s="14">
        <v>791</v>
      </c>
      <c r="B706" s="20">
        <v>46054</v>
      </c>
      <c r="C706" s="16"/>
      <c r="D706" s="334" t="s">
        <v>1901</v>
      </c>
      <c r="E706" s="18" t="s">
        <v>1902</v>
      </c>
      <c r="F706" s="26" t="s">
        <v>98</v>
      </c>
      <c r="G706" s="19" t="s">
        <v>1734</v>
      </c>
      <c r="H706" s="16" t="s">
        <v>1741</v>
      </c>
      <c r="I706" s="33">
        <v>11.63</v>
      </c>
      <c r="J706" s="35">
        <v>11.63</v>
      </c>
      <c r="K706" s="35"/>
      <c r="L706" s="34">
        <v>46063</v>
      </c>
      <c r="M706" s="16"/>
      <c r="N706" s="34"/>
      <c r="O706" s="35"/>
      <c r="P706" s="16"/>
      <c r="Q706" s="46">
        <f t="shared" si="23"/>
        <v>11.63</v>
      </c>
      <c r="R706" s="47">
        <f t="shared" si="22"/>
        <v>0</v>
      </c>
      <c r="S706" s="48"/>
    </row>
    <row r="707" s="1" customFormat="1" customHeight="1" spans="1:19">
      <c r="A707" s="14">
        <v>792</v>
      </c>
      <c r="B707" s="20">
        <v>46054</v>
      </c>
      <c r="C707" s="16"/>
      <c r="D707" s="334" t="s">
        <v>1821</v>
      </c>
      <c r="E707" s="18" t="s">
        <v>1822</v>
      </c>
      <c r="F707" s="26" t="s">
        <v>98</v>
      </c>
      <c r="G707" s="19" t="s">
        <v>1734</v>
      </c>
      <c r="H707" s="16" t="s">
        <v>1741</v>
      </c>
      <c r="I707" s="33">
        <v>11.63</v>
      </c>
      <c r="J707" s="35">
        <v>11.63</v>
      </c>
      <c r="K707" s="35"/>
      <c r="L707" s="34">
        <v>46063</v>
      </c>
      <c r="M707" s="16"/>
      <c r="N707" s="34"/>
      <c r="O707" s="35"/>
      <c r="P707" s="16"/>
      <c r="Q707" s="46">
        <f t="shared" si="23"/>
        <v>11.63</v>
      </c>
      <c r="R707" s="47">
        <f t="shared" si="22"/>
        <v>0</v>
      </c>
      <c r="S707" s="48"/>
    </row>
    <row r="708" s="1" customFormat="1" customHeight="1" spans="1:19">
      <c r="A708" s="14">
        <v>793</v>
      </c>
      <c r="B708" s="20">
        <v>46054</v>
      </c>
      <c r="C708" s="16"/>
      <c r="D708" s="334" t="s">
        <v>1764</v>
      </c>
      <c r="E708" s="18" t="s">
        <v>1765</v>
      </c>
      <c r="F708" s="26" t="s">
        <v>98</v>
      </c>
      <c r="G708" s="19" t="s">
        <v>1734</v>
      </c>
      <c r="H708" s="16" t="s">
        <v>1741</v>
      </c>
      <c r="I708" s="33">
        <v>11.63</v>
      </c>
      <c r="J708" s="35">
        <v>11.63</v>
      </c>
      <c r="K708" s="35"/>
      <c r="L708" s="34">
        <v>46061</v>
      </c>
      <c r="M708" s="16"/>
      <c r="N708" s="34"/>
      <c r="O708" s="35"/>
      <c r="P708" s="16"/>
      <c r="Q708" s="46">
        <f t="shared" si="23"/>
        <v>11.63</v>
      </c>
      <c r="R708" s="47">
        <f t="shared" si="22"/>
        <v>0</v>
      </c>
      <c r="S708" s="48"/>
    </row>
    <row r="709" s="1" customFormat="1" customHeight="1" spans="1:19">
      <c r="A709" s="14">
        <v>794</v>
      </c>
      <c r="B709" s="20">
        <v>46054</v>
      </c>
      <c r="C709" s="16"/>
      <c r="D709" s="334" t="s">
        <v>1842</v>
      </c>
      <c r="E709" s="18" t="s">
        <v>1843</v>
      </c>
      <c r="F709" s="26" t="s">
        <v>98</v>
      </c>
      <c r="G709" s="19" t="s">
        <v>1734</v>
      </c>
      <c r="H709" s="16" t="s">
        <v>1741</v>
      </c>
      <c r="I709" s="33">
        <v>11.63</v>
      </c>
      <c r="J709" s="35">
        <v>11.63</v>
      </c>
      <c r="K709" s="35"/>
      <c r="L709" s="34">
        <v>46065</v>
      </c>
      <c r="M709" s="16"/>
      <c r="N709" s="34"/>
      <c r="O709" s="35"/>
      <c r="P709" s="16"/>
      <c r="Q709" s="46">
        <f t="shared" si="23"/>
        <v>11.63</v>
      </c>
      <c r="R709" s="47">
        <f t="shared" si="22"/>
        <v>0</v>
      </c>
      <c r="S709" s="48"/>
    </row>
    <row r="710" s="1" customFormat="1" customHeight="1" spans="1:19">
      <c r="A710" s="14">
        <v>795</v>
      </c>
      <c r="B710" s="20">
        <v>46054</v>
      </c>
      <c r="C710" s="16" t="s">
        <v>1737</v>
      </c>
      <c r="D710" s="17">
        <v>10</v>
      </c>
      <c r="E710" s="18" t="s">
        <v>1903</v>
      </c>
      <c r="F710" s="26" t="s">
        <v>98</v>
      </c>
      <c r="G710" s="19" t="s">
        <v>1734</v>
      </c>
      <c r="H710" s="16" t="s">
        <v>1741</v>
      </c>
      <c r="I710" s="33">
        <v>11.63</v>
      </c>
      <c r="J710" s="35">
        <v>11.63</v>
      </c>
      <c r="K710" s="35"/>
      <c r="L710" s="34">
        <v>46065</v>
      </c>
      <c r="M710" s="16"/>
      <c r="N710" s="34"/>
      <c r="O710" s="16"/>
      <c r="P710" s="16"/>
      <c r="Q710" s="46">
        <f t="shared" si="23"/>
        <v>11.63</v>
      </c>
      <c r="R710" s="47">
        <f t="shared" si="22"/>
        <v>0</v>
      </c>
      <c r="S710" s="48"/>
    </row>
    <row r="711" s="1" customFormat="1" customHeight="1" spans="1:19">
      <c r="A711" s="14">
        <v>796</v>
      </c>
      <c r="B711" s="20">
        <v>46054</v>
      </c>
      <c r="C711" s="16"/>
      <c r="D711" s="17">
        <v>15</v>
      </c>
      <c r="E711" s="18" t="s">
        <v>1736</v>
      </c>
      <c r="F711" s="26" t="s">
        <v>98</v>
      </c>
      <c r="G711" s="19" t="s">
        <v>1734</v>
      </c>
      <c r="H711" s="16" t="s">
        <v>1741</v>
      </c>
      <c r="I711" s="33"/>
      <c r="J711" s="35"/>
      <c r="K711" s="35"/>
      <c r="L711" s="34"/>
      <c r="M711" s="16"/>
      <c r="N711" s="34"/>
      <c r="O711" s="16"/>
      <c r="P711" s="16"/>
      <c r="Q711" s="46">
        <f t="shared" si="23"/>
        <v>0</v>
      </c>
      <c r="R711" s="47">
        <f t="shared" si="22"/>
        <v>0</v>
      </c>
      <c r="S711" s="48"/>
    </row>
    <row r="712" s="1" customFormat="1" customHeight="1" spans="1:19">
      <c r="A712" s="14">
        <v>797</v>
      </c>
      <c r="B712" s="20">
        <v>46054</v>
      </c>
      <c r="C712" s="16"/>
      <c r="D712" s="17">
        <v>21</v>
      </c>
      <c r="E712" s="18" t="s">
        <v>1739</v>
      </c>
      <c r="F712" s="26" t="s">
        <v>98</v>
      </c>
      <c r="G712" s="19" t="s">
        <v>1734</v>
      </c>
      <c r="H712" s="16" t="s">
        <v>1741</v>
      </c>
      <c r="I712" s="33">
        <v>11.63</v>
      </c>
      <c r="J712" s="35">
        <v>11.63</v>
      </c>
      <c r="K712" s="35"/>
      <c r="L712" s="34">
        <v>46062</v>
      </c>
      <c r="M712" s="16"/>
      <c r="N712" s="34"/>
      <c r="O712" s="16"/>
      <c r="P712" s="16"/>
      <c r="Q712" s="46">
        <f t="shared" si="23"/>
        <v>11.63</v>
      </c>
      <c r="R712" s="47">
        <f t="shared" si="22"/>
        <v>0</v>
      </c>
      <c r="S712" s="48"/>
    </row>
    <row r="713" s="1" customFormat="1" customHeight="1" spans="1:19">
      <c r="A713" s="14">
        <v>798</v>
      </c>
      <c r="B713" s="20">
        <v>46054</v>
      </c>
      <c r="C713" s="16"/>
      <c r="D713" s="17">
        <v>16</v>
      </c>
      <c r="E713" s="23" t="s">
        <v>1774</v>
      </c>
      <c r="F713" s="26" t="s">
        <v>98</v>
      </c>
      <c r="G713" s="19" t="s">
        <v>1734</v>
      </c>
      <c r="H713" s="16" t="s">
        <v>1741</v>
      </c>
      <c r="I713" s="33"/>
      <c r="J713" s="35"/>
      <c r="K713" s="35"/>
      <c r="L713" s="34"/>
      <c r="M713" s="16"/>
      <c r="N713" s="34"/>
      <c r="O713" s="35"/>
      <c r="P713" s="16"/>
      <c r="Q713" s="46">
        <f t="shared" si="23"/>
        <v>0</v>
      </c>
      <c r="R713" s="47">
        <f t="shared" si="22"/>
        <v>0</v>
      </c>
      <c r="S713" s="48"/>
    </row>
    <row r="714" s="1" customFormat="1" customHeight="1" spans="1:19">
      <c r="A714" s="14">
        <v>799</v>
      </c>
      <c r="B714" s="20">
        <v>46054</v>
      </c>
      <c r="C714" s="16"/>
      <c r="D714" s="17" t="s">
        <v>1904</v>
      </c>
      <c r="E714" s="18" t="s">
        <v>1774</v>
      </c>
      <c r="F714" s="26" t="s">
        <v>98</v>
      </c>
      <c r="G714" s="19" t="s">
        <v>1734</v>
      </c>
      <c r="H714" s="16" t="s">
        <v>1741</v>
      </c>
      <c r="I714" s="33">
        <v>11.63</v>
      </c>
      <c r="J714" s="35">
        <v>11.63</v>
      </c>
      <c r="K714" s="35"/>
      <c r="L714" s="34">
        <v>46061</v>
      </c>
      <c r="M714" s="16"/>
      <c r="N714" s="34"/>
      <c r="O714" s="35"/>
      <c r="P714" s="16"/>
      <c r="Q714" s="46">
        <f t="shared" si="23"/>
        <v>11.63</v>
      </c>
      <c r="R714" s="47">
        <f t="shared" si="22"/>
        <v>0</v>
      </c>
      <c r="S714" s="48"/>
    </row>
    <row r="715" s="1" customFormat="1" customHeight="1" spans="1:19">
      <c r="A715" s="14">
        <v>800</v>
      </c>
      <c r="B715" s="20">
        <v>46054</v>
      </c>
      <c r="C715" s="16"/>
      <c r="D715" s="334" t="s">
        <v>1838</v>
      </c>
      <c r="E715" s="18" t="s">
        <v>1839</v>
      </c>
      <c r="F715" s="26" t="s">
        <v>98</v>
      </c>
      <c r="G715" s="19" t="s">
        <v>1734</v>
      </c>
      <c r="H715" s="16" t="s">
        <v>1741</v>
      </c>
      <c r="I715" s="33">
        <v>11.63</v>
      </c>
      <c r="J715" s="35">
        <v>11.63</v>
      </c>
      <c r="K715" s="35"/>
      <c r="L715" s="34">
        <v>46063</v>
      </c>
      <c r="M715" s="16"/>
      <c r="N715" s="34"/>
      <c r="O715" s="35"/>
      <c r="P715" s="16"/>
      <c r="Q715" s="46">
        <f t="shared" si="23"/>
        <v>11.63</v>
      </c>
      <c r="R715" s="47">
        <f t="shared" si="22"/>
        <v>0</v>
      </c>
      <c r="S715" s="48"/>
    </row>
    <row r="716" s="1" customFormat="1" customHeight="1" spans="1:19">
      <c r="A716" s="14">
        <v>801</v>
      </c>
      <c r="B716" s="20">
        <v>46054</v>
      </c>
      <c r="C716" s="16"/>
      <c r="D716" s="17">
        <v>13</v>
      </c>
      <c r="E716" s="18" t="s">
        <v>1763</v>
      </c>
      <c r="F716" s="26" t="s">
        <v>98</v>
      </c>
      <c r="G716" s="19" t="s">
        <v>1734</v>
      </c>
      <c r="H716" s="16" t="s">
        <v>1741</v>
      </c>
      <c r="I716" s="33">
        <v>11.63</v>
      </c>
      <c r="J716" s="35">
        <v>11.63</v>
      </c>
      <c r="K716" s="35"/>
      <c r="L716" s="34">
        <v>46063</v>
      </c>
      <c r="M716" s="16"/>
      <c r="N716" s="34"/>
      <c r="O716" s="35"/>
      <c r="P716" s="16"/>
      <c r="Q716" s="46">
        <f t="shared" si="23"/>
        <v>11.63</v>
      </c>
      <c r="R716" s="47">
        <f t="shared" si="22"/>
        <v>0</v>
      </c>
      <c r="S716" s="48"/>
    </row>
    <row r="717" s="1" customFormat="1" customHeight="1" spans="1:19">
      <c r="A717" s="14">
        <v>802</v>
      </c>
      <c r="B717" s="20">
        <v>46054</v>
      </c>
      <c r="C717" s="16"/>
      <c r="D717" s="17" t="s">
        <v>1834</v>
      </c>
      <c r="E717" s="18" t="s">
        <v>1835</v>
      </c>
      <c r="F717" s="26" t="s">
        <v>98</v>
      </c>
      <c r="G717" s="19" t="s">
        <v>1734</v>
      </c>
      <c r="H717" s="16" t="s">
        <v>1741</v>
      </c>
      <c r="I717" s="33">
        <v>11.63</v>
      </c>
      <c r="J717" s="35">
        <v>11.63</v>
      </c>
      <c r="K717" s="35"/>
      <c r="L717" s="34">
        <v>46064</v>
      </c>
      <c r="M717" s="16"/>
      <c r="N717" s="34"/>
      <c r="O717" s="16"/>
      <c r="P717" s="16"/>
      <c r="Q717" s="46">
        <f t="shared" si="23"/>
        <v>11.63</v>
      </c>
      <c r="R717" s="47">
        <f t="shared" ref="R717:R780" si="24">I717-Q717</f>
        <v>0</v>
      </c>
      <c r="S717" s="48"/>
    </row>
    <row r="718" s="1" customFormat="1" customHeight="1" spans="1:19">
      <c r="A718" s="14">
        <v>803</v>
      </c>
      <c r="B718" s="20">
        <v>46054</v>
      </c>
      <c r="C718" s="16"/>
      <c r="D718" s="17" t="s">
        <v>1759</v>
      </c>
      <c r="E718" s="18" t="s">
        <v>1760</v>
      </c>
      <c r="F718" s="26" t="s">
        <v>98</v>
      </c>
      <c r="G718" s="19" t="s">
        <v>1734</v>
      </c>
      <c r="H718" s="16" t="s">
        <v>1741</v>
      </c>
      <c r="I718" s="33">
        <v>11.63</v>
      </c>
      <c r="J718" s="35">
        <v>11.63</v>
      </c>
      <c r="K718" s="35"/>
      <c r="L718" s="34">
        <v>46062</v>
      </c>
      <c r="M718" s="16"/>
      <c r="N718" s="34"/>
      <c r="O718" s="16"/>
      <c r="P718" s="16"/>
      <c r="Q718" s="46">
        <f t="shared" si="23"/>
        <v>11.63</v>
      </c>
      <c r="R718" s="47">
        <f t="shared" si="24"/>
        <v>0</v>
      </c>
      <c r="S718" s="48"/>
    </row>
    <row r="719" s="1" customFormat="1" customHeight="1" spans="1:19">
      <c r="A719" s="14">
        <v>804</v>
      </c>
      <c r="B719" s="20">
        <v>46054</v>
      </c>
      <c r="C719" s="16"/>
      <c r="D719" s="17">
        <v>12</v>
      </c>
      <c r="E719" s="18" t="s">
        <v>1814</v>
      </c>
      <c r="F719" s="26" t="s">
        <v>98</v>
      </c>
      <c r="G719" s="19" t="s">
        <v>1734</v>
      </c>
      <c r="H719" s="16" t="s">
        <v>1741</v>
      </c>
      <c r="I719" s="33">
        <v>11.63</v>
      </c>
      <c r="J719" s="35">
        <v>11.63</v>
      </c>
      <c r="K719" s="35"/>
      <c r="L719" s="34">
        <v>46068</v>
      </c>
      <c r="M719" s="16"/>
      <c r="N719" s="34"/>
      <c r="O719" s="16"/>
      <c r="P719" s="16"/>
      <c r="Q719" s="46">
        <f t="shared" si="23"/>
        <v>11.63</v>
      </c>
      <c r="R719" s="47">
        <f t="shared" si="24"/>
        <v>0</v>
      </c>
      <c r="S719" s="48"/>
    </row>
    <row r="720" s="1" customFormat="1" customHeight="1" spans="1:19">
      <c r="A720" s="14">
        <v>805</v>
      </c>
      <c r="B720" s="20">
        <v>46054</v>
      </c>
      <c r="C720" s="16" t="s">
        <v>1737</v>
      </c>
      <c r="D720" s="17">
        <v>11</v>
      </c>
      <c r="E720" s="18" t="s">
        <v>1829</v>
      </c>
      <c r="F720" s="26" t="s">
        <v>98</v>
      </c>
      <c r="G720" s="19" t="s">
        <v>1734</v>
      </c>
      <c r="H720" s="16" t="s">
        <v>1741</v>
      </c>
      <c r="I720" s="33">
        <v>11.63</v>
      </c>
      <c r="J720" s="35">
        <v>11.63</v>
      </c>
      <c r="K720" s="35"/>
      <c r="L720" s="34">
        <v>46065</v>
      </c>
      <c r="M720" s="16"/>
      <c r="N720" s="34"/>
      <c r="O720" s="35"/>
      <c r="P720" s="16"/>
      <c r="Q720" s="46">
        <f t="shared" si="23"/>
        <v>11.63</v>
      </c>
      <c r="R720" s="47">
        <f t="shared" si="24"/>
        <v>0</v>
      </c>
      <c r="S720" s="48"/>
    </row>
    <row r="721" s="1" customFormat="1" customHeight="1" spans="1:19">
      <c r="A721" s="14">
        <v>806</v>
      </c>
      <c r="B721" s="20">
        <v>46054</v>
      </c>
      <c r="C721" s="16"/>
      <c r="D721" s="17" t="s">
        <v>1905</v>
      </c>
      <c r="E721" s="18" t="s">
        <v>1906</v>
      </c>
      <c r="F721" s="26" t="s">
        <v>98</v>
      </c>
      <c r="G721" s="19" t="s">
        <v>1734</v>
      </c>
      <c r="H721" s="16" t="s">
        <v>1741</v>
      </c>
      <c r="I721" s="33">
        <v>11.63</v>
      </c>
      <c r="J721" s="35">
        <v>11.63</v>
      </c>
      <c r="K721" s="35"/>
      <c r="L721" s="34">
        <v>46062</v>
      </c>
      <c r="M721" s="16"/>
      <c r="N721" s="34"/>
      <c r="O721" s="35"/>
      <c r="P721" s="16"/>
      <c r="Q721" s="46">
        <f t="shared" si="23"/>
        <v>11.63</v>
      </c>
      <c r="R721" s="47">
        <f t="shared" si="24"/>
        <v>0</v>
      </c>
      <c r="S721" s="48"/>
    </row>
    <row r="722" s="1" customFormat="1" customHeight="1" spans="1:19">
      <c r="A722" s="14">
        <v>807</v>
      </c>
      <c r="B722" s="20">
        <v>46054</v>
      </c>
      <c r="C722" s="16"/>
      <c r="D722" s="334" t="s">
        <v>1907</v>
      </c>
      <c r="E722" s="18" t="s">
        <v>1815</v>
      </c>
      <c r="F722" s="26" t="s">
        <v>98</v>
      </c>
      <c r="G722" s="19" t="s">
        <v>1734</v>
      </c>
      <c r="H722" s="16" t="s">
        <v>1741</v>
      </c>
      <c r="I722" s="33">
        <v>11.63</v>
      </c>
      <c r="J722" s="35">
        <v>11.63</v>
      </c>
      <c r="K722" s="35"/>
      <c r="L722" s="34">
        <v>46063</v>
      </c>
      <c r="M722" s="16"/>
      <c r="N722" s="34"/>
      <c r="O722" s="35"/>
      <c r="P722" s="16"/>
      <c r="Q722" s="46">
        <f t="shared" si="23"/>
        <v>11.63</v>
      </c>
      <c r="R722" s="47">
        <f t="shared" si="24"/>
        <v>0</v>
      </c>
      <c r="S722" s="48"/>
    </row>
    <row r="723" s="1" customFormat="1" customHeight="1" spans="1:19">
      <c r="A723" s="14">
        <v>808</v>
      </c>
      <c r="B723" s="20">
        <v>46054</v>
      </c>
      <c r="C723" s="16"/>
      <c r="D723" s="17">
        <v>20</v>
      </c>
      <c r="E723" s="18" t="s">
        <v>1766</v>
      </c>
      <c r="F723" s="26" t="s">
        <v>98</v>
      </c>
      <c r="G723" s="19" t="s">
        <v>1734</v>
      </c>
      <c r="H723" s="16" t="s">
        <v>1741</v>
      </c>
      <c r="I723" s="33">
        <v>11.63</v>
      </c>
      <c r="J723" s="35">
        <v>11.63</v>
      </c>
      <c r="K723" s="35"/>
      <c r="L723" s="34">
        <v>46063</v>
      </c>
      <c r="M723" s="16"/>
      <c r="N723" s="34"/>
      <c r="O723" s="35"/>
      <c r="P723" s="16"/>
      <c r="Q723" s="46">
        <f t="shared" si="23"/>
        <v>11.63</v>
      </c>
      <c r="R723" s="47">
        <f t="shared" si="24"/>
        <v>0</v>
      </c>
      <c r="S723" s="48"/>
    </row>
    <row r="724" s="1" customFormat="1" customHeight="1" spans="1:19">
      <c r="A724" s="14">
        <v>809</v>
      </c>
      <c r="B724" s="20">
        <v>46054</v>
      </c>
      <c r="C724" s="16"/>
      <c r="D724" s="17">
        <v>14</v>
      </c>
      <c r="E724" s="18" t="s">
        <v>1908</v>
      </c>
      <c r="F724" s="26" t="s">
        <v>98</v>
      </c>
      <c r="G724" s="19" t="s">
        <v>1734</v>
      </c>
      <c r="H724" s="16" t="s">
        <v>1741</v>
      </c>
      <c r="I724" s="33">
        <v>11.63</v>
      </c>
      <c r="J724" s="35">
        <v>11.63</v>
      </c>
      <c r="K724" s="35"/>
      <c r="L724" s="34">
        <v>46060</v>
      </c>
      <c r="M724" s="16"/>
      <c r="N724" s="34"/>
      <c r="O724" s="16"/>
      <c r="P724" s="16"/>
      <c r="Q724" s="46">
        <f t="shared" si="23"/>
        <v>11.63</v>
      </c>
      <c r="R724" s="47">
        <f t="shared" si="24"/>
        <v>0</v>
      </c>
      <c r="S724" s="48"/>
    </row>
    <row r="725" s="1" customFormat="1" customHeight="1" spans="1:19">
      <c r="A725" s="14">
        <v>810</v>
      </c>
      <c r="B725" s="20">
        <v>46054</v>
      </c>
      <c r="C725" s="16"/>
      <c r="D725" s="17" t="s">
        <v>1909</v>
      </c>
      <c r="E725" s="18" t="s">
        <v>1910</v>
      </c>
      <c r="F725" s="26" t="s">
        <v>98</v>
      </c>
      <c r="G725" s="19" t="s">
        <v>1734</v>
      </c>
      <c r="H725" s="16" t="s">
        <v>1741</v>
      </c>
      <c r="I725" s="33">
        <v>11.63</v>
      </c>
      <c r="J725" s="35">
        <v>11.63</v>
      </c>
      <c r="K725" s="35"/>
      <c r="L725" s="34">
        <v>46065</v>
      </c>
      <c r="M725" s="16"/>
      <c r="N725" s="34"/>
      <c r="O725" s="16"/>
      <c r="P725" s="16"/>
      <c r="Q725" s="46">
        <f t="shared" ref="Q725:Q788" si="25">J725+M725+O725</f>
        <v>11.63</v>
      </c>
      <c r="R725" s="47">
        <f t="shared" si="24"/>
        <v>0</v>
      </c>
      <c r="S725" s="48"/>
    </row>
    <row r="726" s="1" customFormat="1" customHeight="1" spans="1:19">
      <c r="A726" s="14">
        <v>811</v>
      </c>
      <c r="B726" s="20">
        <v>46054</v>
      </c>
      <c r="C726" s="16"/>
      <c r="D726" s="17"/>
      <c r="E726" s="18" t="s">
        <v>1924</v>
      </c>
      <c r="F726" s="26" t="s">
        <v>98</v>
      </c>
      <c r="G726" s="19" t="s">
        <v>1734</v>
      </c>
      <c r="H726" s="16" t="s">
        <v>1741</v>
      </c>
      <c r="I726" s="33">
        <v>11.66</v>
      </c>
      <c r="J726" s="35"/>
      <c r="K726" s="35"/>
      <c r="L726" s="34"/>
      <c r="M726" s="16"/>
      <c r="N726" s="34"/>
      <c r="O726" s="16"/>
      <c r="P726" s="16"/>
      <c r="Q726" s="46">
        <f t="shared" si="25"/>
        <v>0</v>
      </c>
      <c r="R726" s="47">
        <f t="shared" si="24"/>
        <v>11.66</v>
      </c>
      <c r="S726" s="48"/>
    </row>
    <row r="727" s="1" customFormat="1" customHeight="1" spans="1:19">
      <c r="A727" s="14">
        <v>812</v>
      </c>
      <c r="B727" s="20">
        <v>46054</v>
      </c>
      <c r="C727" s="16" t="s">
        <v>16</v>
      </c>
      <c r="D727" s="17">
        <v>1008</v>
      </c>
      <c r="E727" s="18" t="s">
        <v>114</v>
      </c>
      <c r="F727" s="26" t="s">
        <v>98</v>
      </c>
      <c r="G727" s="19" t="s">
        <v>1734</v>
      </c>
      <c r="H727" s="16" t="s">
        <v>1735</v>
      </c>
      <c r="I727" s="33">
        <v>15549.98</v>
      </c>
      <c r="J727" s="35">
        <v>15549.98</v>
      </c>
      <c r="K727" s="35"/>
      <c r="L727" s="34">
        <v>46062</v>
      </c>
      <c r="M727" s="16"/>
      <c r="N727" s="34"/>
      <c r="O727" s="35"/>
      <c r="P727" s="16"/>
      <c r="Q727" s="46">
        <f t="shared" si="25"/>
        <v>15549.98</v>
      </c>
      <c r="R727" s="47">
        <f t="shared" si="24"/>
        <v>0</v>
      </c>
      <c r="S727" s="48"/>
    </row>
    <row r="728" s="1" customFormat="1" customHeight="1" spans="1:19">
      <c r="A728" s="14">
        <v>813</v>
      </c>
      <c r="B728" s="20">
        <v>46054</v>
      </c>
      <c r="C728" s="16"/>
      <c r="D728" s="17" t="s">
        <v>1767</v>
      </c>
      <c r="E728" s="18" t="s">
        <v>1768</v>
      </c>
      <c r="F728" s="26" t="s">
        <v>98</v>
      </c>
      <c r="G728" s="19" t="s">
        <v>1734</v>
      </c>
      <c r="H728" s="16" t="s">
        <v>1735</v>
      </c>
      <c r="I728" s="33">
        <v>15534.56</v>
      </c>
      <c r="J728" s="35">
        <v>15534.56</v>
      </c>
      <c r="K728" s="35"/>
      <c r="L728" s="34">
        <v>46062</v>
      </c>
      <c r="M728" s="16"/>
      <c r="N728" s="34"/>
      <c r="O728" s="35"/>
      <c r="P728" s="16"/>
      <c r="Q728" s="46">
        <f t="shared" si="25"/>
        <v>15534.56</v>
      </c>
      <c r="R728" s="47">
        <f t="shared" si="24"/>
        <v>0</v>
      </c>
      <c r="S728" s="48"/>
    </row>
    <row r="729" s="1" customFormat="1" customHeight="1" spans="1:19">
      <c r="A729" s="14">
        <v>814</v>
      </c>
      <c r="B729" s="20">
        <v>46054</v>
      </c>
      <c r="C729" s="16"/>
      <c r="D729" s="17">
        <v>5016</v>
      </c>
      <c r="E729" s="18" t="s">
        <v>765</v>
      </c>
      <c r="F729" s="26" t="s">
        <v>98</v>
      </c>
      <c r="G729" s="19" t="s">
        <v>1734</v>
      </c>
      <c r="H729" s="16" t="s">
        <v>1735</v>
      </c>
      <c r="I729" s="33">
        <v>999.63</v>
      </c>
      <c r="J729" s="35">
        <v>999.63</v>
      </c>
      <c r="K729" s="35"/>
      <c r="L729" s="34">
        <v>46084</v>
      </c>
      <c r="M729" s="16"/>
      <c r="N729" s="34"/>
      <c r="O729" s="35"/>
      <c r="P729" s="16"/>
      <c r="Q729" s="46">
        <f t="shared" si="25"/>
        <v>999.63</v>
      </c>
      <c r="R729" s="47">
        <f t="shared" si="24"/>
        <v>0</v>
      </c>
      <c r="S729" s="48"/>
    </row>
    <row r="730" s="1" customFormat="1" customHeight="1" spans="1:19">
      <c r="A730" s="14">
        <v>815</v>
      </c>
      <c r="B730" s="20">
        <v>46054</v>
      </c>
      <c r="C730" s="16"/>
      <c r="D730" s="17">
        <v>5016</v>
      </c>
      <c r="E730" s="18" t="s">
        <v>765</v>
      </c>
      <c r="F730" s="26" t="s">
        <v>98</v>
      </c>
      <c r="G730" s="19" t="s">
        <v>1734</v>
      </c>
      <c r="H730" s="16" t="s">
        <v>1735</v>
      </c>
      <c r="I730" s="33">
        <v>0</v>
      </c>
      <c r="J730" s="35"/>
      <c r="K730" s="35"/>
      <c r="L730" s="34">
        <v>46084</v>
      </c>
      <c r="M730" s="16"/>
      <c r="N730" s="34"/>
      <c r="O730" s="35"/>
      <c r="P730" s="16"/>
      <c r="Q730" s="46">
        <f t="shared" si="25"/>
        <v>0</v>
      </c>
      <c r="R730" s="47">
        <f t="shared" si="24"/>
        <v>0</v>
      </c>
      <c r="S730" s="48"/>
    </row>
    <row r="731" s="1" customFormat="1" customHeight="1" spans="1:19">
      <c r="A731" s="14">
        <v>816</v>
      </c>
      <c r="B731" s="20">
        <v>46054</v>
      </c>
      <c r="C731" s="16"/>
      <c r="D731" s="17">
        <v>5016</v>
      </c>
      <c r="E731" s="18" t="s">
        <v>765</v>
      </c>
      <c r="F731" s="26" t="s">
        <v>98</v>
      </c>
      <c r="G731" s="19" t="s">
        <v>1734</v>
      </c>
      <c r="H731" s="16" t="s">
        <v>1735</v>
      </c>
      <c r="I731" s="33">
        <v>10225.99</v>
      </c>
      <c r="J731" s="35">
        <v>10225.99</v>
      </c>
      <c r="K731" s="35"/>
      <c r="L731" s="34">
        <v>46084</v>
      </c>
      <c r="M731" s="16"/>
      <c r="N731" s="34"/>
      <c r="O731" s="16"/>
      <c r="P731" s="16"/>
      <c r="Q731" s="46">
        <f t="shared" si="25"/>
        <v>10225.99</v>
      </c>
      <c r="R731" s="47">
        <f t="shared" si="24"/>
        <v>0</v>
      </c>
      <c r="S731" s="48"/>
    </row>
    <row r="732" s="1" customFormat="1" customHeight="1" spans="1:19">
      <c r="A732" s="14">
        <v>817</v>
      </c>
      <c r="B732" s="20">
        <v>46054</v>
      </c>
      <c r="C732" s="16"/>
      <c r="D732" s="17" t="s">
        <v>1925</v>
      </c>
      <c r="E732" s="18" t="s">
        <v>1926</v>
      </c>
      <c r="F732" s="26" t="s">
        <v>98</v>
      </c>
      <c r="G732" s="19" t="s">
        <v>1734</v>
      </c>
      <c r="H732" s="16" t="s">
        <v>1735</v>
      </c>
      <c r="I732" s="33">
        <v>7424.12</v>
      </c>
      <c r="J732" s="35">
        <v>7424.12</v>
      </c>
      <c r="K732" s="35"/>
      <c r="L732" s="34">
        <v>46028</v>
      </c>
      <c r="M732" s="16"/>
      <c r="N732" s="34"/>
      <c r="O732" s="16"/>
      <c r="P732" s="16"/>
      <c r="Q732" s="46">
        <f t="shared" si="25"/>
        <v>7424.12</v>
      </c>
      <c r="R732" s="47">
        <f t="shared" si="24"/>
        <v>0</v>
      </c>
      <c r="S732" s="48"/>
    </row>
    <row r="733" s="1" customFormat="1" customHeight="1" spans="1:19">
      <c r="A733" s="14">
        <v>818</v>
      </c>
      <c r="B733" s="20">
        <v>46054</v>
      </c>
      <c r="C733" s="16"/>
      <c r="D733" s="17" t="s">
        <v>1925</v>
      </c>
      <c r="E733" s="18" t="s">
        <v>1926</v>
      </c>
      <c r="F733" s="26" t="s">
        <v>98</v>
      </c>
      <c r="G733" s="19" t="s">
        <v>1734</v>
      </c>
      <c r="H733" s="16" t="s">
        <v>1735</v>
      </c>
      <c r="I733" s="33">
        <v>0</v>
      </c>
      <c r="J733" s="35"/>
      <c r="K733" s="35"/>
      <c r="L733" s="34"/>
      <c r="M733" s="16"/>
      <c r="N733" s="34"/>
      <c r="O733" s="16"/>
      <c r="P733" s="16"/>
      <c r="Q733" s="46">
        <f t="shared" si="25"/>
        <v>0</v>
      </c>
      <c r="R733" s="47">
        <f t="shared" si="24"/>
        <v>0</v>
      </c>
      <c r="S733" s="48"/>
    </row>
    <row r="734" s="1" customFormat="1" customHeight="1" spans="1:19">
      <c r="A734" s="14">
        <v>819</v>
      </c>
      <c r="B734" s="20">
        <v>46054</v>
      </c>
      <c r="C734" s="16"/>
      <c r="D734" s="17" t="s">
        <v>1925</v>
      </c>
      <c r="E734" s="18" t="s">
        <v>1926</v>
      </c>
      <c r="F734" s="26" t="s">
        <v>98</v>
      </c>
      <c r="G734" s="19" t="s">
        <v>1734</v>
      </c>
      <c r="H734" s="16" t="s">
        <v>1735</v>
      </c>
      <c r="I734" s="33">
        <v>0</v>
      </c>
      <c r="J734" s="35"/>
      <c r="K734" s="35"/>
      <c r="L734" s="34"/>
      <c r="M734" s="16"/>
      <c r="N734" s="34"/>
      <c r="O734" s="35"/>
      <c r="P734" s="16"/>
      <c r="Q734" s="46">
        <f t="shared" si="25"/>
        <v>0</v>
      </c>
      <c r="R734" s="47">
        <f t="shared" si="24"/>
        <v>0</v>
      </c>
      <c r="S734" s="48"/>
    </row>
    <row r="735" s="1" customFormat="1" customHeight="1" spans="1:19">
      <c r="A735" s="14">
        <v>820</v>
      </c>
      <c r="B735" s="20">
        <v>46054</v>
      </c>
      <c r="C735" s="16"/>
      <c r="D735" s="17" t="s">
        <v>1925</v>
      </c>
      <c r="E735" s="18" t="s">
        <v>1926</v>
      </c>
      <c r="F735" s="26" t="s">
        <v>98</v>
      </c>
      <c r="G735" s="19" t="s">
        <v>1734</v>
      </c>
      <c r="H735" s="16" t="s">
        <v>1735</v>
      </c>
      <c r="I735" s="33">
        <v>7835.01</v>
      </c>
      <c r="J735" s="35">
        <v>1929.6</v>
      </c>
      <c r="K735" s="35">
        <f>3684.88-1755.28</f>
        <v>1929.6</v>
      </c>
      <c r="L735" s="34">
        <v>46028</v>
      </c>
      <c r="M735" s="16">
        <v>5905.41</v>
      </c>
      <c r="N735" s="34">
        <v>46067</v>
      </c>
      <c r="O735" s="35"/>
      <c r="P735" s="16"/>
      <c r="Q735" s="46">
        <f t="shared" si="25"/>
        <v>7835.01</v>
      </c>
      <c r="R735" s="47">
        <f t="shared" si="24"/>
        <v>0</v>
      </c>
      <c r="S735" s="48"/>
    </row>
    <row r="736" s="1" customFormat="1" customHeight="1" spans="1:19">
      <c r="A736" s="14">
        <v>821</v>
      </c>
      <c r="B736" s="20">
        <v>46054</v>
      </c>
      <c r="C736" s="16"/>
      <c r="D736" s="17" t="s">
        <v>1925</v>
      </c>
      <c r="E736" s="18" t="s">
        <v>1926</v>
      </c>
      <c r="F736" s="26" t="s">
        <v>98</v>
      </c>
      <c r="G736" s="19" t="s">
        <v>1734</v>
      </c>
      <c r="H736" s="16" t="s">
        <v>1735</v>
      </c>
      <c r="I736" s="33">
        <v>0</v>
      </c>
      <c r="J736" s="35"/>
      <c r="K736" s="35"/>
      <c r="L736" s="34"/>
      <c r="M736" s="16"/>
      <c r="N736" s="34"/>
      <c r="O736" s="35"/>
      <c r="P736" s="16"/>
      <c r="Q736" s="46">
        <f t="shared" si="25"/>
        <v>0</v>
      </c>
      <c r="R736" s="47">
        <f t="shared" si="24"/>
        <v>0</v>
      </c>
      <c r="S736" s="48"/>
    </row>
    <row r="737" s="1" customFormat="1" customHeight="1" spans="1:19">
      <c r="A737" s="14">
        <v>822</v>
      </c>
      <c r="B737" s="20">
        <v>46054</v>
      </c>
      <c r="C737" s="16"/>
      <c r="D737" s="17" t="s">
        <v>1925</v>
      </c>
      <c r="E737" s="18" t="s">
        <v>1926</v>
      </c>
      <c r="F737" s="26" t="s">
        <v>98</v>
      </c>
      <c r="G737" s="19" t="s">
        <v>1734</v>
      </c>
      <c r="H737" s="16" t="s">
        <v>1735</v>
      </c>
      <c r="I737" s="33">
        <v>0</v>
      </c>
      <c r="J737" s="35"/>
      <c r="K737" s="35"/>
      <c r="L737" s="34"/>
      <c r="M737" s="16"/>
      <c r="N737" s="34"/>
      <c r="O737" s="35"/>
      <c r="P737" s="16"/>
      <c r="Q737" s="46">
        <f t="shared" si="25"/>
        <v>0</v>
      </c>
      <c r="R737" s="47">
        <f t="shared" si="24"/>
        <v>0</v>
      </c>
      <c r="S737" s="48"/>
    </row>
    <row r="738" s="1" customFormat="1" customHeight="1" spans="1:19">
      <c r="A738" s="14">
        <v>823</v>
      </c>
      <c r="B738" s="20">
        <v>46054</v>
      </c>
      <c r="C738" s="16"/>
      <c r="D738" s="17" t="s">
        <v>1925</v>
      </c>
      <c r="E738" s="18" t="s">
        <v>1926</v>
      </c>
      <c r="F738" s="26" t="s">
        <v>98</v>
      </c>
      <c r="G738" s="19" t="s">
        <v>1734</v>
      </c>
      <c r="H738" s="16" t="s">
        <v>1735</v>
      </c>
      <c r="I738" s="33">
        <v>4911.89</v>
      </c>
      <c r="J738" s="35">
        <v>4911.89</v>
      </c>
      <c r="K738" s="35"/>
      <c r="L738" s="34">
        <v>46067</v>
      </c>
      <c r="M738" s="16"/>
      <c r="N738" s="34"/>
      <c r="O738" s="16"/>
      <c r="P738" s="16"/>
      <c r="Q738" s="46">
        <f t="shared" si="25"/>
        <v>4911.89</v>
      </c>
      <c r="R738" s="47">
        <f t="shared" si="24"/>
        <v>0</v>
      </c>
      <c r="S738" s="48"/>
    </row>
    <row r="739" s="1" customFormat="1" customHeight="1" spans="1:19">
      <c r="A739" s="14">
        <v>824</v>
      </c>
      <c r="B739" s="20">
        <v>46054</v>
      </c>
      <c r="C739" s="16"/>
      <c r="D739" s="17" t="s">
        <v>1925</v>
      </c>
      <c r="E739" s="18" t="s">
        <v>1926</v>
      </c>
      <c r="F739" s="26" t="s">
        <v>98</v>
      </c>
      <c r="G739" s="19" t="s">
        <v>1734</v>
      </c>
      <c r="H739" s="16" t="s">
        <v>1735</v>
      </c>
      <c r="I739" s="33">
        <v>6.33</v>
      </c>
      <c r="J739" s="35">
        <v>6.33</v>
      </c>
      <c r="K739" s="35"/>
      <c r="L739" s="34">
        <v>46067</v>
      </c>
      <c r="M739" s="16"/>
      <c r="N739" s="34"/>
      <c r="O739" s="16"/>
      <c r="P739" s="16"/>
      <c r="Q739" s="46">
        <f t="shared" si="25"/>
        <v>6.33</v>
      </c>
      <c r="R739" s="47">
        <f t="shared" si="24"/>
        <v>0</v>
      </c>
      <c r="S739" s="48"/>
    </row>
    <row r="740" s="1" customFormat="1" customHeight="1" spans="1:19">
      <c r="A740" s="14">
        <v>825</v>
      </c>
      <c r="B740" s="20">
        <v>46054</v>
      </c>
      <c r="C740" s="16"/>
      <c r="D740" s="17" t="s">
        <v>1925</v>
      </c>
      <c r="E740" s="18" t="s">
        <v>1926</v>
      </c>
      <c r="F740" s="26" t="s">
        <v>98</v>
      </c>
      <c r="G740" s="19" t="s">
        <v>1734</v>
      </c>
      <c r="H740" s="16" t="s">
        <v>1735</v>
      </c>
      <c r="I740" s="33">
        <v>0.4</v>
      </c>
      <c r="J740" s="35">
        <v>0.4</v>
      </c>
      <c r="K740" s="35"/>
      <c r="L740" s="34">
        <v>46067</v>
      </c>
      <c r="M740" s="16"/>
      <c r="N740" s="34"/>
      <c r="O740" s="16"/>
      <c r="P740" s="16"/>
      <c r="Q740" s="46">
        <f t="shared" si="25"/>
        <v>0.4</v>
      </c>
      <c r="R740" s="47">
        <f t="shared" si="24"/>
        <v>0</v>
      </c>
      <c r="S740" s="48"/>
    </row>
    <row r="741" s="1" customFormat="1" customHeight="1" spans="1:19">
      <c r="A741" s="14">
        <v>826</v>
      </c>
      <c r="B741" s="20">
        <v>46054</v>
      </c>
      <c r="C741" s="16"/>
      <c r="D741" s="17" t="s">
        <v>1925</v>
      </c>
      <c r="E741" s="18" t="s">
        <v>1926</v>
      </c>
      <c r="F741" s="26" t="s">
        <v>98</v>
      </c>
      <c r="G741" s="19" t="s">
        <v>1734</v>
      </c>
      <c r="H741" s="16" t="s">
        <v>1735</v>
      </c>
      <c r="I741" s="33">
        <v>12331.32</v>
      </c>
      <c r="J741" s="35">
        <v>12331.32</v>
      </c>
      <c r="K741" s="35"/>
      <c r="L741" s="34">
        <v>46067</v>
      </c>
      <c r="M741" s="16"/>
      <c r="N741" s="34"/>
      <c r="O741" s="35"/>
      <c r="P741" s="16"/>
      <c r="Q741" s="46">
        <f t="shared" si="25"/>
        <v>12331.32</v>
      </c>
      <c r="R741" s="47">
        <f t="shared" si="24"/>
        <v>0</v>
      </c>
      <c r="S741" s="48"/>
    </row>
    <row r="742" s="1" customFormat="1" customHeight="1" spans="1:19">
      <c r="A742" s="14">
        <v>827</v>
      </c>
      <c r="B742" s="20">
        <v>46054</v>
      </c>
      <c r="C742" s="16"/>
      <c r="D742" s="17" t="s">
        <v>1925</v>
      </c>
      <c r="E742" s="18" t="s">
        <v>1926</v>
      </c>
      <c r="F742" s="26" t="s">
        <v>98</v>
      </c>
      <c r="G742" s="19" t="s">
        <v>1734</v>
      </c>
      <c r="H742" s="16" t="s">
        <v>1735</v>
      </c>
      <c r="I742" s="33">
        <v>0</v>
      </c>
      <c r="J742" s="35"/>
      <c r="K742" s="35"/>
      <c r="L742" s="34"/>
      <c r="M742" s="16"/>
      <c r="N742" s="34"/>
      <c r="O742" s="35"/>
      <c r="P742" s="16"/>
      <c r="Q742" s="46">
        <f t="shared" si="25"/>
        <v>0</v>
      </c>
      <c r="R742" s="47">
        <f t="shared" si="24"/>
        <v>0</v>
      </c>
      <c r="S742" s="48"/>
    </row>
    <row r="743" s="1" customFormat="1" customHeight="1" spans="1:19">
      <c r="A743" s="14">
        <v>828</v>
      </c>
      <c r="B743" s="20">
        <v>46054</v>
      </c>
      <c r="C743" s="16"/>
      <c r="D743" s="17" t="s">
        <v>1925</v>
      </c>
      <c r="E743" s="18" t="s">
        <v>1926</v>
      </c>
      <c r="F743" s="26" t="s">
        <v>98</v>
      </c>
      <c r="G743" s="19" t="s">
        <v>1734</v>
      </c>
      <c r="H743" s="16" t="s">
        <v>1735</v>
      </c>
      <c r="I743" s="33">
        <v>35.88</v>
      </c>
      <c r="J743" s="35">
        <v>35.88</v>
      </c>
      <c r="K743" s="35"/>
      <c r="L743" s="34">
        <v>46067</v>
      </c>
      <c r="M743" s="16"/>
      <c r="N743" s="34"/>
      <c r="O743" s="35"/>
      <c r="P743" s="16"/>
      <c r="Q743" s="46">
        <f t="shared" si="25"/>
        <v>35.88</v>
      </c>
      <c r="R743" s="47">
        <f t="shared" si="24"/>
        <v>0</v>
      </c>
      <c r="S743" s="48"/>
    </row>
    <row r="744" s="1" customFormat="1" customHeight="1" spans="1:19">
      <c r="A744" s="14">
        <v>832</v>
      </c>
      <c r="B744" s="20">
        <v>46054</v>
      </c>
      <c r="C744" s="16"/>
      <c r="D744" s="17" t="s">
        <v>1689</v>
      </c>
      <c r="E744" s="18" t="s">
        <v>1940</v>
      </c>
      <c r="F744" s="26" t="s">
        <v>98</v>
      </c>
      <c r="G744" s="19" t="s">
        <v>1734</v>
      </c>
      <c r="H744" s="16" t="s">
        <v>1735</v>
      </c>
      <c r="I744" s="33">
        <v>0</v>
      </c>
      <c r="J744" s="35"/>
      <c r="K744" s="35"/>
      <c r="L744" s="34"/>
      <c r="M744" s="16"/>
      <c r="N744" s="34"/>
      <c r="O744" s="35"/>
      <c r="P744" s="16"/>
      <c r="Q744" s="46">
        <f t="shared" si="25"/>
        <v>0</v>
      </c>
      <c r="R744" s="47">
        <f t="shared" si="24"/>
        <v>0</v>
      </c>
      <c r="S744" s="48"/>
    </row>
    <row r="745" s="1" customFormat="1" customHeight="1" spans="1:19">
      <c r="A745" s="14">
        <v>833</v>
      </c>
      <c r="B745" s="20">
        <v>46054</v>
      </c>
      <c r="C745" s="16"/>
      <c r="D745" s="17" t="s">
        <v>1772</v>
      </c>
      <c r="E745" s="18" t="s">
        <v>1927</v>
      </c>
      <c r="F745" s="26" t="s">
        <v>98</v>
      </c>
      <c r="G745" s="19" t="s">
        <v>1734</v>
      </c>
      <c r="H745" s="16" t="s">
        <v>1735</v>
      </c>
      <c r="I745" s="33">
        <v>454.98</v>
      </c>
      <c r="J745" s="35">
        <v>454.98</v>
      </c>
      <c r="K745" s="35"/>
      <c r="L745" s="34">
        <v>46101</v>
      </c>
      <c r="M745" s="16"/>
      <c r="N745" s="34"/>
      <c r="O745" s="35"/>
      <c r="P745" s="16"/>
      <c r="Q745" s="46">
        <f t="shared" si="25"/>
        <v>454.98</v>
      </c>
      <c r="R745" s="47">
        <f t="shared" si="24"/>
        <v>0</v>
      </c>
      <c r="S745" s="48"/>
    </row>
    <row r="746" s="1" customFormat="1" customHeight="1" spans="1:19">
      <c r="A746" s="14">
        <v>834</v>
      </c>
      <c r="B746" s="20">
        <v>46054</v>
      </c>
      <c r="C746" s="16"/>
      <c r="D746" s="17" t="s">
        <v>1758</v>
      </c>
      <c r="E746" s="18" t="s">
        <v>1106</v>
      </c>
      <c r="F746" s="26" t="s">
        <v>98</v>
      </c>
      <c r="G746" s="19" t="s">
        <v>1734</v>
      </c>
      <c r="H746" s="16" t="s">
        <v>1735</v>
      </c>
      <c r="I746" s="33">
        <v>76.92</v>
      </c>
      <c r="J746" s="35">
        <v>76.92</v>
      </c>
      <c r="K746" s="35"/>
      <c r="L746" s="34">
        <v>46063</v>
      </c>
      <c r="M746" s="16"/>
      <c r="N746" s="34"/>
      <c r="O746" s="35"/>
      <c r="P746" s="16"/>
      <c r="Q746" s="46">
        <f t="shared" si="25"/>
        <v>76.92</v>
      </c>
      <c r="R746" s="47">
        <f t="shared" si="24"/>
        <v>0</v>
      </c>
      <c r="S746" s="48"/>
    </row>
    <row r="747" s="1" customFormat="1" customHeight="1" spans="1:19">
      <c r="A747" s="14">
        <v>835</v>
      </c>
      <c r="B747" s="20">
        <v>46054</v>
      </c>
      <c r="C747" s="16" t="s">
        <v>1743</v>
      </c>
      <c r="D747" s="17" t="s">
        <v>1831</v>
      </c>
      <c r="E747" s="18" t="s">
        <v>1832</v>
      </c>
      <c r="F747" s="26" t="s">
        <v>98</v>
      </c>
      <c r="G747" s="19" t="s">
        <v>1734</v>
      </c>
      <c r="H747" s="16" t="s">
        <v>1735</v>
      </c>
      <c r="I747" s="33">
        <v>172.61</v>
      </c>
      <c r="J747" s="35">
        <v>172.61</v>
      </c>
      <c r="K747" s="35"/>
      <c r="L747" s="34">
        <v>46092</v>
      </c>
      <c r="M747" s="16"/>
      <c r="N747" s="34"/>
      <c r="O747" s="35"/>
      <c r="P747" s="16"/>
      <c r="Q747" s="46">
        <f t="shared" si="25"/>
        <v>172.61</v>
      </c>
      <c r="R747" s="47">
        <f t="shared" si="24"/>
        <v>0</v>
      </c>
      <c r="S747" s="48" t="s">
        <v>1203</v>
      </c>
    </row>
    <row r="748" s="1" customFormat="1" customHeight="1" spans="1:19">
      <c r="A748" s="14">
        <v>836</v>
      </c>
      <c r="B748" s="20">
        <v>46054</v>
      </c>
      <c r="C748" s="16"/>
      <c r="D748" s="17" t="s">
        <v>1797</v>
      </c>
      <c r="E748" s="18" t="s">
        <v>1798</v>
      </c>
      <c r="F748" s="26" t="s">
        <v>98</v>
      </c>
      <c r="G748" s="19" t="s">
        <v>1734</v>
      </c>
      <c r="H748" s="16" t="s">
        <v>1735</v>
      </c>
      <c r="I748" s="33">
        <v>104.13</v>
      </c>
      <c r="J748" s="35"/>
      <c r="K748" s="35"/>
      <c r="L748" s="34"/>
      <c r="M748" s="16"/>
      <c r="N748" s="34"/>
      <c r="O748" s="16">
        <v>104.13</v>
      </c>
      <c r="P748" s="16"/>
      <c r="Q748" s="46">
        <f t="shared" si="25"/>
        <v>104.13</v>
      </c>
      <c r="R748" s="47">
        <f t="shared" si="24"/>
        <v>0</v>
      </c>
      <c r="S748" s="48" t="s">
        <v>1799</v>
      </c>
    </row>
    <row r="749" s="1" customFormat="1" customHeight="1" spans="1:19">
      <c r="A749" s="14">
        <v>840</v>
      </c>
      <c r="B749" s="20">
        <v>46054</v>
      </c>
      <c r="C749" s="16"/>
      <c r="D749" s="17" t="s">
        <v>935</v>
      </c>
      <c r="E749" s="18" t="s">
        <v>936</v>
      </c>
      <c r="F749" s="26" t="s">
        <v>98</v>
      </c>
      <c r="G749" s="19" t="s">
        <v>1734</v>
      </c>
      <c r="H749" s="16" t="s">
        <v>1735</v>
      </c>
      <c r="I749" s="33">
        <v>1350.86</v>
      </c>
      <c r="J749" s="35">
        <v>1350.86</v>
      </c>
      <c r="K749" s="35">
        <v>1.38</v>
      </c>
      <c r="L749" s="34">
        <v>46062</v>
      </c>
      <c r="M749" s="16"/>
      <c r="N749" s="34"/>
      <c r="O749" s="35"/>
      <c r="P749" s="16"/>
      <c r="Q749" s="46">
        <f t="shared" si="25"/>
        <v>1350.86</v>
      </c>
      <c r="R749" s="47">
        <f t="shared" si="24"/>
        <v>0</v>
      </c>
      <c r="S749" s="48"/>
    </row>
    <row r="750" s="1" customFormat="1" customHeight="1" spans="1:19">
      <c r="A750" s="14">
        <v>841</v>
      </c>
      <c r="B750" s="20">
        <v>46054</v>
      </c>
      <c r="C750" s="16"/>
      <c r="D750" s="17" t="s">
        <v>1778</v>
      </c>
      <c r="E750" s="18" t="s">
        <v>1779</v>
      </c>
      <c r="F750" s="26" t="s">
        <v>98</v>
      </c>
      <c r="G750" s="19" t="s">
        <v>1734</v>
      </c>
      <c r="H750" s="16" t="s">
        <v>1735</v>
      </c>
      <c r="I750" s="33">
        <v>0</v>
      </c>
      <c r="J750" s="35"/>
      <c r="K750" s="35"/>
      <c r="L750" s="34"/>
      <c r="M750" s="16"/>
      <c r="N750" s="34"/>
      <c r="O750" s="35"/>
      <c r="P750" s="16"/>
      <c r="Q750" s="46">
        <f t="shared" si="25"/>
        <v>0</v>
      </c>
      <c r="R750" s="47">
        <f t="shared" si="24"/>
        <v>0</v>
      </c>
      <c r="S750" s="48"/>
    </row>
    <row r="751" s="1" customFormat="1" customHeight="1" spans="1:19">
      <c r="A751" s="14">
        <v>842</v>
      </c>
      <c r="B751" s="20">
        <v>46054</v>
      </c>
      <c r="C751" s="16"/>
      <c r="D751" s="17" t="s">
        <v>943</v>
      </c>
      <c r="E751" s="18" t="s">
        <v>1836</v>
      </c>
      <c r="F751" s="26" t="s">
        <v>98</v>
      </c>
      <c r="G751" s="19" t="s">
        <v>1734</v>
      </c>
      <c r="H751" s="16" t="s">
        <v>1735</v>
      </c>
      <c r="I751" s="33">
        <v>1409.96</v>
      </c>
      <c r="J751" s="35">
        <v>1409.87</v>
      </c>
      <c r="K751" s="35"/>
      <c r="L751" s="34">
        <v>46090</v>
      </c>
      <c r="M751" s="16"/>
      <c r="N751" s="34"/>
      <c r="O751" s="35">
        <v>0.09</v>
      </c>
      <c r="P751" s="64">
        <v>46090</v>
      </c>
      <c r="Q751" s="46">
        <f t="shared" si="25"/>
        <v>1409.96</v>
      </c>
      <c r="R751" s="47">
        <f t="shared" si="24"/>
        <v>0</v>
      </c>
      <c r="S751" s="48"/>
    </row>
    <row r="752" s="1" customFormat="1" customHeight="1" spans="1:19">
      <c r="A752" s="14">
        <v>843</v>
      </c>
      <c r="B752" s="20">
        <v>46054</v>
      </c>
      <c r="C752" s="16"/>
      <c r="D752" s="17" t="s">
        <v>1861</v>
      </c>
      <c r="E752" s="18" t="s">
        <v>933</v>
      </c>
      <c r="F752" s="26" t="s">
        <v>98</v>
      </c>
      <c r="G752" s="19" t="s">
        <v>1734</v>
      </c>
      <c r="H752" s="16" t="s">
        <v>1735</v>
      </c>
      <c r="I752" s="33">
        <v>208.26</v>
      </c>
      <c r="J752" s="35">
        <v>208.26</v>
      </c>
      <c r="K752" s="35"/>
      <c r="L752" s="34">
        <v>46064</v>
      </c>
      <c r="M752" s="16"/>
      <c r="N752" s="34"/>
      <c r="O752" s="16"/>
      <c r="P752" s="16"/>
      <c r="Q752" s="46">
        <f t="shared" si="25"/>
        <v>208.26</v>
      </c>
      <c r="R752" s="47">
        <f t="shared" si="24"/>
        <v>0</v>
      </c>
      <c r="S752" s="48"/>
    </row>
    <row r="753" s="1" customFormat="1" customHeight="1" spans="1:19">
      <c r="A753" s="14">
        <v>844</v>
      </c>
      <c r="B753" s="20">
        <v>46054</v>
      </c>
      <c r="C753" s="16"/>
      <c r="D753" s="17" t="s">
        <v>976</v>
      </c>
      <c r="E753" s="18" t="s">
        <v>978</v>
      </c>
      <c r="F753" s="26" t="s">
        <v>98</v>
      </c>
      <c r="G753" s="19" t="s">
        <v>1734</v>
      </c>
      <c r="H753" s="16" t="s">
        <v>1735</v>
      </c>
      <c r="I753" s="33">
        <v>30.02</v>
      </c>
      <c r="J753" s="35">
        <v>30.02</v>
      </c>
      <c r="K753" s="35"/>
      <c r="L753" s="34">
        <v>46065</v>
      </c>
      <c r="M753" s="16"/>
      <c r="N753" s="34"/>
      <c r="O753" s="16"/>
      <c r="P753" s="16"/>
      <c r="Q753" s="46">
        <f t="shared" si="25"/>
        <v>30.02</v>
      </c>
      <c r="R753" s="47">
        <f t="shared" si="24"/>
        <v>0</v>
      </c>
      <c r="S753" s="48"/>
    </row>
    <row r="754" s="1" customFormat="1" customHeight="1" spans="1:19">
      <c r="A754" s="14">
        <v>845</v>
      </c>
      <c r="B754" s="20">
        <v>46054</v>
      </c>
      <c r="C754" s="16" t="s">
        <v>1044</v>
      </c>
      <c r="D754" s="17" t="s">
        <v>1803</v>
      </c>
      <c r="E754" s="18" t="s">
        <v>982</v>
      </c>
      <c r="F754" s="26" t="s">
        <v>98</v>
      </c>
      <c r="G754" s="19" t="s">
        <v>1734</v>
      </c>
      <c r="H754" s="16" t="s">
        <v>1735</v>
      </c>
      <c r="I754" s="33">
        <v>133.21</v>
      </c>
      <c r="J754" s="35">
        <v>133.2</v>
      </c>
      <c r="K754" s="35">
        <v>0.01</v>
      </c>
      <c r="L754" s="34">
        <v>46065</v>
      </c>
      <c r="M754" s="16"/>
      <c r="N754" s="34"/>
      <c r="O754" s="16">
        <v>0.01</v>
      </c>
      <c r="P754" s="16"/>
      <c r="Q754" s="46">
        <f t="shared" si="25"/>
        <v>133.21</v>
      </c>
      <c r="R754" s="47">
        <f t="shared" si="24"/>
        <v>0</v>
      </c>
      <c r="S754" s="48"/>
    </row>
    <row r="755" s="1" customFormat="1" customHeight="1" spans="1:19">
      <c r="A755" s="14">
        <v>846</v>
      </c>
      <c r="B755" s="20">
        <v>46054</v>
      </c>
      <c r="C755" s="16"/>
      <c r="D755" s="17" t="s">
        <v>1805</v>
      </c>
      <c r="E755" s="18" t="s">
        <v>985</v>
      </c>
      <c r="F755" s="26" t="s">
        <v>98</v>
      </c>
      <c r="G755" s="19" t="s">
        <v>1734</v>
      </c>
      <c r="H755" s="16" t="s">
        <v>1735</v>
      </c>
      <c r="I755" s="33">
        <v>167.92</v>
      </c>
      <c r="J755" s="35">
        <v>167.92</v>
      </c>
      <c r="K755" s="35">
        <v>0.08</v>
      </c>
      <c r="L755" s="34">
        <v>46063</v>
      </c>
      <c r="M755" s="16"/>
      <c r="N755" s="34"/>
      <c r="O755" s="35"/>
      <c r="P755" s="16"/>
      <c r="Q755" s="46">
        <f t="shared" si="25"/>
        <v>167.92</v>
      </c>
      <c r="R755" s="47">
        <f t="shared" si="24"/>
        <v>0</v>
      </c>
      <c r="S755" s="48"/>
    </row>
    <row r="756" s="1" customFormat="1" customHeight="1" spans="1:19">
      <c r="A756" s="14">
        <v>847</v>
      </c>
      <c r="B756" s="20">
        <v>46054</v>
      </c>
      <c r="C756" s="16"/>
      <c r="D756" s="17" t="s">
        <v>1816</v>
      </c>
      <c r="E756" s="18" t="s">
        <v>978</v>
      </c>
      <c r="F756" s="26" t="s">
        <v>98</v>
      </c>
      <c r="G756" s="19" t="s">
        <v>1734</v>
      </c>
      <c r="H756" s="16" t="s">
        <v>1735</v>
      </c>
      <c r="I756" s="33">
        <v>80.68</v>
      </c>
      <c r="J756" s="35">
        <v>80.68</v>
      </c>
      <c r="K756" s="35"/>
      <c r="L756" s="34">
        <v>46065</v>
      </c>
      <c r="M756" s="16"/>
      <c r="N756" s="34"/>
      <c r="O756" s="35"/>
      <c r="P756" s="16"/>
      <c r="Q756" s="46">
        <f t="shared" si="25"/>
        <v>80.68</v>
      </c>
      <c r="R756" s="47">
        <f t="shared" si="24"/>
        <v>0</v>
      </c>
      <c r="S756" s="48"/>
    </row>
    <row r="757" s="1" customFormat="1" customHeight="1" spans="1:19">
      <c r="A757" s="14">
        <v>848</v>
      </c>
      <c r="B757" s="70">
        <v>46054</v>
      </c>
      <c r="C757" s="16"/>
      <c r="D757" s="17" t="s">
        <v>873</v>
      </c>
      <c r="E757" s="18" t="s">
        <v>875</v>
      </c>
      <c r="F757" s="26" t="s">
        <v>98</v>
      </c>
      <c r="G757" s="19" t="s">
        <v>1734</v>
      </c>
      <c r="H757" s="16" t="s">
        <v>1735</v>
      </c>
      <c r="I757" s="33">
        <v>757.98</v>
      </c>
      <c r="J757" s="35">
        <v>757.98</v>
      </c>
      <c r="K757" s="35">
        <v>0.02</v>
      </c>
      <c r="L757" s="34">
        <v>46060</v>
      </c>
      <c r="M757" s="16"/>
      <c r="N757" s="34"/>
      <c r="O757" s="35"/>
      <c r="P757" s="16"/>
      <c r="Q757" s="46">
        <f t="shared" si="25"/>
        <v>757.98</v>
      </c>
      <c r="R757" s="47">
        <f t="shared" si="24"/>
        <v>0</v>
      </c>
      <c r="S757" s="48"/>
    </row>
    <row r="758" s="1" customFormat="1" customHeight="1" spans="1:19">
      <c r="A758" s="14">
        <v>850</v>
      </c>
      <c r="B758" s="70">
        <v>46054</v>
      </c>
      <c r="C758" s="16" t="s">
        <v>1044</v>
      </c>
      <c r="D758" s="17" t="s">
        <v>890</v>
      </c>
      <c r="E758" s="18" t="s">
        <v>892</v>
      </c>
      <c r="F758" s="26" t="s">
        <v>98</v>
      </c>
      <c r="G758" s="19" t="s">
        <v>1734</v>
      </c>
      <c r="H758" s="16" t="s">
        <v>1735</v>
      </c>
      <c r="I758" s="33">
        <v>682</v>
      </c>
      <c r="J758" s="35">
        <v>682</v>
      </c>
      <c r="K758" s="35"/>
      <c r="L758" s="34">
        <v>46065</v>
      </c>
      <c r="M758" s="16"/>
      <c r="N758" s="34"/>
      <c r="O758" s="16"/>
      <c r="P758" s="16"/>
      <c r="Q758" s="46">
        <f t="shared" si="25"/>
        <v>682</v>
      </c>
      <c r="R758" s="47">
        <f t="shared" si="24"/>
        <v>0</v>
      </c>
      <c r="S758" s="48"/>
    </row>
    <row r="759" s="1" customFormat="1" customHeight="1" spans="1:19">
      <c r="A759" s="14">
        <v>851</v>
      </c>
      <c r="B759" s="70">
        <v>46054</v>
      </c>
      <c r="C759" s="16"/>
      <c r="D759" s="17" t="s">
        <v>1847</v>
      </c>
      <c r="E759" s="18" t="s">
        <v>1848</v>
      </c>
      <c r="F759" s="26" t="s">
        <v>98</v>
      </c>
      <c r="G759" s="19" t="s">
        <v>1734</v>
      </c>
      <c r="H759" s="16" t="s">
        <v>1735</v>
      </c>
      <c r="I759" s="33">
        <v>2144.5</v>
      </c>
      <c r="J759" s="35">
        <v>2144.5</v>
      </c>
      <c r="K759" s="35"/>
      <c r="L759" s="34">
        <v>46059</v>
      </c>
      <c r="M759" s="16"/>
      <c r="N759" s="34"/>
      <c r="O759" s="16"/>
      <c r="P759" s="16"/>
      <c r="Q759" s="46">
        <f t="shared" si="25"/>
        <v>2144.5</v>
      </c>
      <c r="R759" s="47">
        <f t="shared" si="24"/>
        <v>0</v>
      </c>
      <c r="S759" s="48"/>
    </row>
    <row r="760" s="1" customFormat="1" customHeight="1" spans="1:19">
      <c r="A760" s="14">
        <v>852</v>
      </c>
      <c r="B760" s="70">
        <v>46054</v>
      </c>
      <c r="C760" s="16"/>
      <c r="D760" s="17" t="s">
        <v>991</v>
      </c>
      <c r="E760" s="18" t="s">
        <v>1862</v>
      </c>
      <c r="F760" s="26" t="s">
        <v>98</v>
      </c>
      <c r="G760" s="19" t="s">
        <v>1734</v>
      </c>
      <c r="H760" s="16" t="s">
        <v>1735</v>
      </c>
      <c r="I760" s="33">
        <v>0</v>
      </c>
      <c r="J760" s="35"/>
      <c r="K760" s="35"/>
      <c r="L760" s="34"/>
      <c r="M760" s="16"/>
      <c r="N760" s="34"/>
      <c r="O760" s="16"/>
      <c r="P760" s="16"/>
      <c r="Q760" s="46">
        <f t="shared" si="25"/>
        <v>0</v>
      </c>
      <c r="R760" s="47">
        <f t="shared" si="24"/>
        <v>0</v>
      </c>
      <c r="S760" s="48"/>
    </row>
    <row r="761" s="1" customFormat="1" customHeight="1" spans="1:19">
      <c r="A761" s="14">
        <v>853</v>
      </c>
      <c r="B761" s="70">
        <v>46054</v>
      </c>
      <c r="C761" s="16"/>
      <c r="D761" s="17" t="s">
        <v>1863</v>
      </c>
      <c r="E761" s="18" t="s">
        <v>799</v>
      </c>
      <c r="F761" s="26" t="s">
        <v>98</v>
      </c>
      <c r="G761" s="19" t="s">
        <v>1734</v>
      </c>
      <c r="H761" s="16" t="s">
        <v>1735</v>
      </c>
      <c r="I761" s="33">
        <v>0</v>
      </c>
      <c r="J761" s="35"/>
      <c r="K761" s="35"/>
      <c r="L761" s="34"/>
      <c r="M761" s="16"/>
      <c r="N761" s="34"/>
      <c r="O761" s="35"/>
      <c r="P761" s="16"/>
      <c r="Q761" s="46">
        <f t="shared" si="25"/>
        <v>0</v>
      </c>
      <c r="R761" s="47">
        <f t="shared" si="24"/>
        <v>0</v>
      </c>
      <c r="S761" s="48"/>
    </row>
    <row r="762" s="1" customFormat="1" customHeight="1" spans="1:19">
      <c r="A762" s="14">
        <v>854</v>
      </c>
      <c r="B762" s="70">
        <v>46054</v>
      </c>
      <c r="C762" s="16" t="s">
        <v>1127</v>
      </c>
      <c r="D762" s="17" t="s">
        <v>835</v>
      </c>
      <c r="E762" s="18" t="s">
        <v>836</v>
      </c>
      <c r="F762" s="26" t="s">
        <v>98</v>
      </c>
      <c r="G762" s="19" t="s">
        <v>1734</v>
      </c>
      <c r="H762" s="16" t="s">
        <v>1735</v>
      </c>
      <c r="I762" s="33">
        <v>298.32</v>
      </c>
      <c r="J762" s="35">
        <v>298.32</v>
      </c>
      <c r="K762" s="35"/>
      <c r="L762" s="34">
        <v>46182</v>
      </c>
      <c r="M762" s="16"/>
      <c r="N762" s="34"/>
      <c r="O762" s="35"/>
      <c r="P762" s="16"/>
      <c r="Q762" s="46">
        <f t="shared" si="25"/>
        <v>298.32</v>
      </c>
      <c r="R762" s="47">
        <f t="shared" si="24"/>
        <v>0</v>
      </c>
      <c r="S762" s="48"/>
    </row>
    <row r="763" s="1" customFormat="1" customHeight="1" spans="1:19">
      <c r="A763" s="14">
        <v>855</v>
      </c>
      <c r="B763" s="70">
        <v>46054</v>
      </c>
      <c r="C763" s="16"/>
      <c r="D763" s="17" t="s">
        <v>1864</v>
      </c>
      <c r="E763" s="18" t="s">
        <v>1865</v>
      </c>
      <c r="F763" s="26" t="s">
        <v>98</v>
      </c>
      <c r="G763" s="19" t="s">
        <v>1734</v>
      </c>
      <c r="H763" s="16" t="s">
        <v>1735</v>
      </c>
      <c r="I763" s="33">
        <v>0</v>
      </c>
      <c r="J763" s="35"/>
      <c r="K763" s="35"/>
      <c r="L763" s="34"/>
      <c r="M763" s="16"/>
      <c r="N763" s="34"/>
      <c r="O763" s="35"/>
      <c r="P763" s="16"/>
      <c r="Q763" s="46">
        <f t="shared" si="25"/>
        <v>0</v>
      </c>
      <c r="R763" s="47">
        <f t="shared" si="24"/>
        <v>0</v>
      </c>
      <c r="S763" s="48"/>
    </row>
    <row r="764" s="1" customFormat="1" customHeight="1" spans="1:19">
      <c r="A764" s="14">
        <v>856</v>
      </c>
      <c r="B764" s="70">
        <v>46054</v>
      </c>
      <c r="C764" s="16"/>
      <c r="D764" s="17" t="s">
        <v>1415</v>
      </c>
      <c r="E764" s="18" t="s">
        <v>1866</v>
      </c>
      <c r="F764" s="26" t="s">
        <v>98</v>
      </c>
      <c r="G764" s="19" t="s">
        <v>1734</v>
      </c>
      <c r="H764" s="16" t="s">
        <v>1735</v>
      </c>
      <c r="I764" s="33">
        <v>0</v>
      </c>
      <c r="J764" s="35"/>
      <c r="K764" s="35"/>
      <c r="L764" s="34"/>
      <c r="M764" s="16"/>
      <c r="N764" s="34"/>
      <c r="O764" s="35"/>
      <c r="P764" s="16"/>
      <c r="Q764" s="46">
        <f t="shared" si="25"/>
        <v>0</v>
      </c>
      <c r="R764" s="47">
        <f t="shared" si="24"/>
        <v>0</v>
      </c>
      <c r="S764" s="48"/>
    </row>
    <row r="765" s="1" customFormat="1" customHeight="1" spans="1:19">
      <c r="A765" s="14">
        <v>857</v>
      </c>
      <c r="B765" s="70">
        <v>46054</v>
      </c>
      <c r="C765" s="16"/>
      <c r="D765" s="17" t="s">
        <v>1102</v>
      </c>
      <c r="E765" s="18" t="s">
        <v>831</v>
      </c>
      <c r="F765" s="26" t="s">
        <v>98</v>
      </c>
      <c r="G765" s="19" t="s">
        <v>1734</v>
      </c>
      <c r="H765" s="16" t="s">
        <v>1735</v>
      </c>
      <c r="I765" s="33">
        <v>0</v>
      </c>
      <c r="J765" s="35"/>
      <c r="K765" s="35"/>
      <c r="L765" s="34"/>
      <c r="M765" s="16"/>
      <c r="N765" s="34"/>
      <c r="O765" s="16"/>
      <c r="P765" s="16"/>
      <c r="Q765" s="46">
        <f t="shared" si="25"/>
        <v>0</v>
      </c>
      <c r="R765" s="47">
        <f t="shared" si="24"/>
        <v>0</v>
      </c>
      <c r="S765" s="48"/>
    </row>
    <row r="766" s="1" customFormat="1" customHeight="1" spans="1:19">
      <c r="A766" s="14">
        <v>858</v>
      </c>
      <c r="B766" s="70">
        <v>46054</v>
      </c>
      <c r="C766" s="16"/>
      <c r="D766" s="17" t="s">
        <v>1868</v>
      </c>
      <c r="E766" s="18" t="s">
        <v>1928</v>
      </c>
      <c r="F766" s="26" t="s">
        <v>98</v>
      </c>
      <c r="G766" s="19" t="s">
        <v>1734</v>
      </c>
      <c r="H766" s="16" t="s">
        <v>1735</v>
      </c>
      <c r="I766" s="33">
        <v>0</v>
      </c>
      <c r="J766" s="35"/>
      <c r="K766" s="35"/>
      <c r="L766" s="34"/>
      <c r="M766" s="16"/>
      <c r="N766" s="34"/>
      <c r="O766" s="16"/>
      <c r="P766" s="16"/>
      <c r="Q766" s="46">
        <f t="shared" si="25"/>
        <v>0</v>
      </c>
      <c r="R766" s="47">
        <f t="shared" si="24"/>
        <v>0</v>
      </c>
      <c r="S766" s="48"/>
    </row>
    <row r="767" s="1" customFormat="1" customHeight="1" spans="1:19">
      <c r="A767" s="14">
        <v>859</v>
      </c>
      <c r="B767" s="70">
        <v>46054</v>
      </c>
      <c r="C767" s="16"/>
      <c r="D767" s="17" t="s">
        <v>838</v>
      </c>
      <c r="E767" s="18" t="s">
        <v>936</v>
      </c>
      <c r="F767" s="26" t="s">
        <v>98</v>
      </c>
      <c r="G767" s="19" t="s">
        <v>1734</v>
      </c>
      <c r="H767" s="16" t="s">
        <v>1735</v>
      </c>
      <c r="I767" s="33">
        <v>0</v>
      </c>
      <c r="J767" s="35"/>
      <c r="K767" s="35"/>
      <c r="L767" s="34"/>
      <c r="M767" s="16"/>
      <c r="N767" s="34"/>
      <c r="O767" s="16"/>
      <c r="P767" s="16"/>
      <c r="Q767" s="46">
        <f t="shared" si="25"/>
        <v>0</v>
      </c>
      <c r="R767" s="47">
        <f t="shared" si="24"/>
        <v>0</v>
      </c>
      <c r="S767" s="48"/>
    </row>
    <row r="768" s="1" customFormat="1" customHeight="1" spans="1:19">
      <c r="A768" s="14">
        <v>860</v>
      </c>
      <c r="B768" s="70">
        <v>46054</v>
      </c>
      <c r="C768" s="16"/>
      <c r="D768" s="17" t="s">
        <v>1870</v>
      </c>
      <c r="E768" s="18" t="s">
        <v>1930</v>
      </c>
      <c r="F768" s="26" t="s">
        <v>98</v>
      </c>
      <c r="G768" s="19" t="s">
        <v>1734</v>
      </c>
      <c r="H768" s="16" t="s">
        <v>1735</v>
      </c>
      <c r="I768" s="33">
        <v>0</v>
      </c>
      <c r="J768" s="35"/>
      <c r="K768" s="35"/>
      <c r="L768" s="34"/>
      <c r="M768" s="16"/>
      <c r="N768" s="34"/>
      <c r="O768" s="35"/>
      <c r="P768" s="16"/>
      <c r="Q768" s="46">
        <f t="shared" si="25"/>
        <v>0</v>
      </c>
      <c r="R768" s="47">
        <f t="shared" si="24"/>
        <v>0</v>
      </c>
      <c r="S768" s="48"/>
    </row>
    <row r="769" s="1" customFormat="1" customHeight="1" spans="1:19">
      <c r="A769" s="14">
        <v>861</v>
      </c>
      <c r="B769" s="70">
        <v>46054</v>
      </c>
      <c r="C769" s="16"/>
      <c r="D769" s="17" t="s">
        <v>842</v>
      </c>
      <c r="E769" s="18" t="s">
        <v>844</v>
      </c>
      <c r="F769" s="26" t="s">
        <v>98</v>
      </c>
      <c r="G769" s="19" t="s">
        <v>1734</v>
      </c>
      <c r="H769" s="16" t="s">
        <v>1735</v>
      </c>
      <c r="I769" s="33">
        <v>1784.27</v>
      </c>
      <c r="J769" s="35">
        <v>1784.27</v>
      </c>
      <c r="K769" s="35"/>
      <c r="L769" s="34">
        <v>46054</v>
      </c>
      <c r="M769" s="16"/>
      <c r="N769" s="34"/>
      <c r="O769" s="35"/>
      <c r="P769" s="16"/>
      <c r="Q769" s="46">
        <f t="shared" si="25"/>
        <v>1784.27</v>
      </c>
      <c r="R769" s="47">
        <f t="shared" si="24"/>
        <v>0</v>
      </c>
      <c r="S769" s="48"/>
    </row>
    <row r="770" s="1" customFormat="1" customHeight="1" spans="1:19">
      <c r="A770" s="14">
        <v>863</v>
      </c>
      <c r="B770" s="70">
        <v>46054</v>
      </c>
      <c r="C770" s="16"/>
      <c r="D770" s="17" t="s">
        <v>1872</v>
      </c>
      <c r="E770" s="18" t="s">
        <v>1865</v>
      </c>
      <c r="F770" s="26" t="s">
        <v>98</v>
      </c>
      <c r="G770" s="19" t="s">
        <v>1734</v>
      </c>
      <c r="H770" s="16" t="s">
        <v>1735</v>
      </c>
      <c r="I770" s="33">
        <v>0</v>
      </c>
      <c r="J770" s="35"/>
      <c r="K770" s="35"/>
      <c r="L770" s="34"/>
      <c r="M770" s="16"/>
      <c r="N770" s="34"/>
      <c r="O770" s="35"/>
      <c r="P770" s="16"/>
      <c r="Q770" s="46">
        <f t="shared" si="25"/>
        <v>0</v>
      </c>
      <c r="R770" s="47">
        <f t="shared" si="24"/>
        <v>0</v>
      </c>
      <c r="S770" s="48"/>
    </row>
    <row r="771" s="1" customFormat="1" customHeight="1" spans="1:19">
      <c r="A771" s="14">
        <v>864</v>
      </c>
      <c r="B771" s="70">
        <v>46054</v>
      </c>
      <c r="C771" s="16"/>
      <c r="D771" s="17" t="s">
        <v>1873</v>
      </c>
      <c r="E771" s="18" t="s">
        <v>1931</v>
      </c>
      <c r="F771" s="26" t="s">
        <v>98</v>
      </c>
      <c r="G771" s="19" t="s">
        <v>1734</v>
      </c>
      <c r="H771" s="16" t="s">
        <v>1735</v>
      </c>
      <c r="I771" s="33">
        <v>0</v>
      </c>
      <c r="J771" s="35"/>
      <c r="K771" s="35"/>
      <c r="L771" s="34"/>
      <c r="M771" s="16"/>
      <c r="N771" s="34"/>
      <c r="O771" s="16"/>
      <c r="P771" s="16"/>
      <c r="Q771" s="46">
        <f t="shared" si="25"/>
        <v>0</v>
      </c>
      <c r="R771" s="47">
        <f t="shared" si="24"/>
        <v>0</v>
      </c>
      <c r="S771" s="48"/>
    </row>
    <row r="772" s="1" customFormat="1" customHeight="1" spans="1:19">
      <c r="A772" s="14">
        <v>865</v>
      </c>
      <c r="B772" s="70">
        <v>46054</v>
      </c>
      <c r="C772" s="16"/>
      <c r="D772" s="17" t="s">
        <v>1874</v>
      </c>
      <c r="E772" s="18" t="s">
        <v>1865</v>
      </c>
      <c r="F772" s="26" t="s">
        <v>98</v>
      </c>
      <c r="G772" s="19" t="s">
        <v>1734</v>
      </c>
      <c r="H772" s="16" t="s">
        <v>1735</v>
      </c>
      <c r="I772" s="33">
        <v>0</v>
      </c>
      <c r="J772" s="35"/>
      <c r="K772" s="35"/>
      <c r="L772" s="34"/>
      <c r="M772" s="16"/>
      <c r="N772" s="34"/>
      <c r="O772" s="16"/>
      <c r="P772" s="16"/>
      <c r="Q772" s="46">
        <f t="shared" si="25"/>
        <v>0</v>
      </c>
      <c r="R772" s="47">
        <f t="shared" si="24"/>
        <v>0</v>
      </c>
      <c r="S772" s="48"/>
    </row>
    <row r="773" s="1" customFormat="1" customHeight="1" spans="1:19">
      <c r="A773" s="14">
        <v>866</v>
      </c>
      <c r="B773" s="70">
        <v>46054</v>
      </c>
      <c r="C773" s="16"/>
      <c r="D773" s="17" t="s">
        <v>1662</v>
      </c>
      <c r="E773" s="18" t="s">
        <v>1663</v>
      </c>
      <c r="F773" s="26" t="s">
        <v>98</v>
      </c>
      <c r="G773" s="19" t="s">
        <v>1734</v>
      </c>
      <c r="H773" s="16" t="s">
        <v>1735</v>
      </c>
      <c r="I773" s="33">
        <v>0</v>
      </c>
      <c r="J773" s="35"/>
      <c r="K773" s="35"/>
      <c r="L773" s="34"/>
      <c r="M773" s="16"/>
      <c r="N773" s="34"/>
      <c r="O773" s="16"/>
      <c r="P773" s="16"/>
      <c r="Q773" s="46">
        <f t="shared" si="25"/>
        <v>0</v>
      </c>
      <c r="R773" s="47">
        <f t="shared" si="24"/>
        <v>0</v>
      </c>
      <c r="S773" s="48"/>
    </row>
    <row r="774" s="1" customFormat="1" customHeight="1" spans="1:19">
      <c r="A774" s="14">
        <v>867</v>
      </c>
      <c r="B774" s="70">
        <v>46054</v>
      </c>
      <c r="C774" s="16"/>
      <c r="D774" s="17" t="s">
        <v>1876</v>
      </c>
      <c r="E774" s="18" t="s">
        <v>1865</v>
      </c>
      <c r="F774" s="26" t="s">
        <v>98</v>
      </c>
      <c r="G774" s="19" t="s">
        <v>1734</v>
      </c>
      <c r="H774" s="16" t="s">
        <v>1735</v>
      </c>
      <c r="I774" s="33">
        <v>0</v>
      </c>
      <c r="J774" s="35"/>
      <c r="K774" s="35"/>
      <c r="L774" s="34"/>
      <c r="M774" s="16"/>
      <c r="N774" s="34"/>
      <c r="O774" s="35"/>
      <c r="P774" s="16"/>
      <c r="Q774" s="46">
        <f t="shared" si="25"/>
        <v>0</v>
      </c>
      <c r="R774" s="47">
        <f t="shared" si="24"/>
        <v>0</v>
      </c>
      <c r="S774" s="48"/>
    </row>
    <row r="775" s="1" customFormat="1" customHeight="1" spans="1:19">
      <c r="A775" s="14">
        <v>868</v>
      </c>
      <c r="B775" s="70">
        <v>46054</v>
      </c>
      <c r="C775" s="16"/>
      <c r="D775" s="17" t="s">
        <v>1877</v>
      </c>
      <c r="E775" s="18" t="s">
        <v>765</v>
      </c>
      <c r="F775" s="26" t="s">
        <v>98</v>
      </c>
      <c r="G775" s="19" t="s">
        <v>1734</v>
      </c>
      <c r="H775" s="16" t="s">
        <v>1735</v>
      </c>
      <c r="I775" s="33">
        <v>186.68</v>
      </c>
      <c r="J775" s="35">
        <v>186.68</v>
      </c>
      <c r="K775" s="35"/>
      <c r="L775" s="34">
        <v>46084</v>
      </c>
      <c r="M775" s="16"/>
      <c r="N775" s="34"/>
      <c r="O775" s="35"/>
      <c r="P775" s="16"/>
      <c r="Q775" s="46">
        <f t="shared" si="25"/>
        <v>186.68</v>
      </c>
      <c r="R775" s="47">
        <f t="shared" si="24"/>
        <v>0</v>
      </c>
      <c r="S775" s="48"/>
    </row>
    <row r="776" s="1" customFormat="1" customHeight="1" spans="1:19">
      <c r="A776" s="14">
        <v>869</v>
      </c>
      <c r="B776" s="70">
        <v>46054</v>
      </c>
      <c r="C776" s="16" t="s">
        <v>16</v>
      </c>
      <c r="D776" s="17" t="s">
        <v>864</v>
      </c>
      <c r="E776" s="18" t="s">
        <v>866</v>
      </c>
      <c r="F776" s="26" t="s">
        <v>98</v>
      </c>
      <c r="G776" s="19" t="s">
        <v>1734</v>
      </c>
      <c r="H776" s="16" t="s">
        <v>1735</v>
      </c>
      <c r="I776" s="33">
        <v>1447.49</v>
      </c>
      <c r="J776" s="33">
        <v>1447.49</v>
      </c>
      <c r="K776" s="35">
        <v>52.51</v>
      </c>
      <c r="L776" s="34">
        <v>46083</v>
      </c>
      <c r="M776" s="16"/>
      <c r="N776" s="34"/>
      <c r="O776" s="35"/>
      <c r="P776" s="16"/>
      <c r="Q776" s="46">
        <f t="shared" si="25"/>
        <v>1447.49</v>
      </c>
      <c r="R776" s="47">
        <f t="shared" si="24"/>
        <v>0</v>
      </c>
      <c r="S776" s="48"/>
    </row>
    <row r="777" s="1" customFormat="1" customHeight="1" spans="1:19">
      <c r="A777" s="14">
        <v>870</v>
      </c>
      <c r="B777" s="70">
        <v>46054</v>
      </c>
      <c r="C777" s="16"/>
      <c r="D777" s="17" t="s">
        <v>1879</v>
      </c>
      <c r="E777" s="18" t="s">
        <v>1880</v>
      </c>
      <c r="F777" s="26" t="s">
        <v>98</v>
      </c>
      <c r="G777" s="19" t="s">
        <v>1734</v>
      </c>
      <c r="H777" s="16" t="s">
        <v>1735</v>
      </c>
      <c r="I777" s="33">
        <v>0</v>
      </c>
      <c r="J777" s="35"/>
      <c r="K777" s="35"/>
      <c r="L777" s="34"/>
      <c r="M777" s="16"/>
      <c r="N777" s="34"/>
      <c r="O777" s="35"/>
      <c r="P777" s="16"/>
      <c r="Q777" s="46">
        <f t="shared" si="25"/>
        <v>0</v>
      </c>
      <c r="R777" s="47">
        <f t="shared" si="24"/>
        <v>0</v>
      </c>
      <c r="S777" s="48"/>
    </row>
    <row r="778" s="1" customFormat="1" customHeight="1" spans="1:19">
      <c r="A778" s="14">
        <v>871</v>
      </c>
      <c r="B778" s="70">
        <v>46054</v>
      </c>
      <c r="C778" s="16"/>
      <c r="D778" s="17" t="s">
        <v>1881</v>
      </c>
      <c r="E778" s="18" t="s">
        <v>1880</v>
      </c>
      <c r="F778" s="26" t="s">
        <v>98</v>
      </c>
      <c r="G778" s="19" t="s">
        <v>1734</v>
      </c>
      <c r="H778" s="16" t="s">
        <v>1735</v>
      </c>
      <c r="I778" s="33">
        <v>0</v>
      </c>
      <c r="J778" s="35"/>
      <c r="K778" s="35"/>
      <c r="L778" s="34"/>
      <c r="M778" s="16"/>
      <c r="N778" s="34"/>
      <c r="O778" s="16"/>
      <c r="P778" s="16"/>
      <c r="Q778" s="46">
        <f t="shared" si="25"/>
        <v>0</v>
      </c>
      <c r="R778" s="47">
        <f t="shared" si="24"/>
        <v>0</v>
      </c>
      <c r="S778" s="48"/>
    </row>
    <row r="779" s="1" customFormat="1" customHeight="1" spans="1:19">
      <c r="A779" s="14">
        <v>872</v>
      </c>
      <c r="B779" s="70">
        <v>46054</v>
      </c>
      <c r="C779" s="16"/>
      <c r="D779" s="17" t="s">
        <v>1882</v>
      </c>
      <c r="E779" s="18" t="s">
        <v>1880</v>
      </c>
      <c r="F779" s="26" t="s">
        <v>98</v>
      </c>
      <c r="G779" s="19" t="s">
        <v>1734</v>
      </c>
      <c r="H779" s="16" t="s">
        <v>1735</v>
      </c>
      <c r="I779" s="33">
        <v>0</v>
      </c>
      <c r="J779" s="35"/>
      <c r="K779" s="35"/>
      <c r="L779" s="34"/>
      <c r="M779" s="16"/>
      <c r="N779" s="34"/>
      <c r="O779" s="16"/>
      <c r="P779" s="16"/>
      <c r="Q779" s="46">
        <f t="shared" si="25"/>
        <v>0</v>
      </c>
      <c r="R779" s="47">
        <f t="shared" si="24"/>
        <v>0</v>
      </c>
      <c r="S779" s="48"/>
    </row>
    <row r="780" s="1" customFormat="1" customHeight="1" spans="1:19">
      <c r="A780" s="14">
        <v>873</v>
      </c>
      <c r="B780" s="70">
        <v>46054</v>
      </c>
      <c r="C780" s="16"/>
      <c r="D780" s="17" t="s">
        <v>1883</v>
      </c>
      <c r="E780" s="18" t="s">
        <v>1106</v>
      </c>
      <c r="F780" s="26" t="s">
        <v>98</v>
      </c>
      <c r="G780" s="19" t="s">
        <v>1734</v>
      </c>
      <c r="H780" s="16" t="s">
        <v>1735</v>
      </c>
      <c r="I780" s="33">
        <v>373.36</v>
      </c>
      <c r="J780" s="35">
        <v>373.36</v>
      </c>
      <c r="K780" s="35"/>
      <c r="L780" s="34">
        <v>46063</v>
      </c>
      <c r="M780" s="16"/>
      <c r="N780" s="34"/>
      <c r="O780" s="16"/>
      <c r="P780" s="16"/>
      <c r="Q780" s="46">
        <f t="shared" si="25"/>
        <v>373.36</v>
      </c>
      <c r="R780" s="47">
        <f t="shared" si="24"/>
        <v>0</v>
      </c>
      <c r="S780" s="48"/>
    </row>
    <row r="781" s="1" customFormat="1" customHeight="1" spans="1:19">
      <c r="A781" s="14">
        <v>874</v>
      </c>
      <c r="B781" s="70">
        <v>46054</v>
      </c>
      <c r="C781" s="16"/>
      <c r="D781" s="17" t="s">
        <v>1011</v>
      </c>
      <c r="E781" s="18" t="s">
        <v>1013</v>
      </c>
      <c r="F781" s="26" t="s">
        <v>98</v>
      </c>
      <c r="G781" s="19" t="s">
        <v>1734</v>
      </c>
      <c r="H781" s="16" t="s">
        <v>1735</v>
      </c>
      <c r="I781" s="33"/>
      <c r="J781" s="35"/>
      <c r="K781" s="35"/>
      <c r="L781" s="34"/>
      <c r="M781" s="16"/>
      <c r="N781" s="34"/>
      <c r="O781" s="35"/>
      <c r="P781" s="16"/>
      <c r="Q781" s="46">
        <f t="shared" si="25"/>
        <v>0</v>
      </c>
      <c r="R781" s="47">
        <f t="shared" ref="R781:R844" si="26">I781-Q781</f>
        <v>0</v>
      </c>
      <c r="S781" s="48"/>
    </row>
    <row r="782" s="1" customFormat="1" customHeight="1" spans="1:19">
      <c r="A782" s="14">
        <v>875</v>
      </c>
      <c r="B782" s="70">
        <v>46054</v>
      </c>
      <c r="C782" s="16"/>
      <c r="D782" s="17" t="s">
        <v>1884</v>
      </c>
      <c r="E782" s="18" t="s">
        <v>1885</v>
      </c>
      <c r="F782" s="26" t="s">
        <v>98</v>
      </c>
      <c r="G782" s="19" t="s">
        <v>1734</v>
      </c>
      <c r="H782" s="16" t="s">
        <v>1735</v>
      </c>
      <c r="I782" s="33">
        <v>0</v>
      </c>
      <c r="J782" s="35"/>
      <c r="K782" s="35"/>
      <c r="L782" s="34"/>
      <c r="M782" s="16"/>
      <c r="N782" s="34"/>
      <c r="O782" s="35"/>
      <c r="P782" s="16"/>
      <c r="Q782" s="46">
        <f t="shared" si="25"/>
        <v>0</v>
      </c>
      <c r="R782" s="47">
        <f t="shared" si="26"/>
        <v>0</v>
      </c>
      <c r="S782" s="48"/>
    </row>
    <row r="783" s="1" customFormat="1" customHeight="1" spans="1:19">
      <c r="A783" s="14">
        <v>879</v>
      </c>
      <c r="B783" s="70">
        <v>46054</v>
      </c>
      <c r="C783" s="16"/>
      <c r="D783" s="17" t="s">
        <v>1886</v>
      </c>
      <c r="E783" s="18" t="s">
        <v>1880</v>
      </c>
      <c r="F783" s="26" t="s">
        <v>98</v>
      </c>
      <c r="G783" s="19" t="s">
        <v>1734</v>
      </c>
      <c r="H783" s="16" t="s">
        <v>1735</v>
      </c>
      <c r="I783" s="33">
        <v>0</v>
      </c>
      <c r="J783" s="35"/>
      <c r="K783" s="35"/>
      <c r="L783" s="34"/>
      <c r="M783" s="16"/>
      <c r="N783" s="34"/>
      <c r="O783" s="16"/>
      <c r="P783" s="16"/>
      <c r="Q783" s="46">
        <f t="shared" si="25"/>
        <v>0</v>
      </c>
      <c r="R783" s="47">
        <f t="shared" si="26"/>
        <v>0</v>
      </c>
      <c r="S783" s="48"/>
    </row>
    <row r="784" s="1" customFormat="1" customHeight="1" spans="1:19">
      <c r="A784" s="14">
        <v>883</v>
      </c>
      <c r="B784" s="70">
        <v>46054</v>
      </c>
      <c r="C784" s="16"/>
      <c r="D784" s="17" t="s">
        <v>1887</v>
      </c>
      <c r="E784" s="18" t="s">
        <v>1888</v>
      </c>
      <c r="F784" s="26" t="s">
        <v>98</v>
      </c>
      <c r="G784" s="19" t="s">
        <v>1734</v>
      </c>
      <c r="H784" s="16" t="s">
        <v>1735</v>
      </c>
      <c r="I784" s="33">
        <v>0</v>
      </c>
      <c r="J784" s="35"/>
      <c r="K784" s="35"/>
      <c r="L784" s="34"/>
      <c r="M784" s="16"/>
      <c r="N784" s="34"/>
      <c r="O784" s="35"/>
      <c r="P784" s="16"/>
      <c r="Q784" s="46">
        <f t="shared" si="25"/>
        <v>0</v>
      </c>
      <c r="R784" s="47">
        <f t="shared" si="26"/>
        <v>0</v>
      </c>
      <c r="S784" s="48"/>
    </row>
    <row r="785" s="1" customFormat="1" customHeight="1" spans="1:19">
      <c r="A785" s="14">
        <v>884</v>
      </c>
      <c r="B785" s="70">
        <v>46054</v>
      </c>
      <c r="C785" s="16"/>
      <c r="D785" s="17" t="s">
        <v>1151</v>
      </c>
      <c r="E785" s="18" t="s">
        <v>1880</v>
      </c>
      <c r="F785" s="26" t="s">
        <v>98</v>
      </c>
      <c r="G785" s="19" t="s">
        <v>1734</v>
      </c>
      <c r="H785" s="16" t="s">
        <v>1735</v>
      </c>
      <c r="I785" s="33">
        <v>0</v>
      </c>
      <c r="J785" s="35"/>
      <c r="K785" s="35"/>
      <c r="L785" s="34"/>
      <c r="M785" s="16"/>
      <c r="N785" s="34"/>
      <c r="O785" s="35"/>
      <c r="P785" s="16"/>
      <c r="Q785" s="46">
        <f t="shared" si="25"/>
        <v>0</v>
      </c>
      <c r="R785" s="47">
        <f t="shared" si="26"/>
        <v>0</v>
      </c>
      <c r="S785" s="48"/>
    </row>
    <row r="786" s="1" customFormat="1" customHeight="1" spans="1:19">
      <c r="A786" s="14">
        <v>885</v>
      </c>
      <c r="B786" s="70">
        <v>46054</v>
      </c>
      <c r="C786" s="16" t="s">
        <v>1044</v>
      </c>
      <c r="D786" s="17" t="s">
        <v>858</v>
      </c>
      <c r="E786" s="18" t="s">
        <v>1941</v>
      </c>
      <c r="F786" s="26" t="s">
        <v>98</v>
      </c>
      <c r="G786" s="19" t="s">
        <v>1734</v>
      </c>
      <c r="H786" s="16" t="s">
        <v>1735</v>
      </c>
      <c r="I786" s="33">
        <v>371.49</v>
      </c>
      <c r="J786" s="35">
        <v>371.49</v>
      </c>
      <c r="K786" s="35">
        <v>0.51</v>
      </c>
      <c r="L786" s="34">
        <v>46062</v>
      </c>
      <c r="M786" s="16"/>
      <c r="N786" s="34"/>
      <c r="O786" s="16"/>
      <c r="P786" s="16"/>
      <c r="Q786" s="46">
        <f t="shared" si="25"/>
        <v>371.49</v>
      </c>
      <c r="R786" s="47">
        <f t="shared" si="26"/>
        <v>0</v>
      </c>
      <c r="S786" s="48"/>
    </row>
    <row r="787" s="1" customFormat="1" customHeight="1" spans="1:19">
      <c r="A787" s="14">
        <v>887</v>
      </c>
      <c r="B787" s="70">
        <v>46054</v>
      </c>
      <c r="C787" s="16" t="s">
        <v>909</v>
      </c>
      <c r="D787" s="17" t="s">
        <v>993</v>
      </c>
      <c r="E787" s="18" t="s">
        <v>1889</v>
      </c>
      <c r="F787" s="26" t="s">
        <v>98</v>
      </c>
      <c r="G787" s="19" t="s">
        <v>1734</v>
      </c>
      <c r="H787" s="16" t="s">
        <v>1735</v>
      </c>
      <c r="I787" s="33">
        <v>378.05</v>
      </c>
      <c r="J787" s="35">
        <v>378.05</v>
      </c>
      <c r="K787" s="35"/>
      <c r="L787" s="34">
        <v>46081</v>
      </c>
      <c r="M787" s="16"/>
      <c r="N787" s="34"/>
      <c r="O787" s="16"/>
      <c r="P787" s="16"/>
      <c r="Q787" s="46">
        <f t="shared" si="25"/>
        <v>378.05</v>
      </c>
      <c r="R787" s="47">
        <f t="shared" si="26"/>
        <v>0</v>
      </c>
      <c r="S787" s="48"/>
    </row>
    <row r="788" s="1" customFormat="1" customHeight="1" spans="1:19">
      <c r="A788" s="14">
        <v>888</v>
      </c>
      <c r="B788" s="70">
        <v>46054</v>
      </c>
      <c r="C788" s="16"/>
      <c r="D788" s="17" t="s">
        <v>1890</v>
      </c>
      <c r="E788" s="18" t="s">
        <v>1891</v>
      </c>
      <c r="F788" s="26" t="s">
        <v>98</v>
      </c>
      <c r="G788" s="19" t="s">
        <v>1734</v>
      </c>
      <c r="H788" s="16" t="s">
        <v>1735</v>
      </c>
      <c r="I788" s="33">
        <v>0</v>
      </c>
      <c r="J788" s="35"/>
      <c r="K788" s="35"/>
      <c r="L788" s="34"/>
      <c r="M788" s="16"/>
      <c r="N788" s="34"/>
      <c r="O788" s="35"/>
      <c r="P788" s="16"/>
      <c r="Q788" s="46">
        <f t="shared" si="25"/>
        <v>0</v>
      </c>
      <c r="R788" s="47">
        <f t="shared" si="26"/>
        <v>0</v>
      </c>
      <c r="S788" s="48"/>
    </row>
    <row r="789" s="1" customFormat="1" customHeight="1" spans="1:19">
      <c r="A789" s="14">
        <v>889</v>
      </c>
      <c r="B789" s="70">
        <v>46054</v>
      </c>
      <c r="C789" s="16"/>
      <c r="D789" s="17" t="s">
        <v>946</v>
      </c>
      <c r="E789" s="18" t="s">
        <v>948</v>
      </c>
      <c r="F789" s="26" t="s">
        <v>98</v>
      </c>
      <c r="G789" s="19" t="s">
        <v>1734</v>
      </c>
      <c r="H789" s="16" t="s">
        <v>1735</v>
      </c>
      <c r="I789" s="33">
        <v>5022.59</v>
      </c>
      <c r="J789" s="35">
        <v>5022.59</v>
      </c>
      <c r="K789" s="35"/>
      <c r="L789" s="34">
        <v>46067</v>
      </c>
      <c r="M789" s="16"/>
      <c r="N789" s="34"/>
      <c r="O789" s="35"/>
      <c r="P789" s="16"/>
      <c r="Q789" s="46">
        <f t="shared" ref="Q789:Q852" si="27">J789+M789+O789</f>
        <v>5022.59</v>
      </c>
      <c r="R789" s="47">
        <f t="shared" si="26"/>
        <v>0</v>
      </c>
      <c r="S789" s="48"/>
    </row>
    <row r="790" s="1" customFormat="1" customHeight="1" spans="1:19">
      <c r="A790" s="14">
        <v>890</v>
      </c>
      <c r="B790" s="70">
        <v>46054</v>
      </c>
      <c r="C790" s="16"/>
      <c r="D790" s="17" t="s">
        <v>954</v>
      </c>
      <c r="E790" s="18" t="s">
        <v>956</v>
      </c>
      <c r="F790" s="26" t="s">
        <v>98</v>
      </c>
      <c r="G790" s="19" t="s">
        <v>1734</v>
      </c>
      <c r="H790" s="16" t="s">
        <v>1735</v>
      </c>
      <c r="I790" s="33">
        <v>1252.36</v>
      </c>
      <c r="J790" s="35">
        <v>1252.36</v>
      </c>
      <c r="K790" s="35"/>
      <c r="L790" s="34">
        <v>46084</v>
      </c>
      <c r="M790" s="16"/>
      <c r="N790" s="34"/>
      <c r="O790" s="35"/>
      <c r="P790" s="16"/>
      <c r="Q790" s="46">
        <f t="shared" si="27"/>
        <v>1252.36</v>
      </c>
      <c r="R790" s="47">
        <f t="shared" si="26"/>
        <v>0</v>
      </c>
      <c r="S790" s="48"/>
    </row>
    <row r="791" s="1" customFormat="1" customHeight="1" spans="1:19">
      <c r="A791" s="14">
        <v>891</v>
      </c>
      <c r="B791" s="70">
        <v>46054</v>
      </c>
      <c r="C791" s="16"/>
      <c r="D791" s="17"/>
      <c r="E791" s="18" t="s">
        <v>1892</v>
      </c>
      <c r="F791" s="26" t="s">
        <v>98</v>
      </c>
      <c r="G791" s="19" t="s">
        <v>1734</v>
      </c>
      <c r="H791" s="16" t="s">
        <v>1735</v>
      </c>
      <c r="I791" s="33">
        <v>0</v>
      </c>
      <c r="J791" s="35"/>
      <c r="K791" s="35"/>
      <c r="L791" s="34"/>
      <c r="M791" s="16"/>
      <c r="N791" s="34"/>
      <c r="O791" s="35"/>
      <c r="P791" s="16"/>
      <c r="Q791" s="46">
        <f t="shared" si="27"/>
        <v>0</v>
      </c>
      <c r="R791" s="47">
        <f t="shared" si="26"/>
        <v>0</v>
      </c>
      <c r="S791" s="48"/>
    </row>
    <row r="792" s="1" customFormat="1" customHeight="1" spans="1:19">
      <c r="A792" s="14">
        <v>892</v>
      </c>
      <c r="B792" s="70">
        <v>46054</v>
      </c>
      <c r="C792" s="16" t="s">
        <v>909</v>
      </c>
      <c r="D792" s="17" t="s">
        <v>1003</v>
      </c>
      <c r="E792" s="18" t="s">
        <v>1005</v>
      </c>
      <c r="F792" s="26" t="s">
        <v>98</v>
      </c>
      <c r="G792" s="19" t="s">
        <v>1734</v>
      </c>
      <c r="H792" s="16" t="s">
        <v>1735</v>
      </c>
      <c r="I792" s="33">
        <v>0</v>
      </c>
      <c r="J792" s="35"/>
      <c r="K792" s="35"/>
      <c r="L792" s="34"/>
      <c r="M792" s="16"/>
      <c r="N792" s="34"/>
      <c r="O792" s="16"/>
      <c r="P792" s="16"/>
      <c r="Q792" s="46">
        <f t="shared" si="27"/>
        <v>0</v>
      </c>
      <c r="R792" s="47">
        <f t="shared" si="26"/>
        <v>0</v>
      </c>
      <c r="S792" s="48"/>
    </row>
    <row r="793" s="1" customFormat="1" customHeight="1" spans="1:19">
      <c r="A793" s="14">
        <v>893</v>
      </c>
      <c r="B793" s="70">
        <v>46054</v>
      </c>
      <c r="C793" s="16"/>
      <c r="D793" s="17" t="s">
        <v>1893</v>
      </c>
      <c r="E793" s="18" t="s">
        <v>1880</v>
      </c>
      <c r="F793" s="26" t="s">
        <v>98</v>
      </c>
      <c r="G793" s="19" t="s">
        <v>1734</v>
      </c>
      <c r="H793" s="16" t="s">
        <v>1735</v>
      </c>
      <c r="I793" s="33">
        <v>0</v>
      </c>
      <c r="J793" s="35"/>
      <c r="K793" s="35"/>
      <c r="L793" s="34"/>
      <c r="M793" s="16"/>
      <c r="N793" s="34"/>
      <c r="O793" s="16"/>
      <c r="P793" s="16"/>
      <c r="Q793" s="46">
        <f t="shared" si="27"/>
        <v>0</v>
      </c>
      <c r="R793" s="47">
        <f t="shared" si="26"/>
        <v>0</v>
      </c>
      <c r="S793" s="48"/>
    </row>
    <row r="794" s="1" customFormat="1" customHeight="1" spans="1:19">
      <c r="A794" s="14">
        <v>894</v>
      </c>
      <c r="B794" s="70">
        <v>46054</v>
      </c>
      <c r="C794" s="16"/>
      <c r="D794" s="17" t="s">
        <v>885</v>
      </c>
      <c r="E794" s="18" t="s">
        <v>886</v>
      </c>
      <c r="F794" s="26" t="s">
        <v>98</v>
      </c>
      <c r="G794" s="19" t="s">
        <v>1734</v>
      </c>
      <c r="H794" s="16" t="s">
        <v>1735</v>
      </c>
      <c r="I794" s="33">
        <v>1069.43</v>
      </c>
      <c r="J794" s="35">
        <v>1069.43</v>
      </c>
      <c r="K794" s="35">
        <v>0.07</v>
      </c>
      <c r="L794" s="34">
        <v>46065</v>
      </c>
      <c r="M794" s="16"/>
      <c r="N794" s="34"/>
      <c r="O794" s="16"/>
      <c r="P794" s="16"/>
      <c r="Q794" s="46">
        <f t="shared" si="27"/>
        <v>1069.43</v>
      </c>
      <c r="R794" s="47">
        <f t="shared" si="26"/>
        <v>0</v>
      </c>
      <c r="S794" s="48"/>
    </row>
    <row r="795" s="1" customFormat="1" customHeight="1" spans="1:19">
      <c r="A795" s="14">
        <v>895</v>
      </c>
      <c r="B795" s="70">
        <v>46054</v>
      </c>
      <c r="C795" s="16"/>
      <c r="D795" s="17" t="s">
        <v>881</v>
      </c>
      <c r="E795" s="18" t="s">
        <v>1780</v>
      </c>
      <c r="F795" s="26" t="s">
        <v>98</v>
      </c>
      <c r="G795" s="19" t="s">
        <v>1734</v>
      </c>
      <c r="H795" s="16" t="s">
        <v>1735</v>
      </c>
      <c r="I795" s="33">
        <v>0</v>
      </c>
      <c r="J795" s="35"/>
      <c r="K795" s="35"/>
      <c r="L795" s="34"/>
      <c r="M795" s="16"/>
      <c r="N795" s="34"/>
      <c r="O795" s="35"/>
      <c r="P795" s="16"/>
      <c r="Q795" s="46">
        <f t="shared" si="27"/>
        <v>0</v>
      </c>
      <c r="R795" s="47">
        <f t="shared" si="26"/>
        <v>0</v>
      </c>
      <c r="S795" s="48"/>
    </row>
    <row r="796" s="1" customFormat="1" customHeight="1" spans="1:19">
      <c r="A796" s="14">
        <v>896</v>
      </c>
      <c r="B796" s="70">
        <v>46054</v>
      </c>
      <c r="C796" s="16"/>
      <c r="D796" s="17" t="s">
        <v>1775</v>
      </c>
      <c r="E796" s="18" t="s">
        <v>1124</v>
      </c>
      <c r="F796" s="26" t="s">
        <v>98</v>
      </c>
      <c r="G796" s="19" t="s">
        <v>1734</v>
      </c>
      <c r="H796" s="16" t="s">
        <v>1735</v>
      </c>
      <c r="I796" s="33">
        <v>2867.01</v>
      </c>
      <c r="J796" s="35">
        <v>2867.01</v>
      </c>
      <c r="K796" s="35">
        <v>0.01</v>
      </c>
      <c r="L796" s="34">
        <v>46064</v>
      </c>
      <c r="M796" s="16"/>
      <c r="N796" s="34"/>
      <c r="O796" s="35"/>
      <c r="P796" s="16"/>
      <c r="Q796" s="46">
        <f t="shared" si="27"/>
        <v>2867.01</v>
      </c>
      <c r="R796" s="47">
        <f t="shared" si="26"/>
        <v>0</v>
      </c>
      <c r="S796" s="48"/>
    </row>
    <row r="797" s="1" customFormat="1" customHeight="1" spans="1:19">
      <c r="A797" s="14">
        <v>897</v>
      </c>
      <c r="B797" s="70">
        <v>46054</v>
      </c>
      <c r="C797" s="16"/>
      <c r="D797" s="17" t="s">
        <v>1859</v>
      </c>
      <c r="E797" s="18" t="s">
        <v>1260</v>
      </c>
      <c r="F797" s="26" t="s">
        <v>98</v>
      </c>
      <c r="G797" s="19" t="s">
        <v>1734</v>
      </c>
      <c r="H797" s="16" t="s">
        <v>1735</v>
      </c>
      <c r="I797" s="33">
        <v>1431.54</v>
      </c>
      <c r="J797" s="35">
        <v>1431.54</v>
      </c>
      <c r="K797" s="35"/>
      <c r="L797" s="34">
        <v>46063</v>
      </c>
      <c r="M797" s="16"/>
      <c r="N797" s="34"/>
      <c r="O797" s="35"/>
      <c r="P797" s="16"/>
      <c r="Q797" s="46">
        <f t="shared" si="27"/>
        <v>1431.54</v>
      </c>
      <c r="R797" s="47">
        <f t="shared" si="26"/>
        <v>0</v>
      </c>
      <c r="S797" s="48"/>
    </row>
    <row r="798" s="1" customFormat="1" customHeight="1" spans="1:19">
      <c r="A798" s="14">
        <v>898</v>
      </c>
      <c r="B798" s="70">
        <v>46054</v>
      </c>
      <c r="C798" s="16"/>
      <c r="D798" s="17" t="s">
        <v>1942</v>
      </c>
      <c r="E798" s="18" t="s">
        <v>1943</v>
      </c>
      <c r="F798" s="26" t="s">
        <v>98</v>
      </c>
      <c r="G798" s="19" t="s">
        <v>1734</v>
      </c>
      <c r="H798" s="16" t="s">
        <v>1735</v>
      </c>
      <c r="I798" s="33">
        <v>845</v>
      </c>
      <c r="J798" s="35">
        <v>845</v>
      </c>
      <c r="K798" s="35"/>
      <c r="L798" s="34">
        <v>46107</v>
      </c>
      <c r="M798" s="16"/>
      <c r="N798" s="34"/>
      <c r="O798" s="35"/>
      <c r="P798" s="16"/>
      <c r="Q798" s="46">
        <f t="shared" si="27"/>
        <v>845</v>
      </c>
      <c r="R798" s="47">
        <f t="shared" si="26"/>
        <v>0</v>
      </c>
      <c r="S798" s="48"/>
    </row>
    <row r="799" s="1" customFormat="1" customHeight="1" spans="1:19">
      <c r="A799" s="14">
        <v>899</v>
      </c>
      <c r="B799" s="70">
        <v>46054</v>
      </c>
      <c r="C799" s="16"/>
      <c r="D799" s="17" t="s">
        <v>881</v>
      </c>
      <c r="E799" s="18" t="s">
        <v>1231</v>
      </c>
      <c r="F799" s="26" t="s">
        <v>98</v>
      </c>
      <c r="G799" s="19" t="s">
        <v>1734</v>
      </c>
      <c r="H799" s="16" t="s">
        <v>1735</v>
      </c>
      <c r="I799" s="33">
        <v>671.68</v>
      </c>
      <c r="J799" s="35">
        <v>671.68</v>
      </c>
      <c r="K799" s="35">
        <v>0.32</v>
      </c>
      <c r="L799" s="34">
        <v>46066</v>
      </c>
      <c r="M799" s="16"/>
      <c r="N799" s="34"/>
      <c r="O799" s="16"/>
      <c r="P799" s="16"/>
      <c r="Q799" s="46">
        <f t="shared" si="27"/>
        <v>671.68</v>
      </c>
      <c r="R799" s="47">
        <f t="shared" si="26"/>
        <v>0</v>
      </c>
      <c r="S799" s="48"/>
    </row>
    <row r="800" s="1" customFormat="1" customHeight="1" spans="1:19">
      <c r="A800" s="14">
        <v>900</v>
      </c>
      <c r="B800" s="70">
        <v>46054</v>
      </c>
      <c r="C800" s="16"/>
      <c r="D800" s="17" t="s">
        <v>1897</v>
      </c>
      <c r="E800" s="18" t="s">
        <v>1740</v>
      </c>
      <c r="F800" s="26" t="s">
        <v>98</v>
      </c>
      <c r="G800" s="19" t="s">
        <v>1734</v>
      </c>
      <c r="H800" s="16" t="s">
        <v>1735</v>
      </c>
      <c r="I800" s="33">
        <v>305.82</v>
      </c>
      <c r="J800" s="35">
        <v>305.82</v>
      </c>
      <c r="K800" s="35"/>
      <c r="L800" s="34">
        <v>46060</v>
      </c>
      <c r="M800" s="16"/>
      <c r="N800" s="34"/>
      <c r="O800" s="16"/>
      <c r="P800" s="16"/>
      <c r="Q800" s="46">
        <f t="shared" si="27"/>
        <v>305.82</v>
      </c>
      <c r="R800" s="47">
        <f t="shared" si="26"/>
        <v>0</v>
      </c>
      <c r="S800" s="48"/>
    </row>
    <row r="801" s="1" customFormat="1" customHeight="1" spans="1:19">
      <c r="A801" s="14">
        <v>901</v>
      </c>
      <c r="B801" s="70">
        <v>46054</v>
      </c>
      <c r="C801" s="16"/>
      <c r="D801" s="334" t="s">
        <v>1898</v>
      </c>
      <c r="E801" s="18" t="s">
        <v>1899</v>
      </c>
      <c r="F801" s="26" t="s">
        <v>98</v>
      </c>
      <c r="G801" s="19" t="s">
        <v>1734</v>
      </c>
      <c r="H801" s="16" t="s">
        <v>1735</v>
      </c>
      <c r="I801" s="33">
        <v>198.31</v>
      </c>
      <c r="J801" s="35">
        <v>198.31</v>
      </c>
      <c r="K801" s="35">
        <v>0.06</v>
      </c>
      <c r="L801" s="34">
        <v>46063</v>
      </c>
      <c r="M801" s="16"/>
      <c r="N801" s="34"/>
      <c r="O801" s="16"/>
      <c r="P801" s="16"/>
      <c r="Q801" s="46">
        <f t="shared" si="27"/>
        <v>198.31</v>
      </c>
      <c r="R801" s="47">
        <f t="shared" si="26"/>
        <v>0</v>
      </c>
      <c r="S801" s="48"/>
    </row>
    <row r="802" s="1" customFormat="1" customHeight="1" spans="1:19">
      <c r="A802" s="14">
        <v>902</v>
      </c>
      <c r="B802" s="70">
        <v>46054</v>
      </c>
      <c r="C802" s="16"/>
      <c r="D802" s="334" t="s">
        <v>1900</v>
      </c>
      <c r="E802" s="18" t="s">
        <v>1828</v>
      </c>
      <c r="F802" s="26" t="s">
        <v>98</v>
      </c>
      <c r="G802" s="19" t="s">
        <v>1734</v>
      </c>
      <c r="H802" s="16" t="s">
        <v>1735</v>
      </c>
      <c r="I802" s="33">
        <v>85.37</v>
      </c>
      <c r="J802" s="35">
        <v>85.37</v>
      </c>
      <c r="K802" s="35"/>
      <c r="L802" s="34">
        <v>46063</v>
      </c>
      <c r="M802" s="16"/>
      <c r="N802" s="34"/>
      <c r="O802" s="35"/>
      <c r="P802" s="16"/>
      <c r="Q802" s="46">
        <f t="shared" si="27"/>
        <v>85.37</v>
      </c>
      <c r="R802" s="47">
        <f t="shared" si="26"/>
        <v>0</v>
      </c>
      <c r="S802" s="48"/>
    </row>
    <row r="803" s="1" customFormat="1" customHeight="1" spans="1:19">
      <c r="A803" s="14">
        <v>903</v>
      </c>
      <c r="B803" s="70">
        <v>46054</v>
      </c>
      <c r="C803" s="16"/>
      <c r="D803" s="334" t="s">
        <v>1761</v>
      </c>
      <c r="E803" s="18" t="s">
        <v>1762</v>
      </c>
      <c r="F803" s="26" t="s">
        <v>98</v>
      </c>
      <c r="G803" s="19" t="s">
        <v>1734</v>
      </c>
      <c r="H803" s="16" t="s">
        <v>1735</v>
      </c>
      <c r="I803" s="33">
        <v>405.26</v>
      </c>
      <c r="J803" s="35">
        <v>405.26</v>
      </c>
      <c r="K803" s="35"/>
      <c r="L803" s="34">
        <v>46063</v>
      </c>
      <c r="M803" s="16"/>
      <c r="N803" s="34"/>
      <c r="O803" s="35"/>
      <c r="P803" s="16"/>
      <c r="Q803" s="46">
        <f t="shared" si="27"/>
        <v>405.26</v>
      </c>
      <c r="R803" s="47">
        <f t="shared" si="26"/>
        <v>0</v>
      </c>
      <c r="S803" s="48"/>
    </row>
    <row r="804" s="1" customFormat="1" customHeight="1" spans="1:19">
      <c r="A804" s="14">
        <v>904</v>
      </c>
      <c r="B804" s="70">
        <v>46054</v>
      </c>
      <c r="C804" s="16"/>
      <c r="D804" s="334" t="s">
        <v>1901</v>
      </c>
      <c r="E804" s="18" t="s">
        <v>1902</v>
      </c>
      <c r="F804" s="26" t="s">
        <v>98</v>
      </c>
      <c r="G804" s="19" t="s">
        <v>1734</v>
      </c>
      <c r="H804" s="16" t="s">
        <v>1735</v>
      </c>
      <c r="I804" s="33">
        <v>151.97</v>
      </c>
      <c r="J804" s="35">
        <v>151.97</v>
      </c>
      <c r="K804" s="35">
        <v>0.02</v>
      </c>
      <c r="L804" s="34">
        <v>46063</v>
      </c>
      <c r="M804" s="16"/>
      <c r="N804" s="34"/>
      <c r="O804" s="35"/>
      <c r="P804" s="16"/>
      <c r="Q804" s="46">
        <f t="shared" si="27"/>
        <v>151.97</v>
      </c>
      <c r="R804" s="47">
        <f t="shared" si="26"/>
        <v>0</v>
      </c>
      <c r="S804" s="48"/>
    </row>
    <row r="805" s="1" customFormat="1" customHeight="1" spans="1:19">
      <c r="A805" s="14">
        <v>905</v>
      </c>
      <c r="B805" s="70">
        <v>46054</v>
      </c>
      <c r="C805" s="16"/>
      <c r="D805" s="334" t="s">
        <v>1821</v>
      </c>
      <c r="E805" s="18" t="s">
        <v>1822</v>
      </c>
      <c r="F805" s="26" t="s">
        <v>98</v>
      </c>
      <c r="G805" s="19" t="s">
        <v>1734</v>
      </c>
      <c r="H805" s="16" t="s">
        <v>1735</v>
      </c>
      <c r="I805" s="33">
        <v>105.07</v>
      </c>
      <c r="J805" s="35">
        <v>105.07</v>
      </c>
      <c r="K805" s="35"/>
      <c r="L805" s="34">
        <v>46063</v>
      </c>
      <c r="M805" s="16"/>
      <c r="N805" s="34"/>
      <c r="O805" s="35"/>
      <c r="P805" s="16"/>
      <c r="Q805" s="46">
        <f t="shared" si="27"/>
        <v>105.07</v>
      </c>
      <c r="R805" s="47">
        <f t="shared" si="26"/>
        <v>0</v>
      </c>
      <c r="S805" s="48"/>
    </row>
    <row r="806" s="1" customFormat="1" customHeight="1" spans="1:19">
      <c r="A806" s="14">
        <v>906</v>
      </c>
      <c r="B806" s="70">
        <v>46054</v>
      </c>
      <c r="C806" s="16"/>
      <c r="D806" s="334" t="s">
        <v>1764</v>
      </c>
      <c r="E806" s="18" t="s">
        <v>1765</v>
      </c>
      <c r="F806" s="26" t="s">
        <v>98</v>
      </c>
      <c r="G806" s="19" t="s">
        <v>1734</v>
      </c>
      <c r="H806" s="16" t="s">
        <v>1735</v>
      </c>
      <c r="I806" s="33">
        <v>532.84</v>
      </c>
      <c r="J806" s="35">
        <v>532.84</v>
      </c>
      <c r="K806" s="35"/>
      <c r="L806" s="34">
        <v>46061</v>
      </c>
      <c r="M806" s="16"/>
      <c r="N806" s="34"/>
      <c r="O806" s="16"/>
      <c r="P806" s="16"/>
      <c r="Q806" s="46">
        <f t="shared" si="27"/>
        <v>532.84</v>
      </c>
      <c r="R806" s="47">
        <f t="shared" si="26"/>
        <v>0</v>
      </c>
      <c r="S806" s="48"/>
    </row>
    <row r="807" s="1" customFormat="1" customHeight="1" spans="1:19">
      <c r="A807" s="14">
        <v>907</v>
      </c>
      <c r="B807" s="70">
        <v>46054</v>
      </c>
      <c r="C807" s="16"/>
      <c r="D807" s="334" t="s">
        <v>1842</v>
      </c>
      <c r="E807" s="18" t="s">
        <v>1843</v>
      </c>
      <c r="F807" s="26" t="s">
        <v>98</v>
      </c>
      <c r="G807" s="19" t="s">
        <v>1734</v>
      </c>
      <c r="H807" s="16" t="s">
        <v>1735</v>
      </c>
      <c r="I807" s="33">
        <v>195.12</v>
      </c>
      <c r="J807" s="35">
        <v>195.12</v>
      </c>
      <c r="K807" s="35"/>
      <c r="L807" s="34">
        <v>46065</v>
      </c>
      <c r="M807" s="16"/>
      <c r="N807" s="34"/>
      <c r="O807" s="16"/>
      <c r="P807" s="16"/>
      <c r="Q807" s="46">
        <f t="shared" si="27"/>
        <v>195.12</v>
      </c>
      <c r="R807" s="47">
        <f t="shared" si="26"/>
        <v>0</v>
      </c>
      <c r="S807" s="48"/>
    </row>
    <row r="808" s="1" customFormat="1" customHeight="1" spans="1:19">
      <c r="A808" s="14">
        <v>908</v>
      </c>
      <c r="B808" s="70">
        <v>46054</v>
      </c>
      <c r="C808" s="16" t="s">
        <v>1737</v>
      </c>
      <c r="D808" s="17">
        <v>10</v>
      </c>
      <c r="E808" s="18" t="s">
        <v>1903</v>
      </c>
      <c r="F808" s="26" t="s">
        <v>98</v>
      </c>
      <c r="G808" s="19" t="s">
        <v>1734</v>
      </c>
      <c r="H808" s="16" t="s">
        <v>1735</v>
      </c>
      <c r="I808" s="33">
        <v>321.77</v>
      </c>
      <c r="J808" s="35">
        <v>321.77</v>
      </c>
      <c r="K808" s="35"/>
      <c r="L808" s="34">
        <v>46065</v>
      </c>
      <c r="M808" s="16"/>
      <c r="N808" s="34"/>
      <c r="O808" s="16"/>
      <c r="P808" s="16"/>
      <c r="Q808" s="46">
        <f t="shared" si="27"/>
        <v>321.77</v>
      </c>
      <c r="R808" s="47">
        <f t="shared" si="26"/>
        <v>0</v>
      </c>
      <c r="S808" s="48"/>
    </row>
    <row r="809" s="1" customFormat="1" customHeight="1" spans="1:19">
      <c r="A809" s="14">
        <v>909</v>
      </c>
      <c r="B809" s="70">
        <v>46054</v>
      </c>
      <c r="C809" s="16"/>
      <c r="D809" s="17">
        <v>21</v>
      </c>
      <c r="E809" s="18" t="s">
        <v>1739</v>
      </c>
      <c r="F809" s="26" t="s">
        <v>98</v>
      </c>
      <c r="G809" s="19" t="s">
        <v>1734</v>
      </c>
      <c r="H809" s="16" t="s">
        <v>1735</v>
      </c>
      <c r="I809" s="33">
        <v>139.78</v>
      </c>
      <c r="J809" s="35">
        <v>139.78</v>
      </c>
      <c r="K809" s="35">
        <v>0.59</v>
      </c>
      <c r="L809" s="34">
        <v>46062</v>
      </c>
      <c r="M809" s="16"/>
      <c r="N809" s="34"/>
      <c r="O809" s="35"/>
      <c r="P809" s="16"/>
      <c r="Q809" s="46">
        <f t="shared" si="27"/>
        <v>139.78</v>
      </c>
      <c r="R809" s="47">
        <f t="shared" si="26"/>
        <v>0</v>
      </c>
      <c r="S809" s="48"/>
    </row>
    <row r="810" s="1" customFormat="1" customHeight="1" spans="1:19">
      <c r="A810" s="14">
        <v>910</v>
      </c>
      <c r="B810" s="70">
        <v>46054</v>
      </c>
      <c r="C810" s="16"/>
      <c r="D810" s="17" t="s">
        <v>1904</v>
      </c>
      <c r="E810" s="18" t="s">
        <v>1774</v>
      </c>
      <c r="F810" s="26" t="s">
        <v>98</v>
      </c>
      <c r="G810" s="19" t="s">
        <v>1734</v>
      </c>
      <c r="H810" s="16" t="s">
        <v>1735</v>
      </c>
      <c r="I810" s="33">
        <v>132.27</v>
      </c>
      <c r="J810" s="35">
        <v>132.27</v>
      </c>
      <c r="K810" s="35"/>
      <c r="L810" s="34">
        <v>46061</v>
      </c>
      <c r="M810" s="16"/>
      <c r="N810" s="34"/>
      <c r="O810" s="35"/>
      <c r="P810" s="16"/>
      <c r="Q810" s="46">
        <f t="shared" si="27"/>
        <v>132.27</v>
      </c>
      <c r="R810" s="47">
        <f t="shared" si="26"/>
        <v>0</v>
      </c>
      <c r="S810" s="48"/>
    </row>
    <row r="811" s="1" customFormat="1" customHeight="1" spans="1:19">
      <c r="A811" s="14">
        <v>911</v>
      </c>
      <c r="B811" s="70">
        <v>46054</v>
      </c>
      <c r="C811" s="16"/>
      <c r="D811" s="334" t="s">
        <v>1838</v>
      </c>
      <c r="E811" s="18" t="s">
        <v>1839</v>
      </c>
      <c r="F811" s="26" t="s">
        <v>98</v>
      </c>
      <c r="G811" s="19" t="s">
        <v>1734</v>
      </c>
      <c r="H811" s="16" t="s">
        <v>1735</v>
      </c>
      <c r="I811" s="33">
        <v>407.14</v>
      </c>
      <c r="J811" s="35">
        <v>407.07</v>
      </c>
      <c r="K811" s="35"/>
      <c r="L811" s="34">
        <v>46063</v>
      </c>
      <c r="M811" s="16"/>
      <c r="N811" s="34"/>
      <c r="O811" s="35">
        <v>0.07</v>
      </c>
      <c r="P811" s="64"/>
      <c r="Q811" s="46">
        <f t="shared" si="27"/>
        <v>407.14</v>
      </c>
      <c r="R811" s="47">
        <f t="shared" si="26"/>
        <v>0</v>
      </c>
      <c r="S811" s="48"/>
    </row>
    <row r="812" s="1" customFormat="1" customHeight="1" spans="1:19">
      <c r="A812" s="14">
        <v>912</v>
      </c>
      <c r="B812" s="70">
        <v>46054</v>
      </c>
      <c r="C812" s="16"/>
      <c r="D812" s="17">
        <v>13</v>
      </c>
      <c r="E812" s="18" t="s">
        <v>1763</v>
      </c>
      <c r="F812" s="26" t="s">
        <v>98</v>
      </c>
      <c r="G812" s="19" t="s">
        <v>1734</v>
      </c>
      <c r="H812" s="16" t="s">
        <v>1735</v>
      </c>
      <c r="I812" s="33">
        <v>282.37</v>
      </c>
      <c r="J812" s="35">
        <v>282.37</v>
      </c>
      <c r="K812" s="35"/>
      <c r="L812" s="34">
        <v>46063</v>
      </c>
      <c r="M812" s="16"/>
      <c r="N812" s="34"/>
      <c r="O812" s="35"/>
      <c r="P812" s="16"/>
      <c r="Q812" s="46">
        <f t="shared" si="27"/>
        <v>282.37</v>
      </c>
      <c r="R812" s="47">
        <f t="shared" si="26"/>
        <v>0</v>
      </c>
      <c r="S812" s="48"/>
    </row>
    <row r="813" s="1" customFormat="1" customHeight="1" spans="1:19">
      <c r="A813" s="14">
        <v>913</v>
      </c>
      <c r="B813" s="70">
        <v>46054</v>
      </c>
      <c r="C813" s="16"/>
      <c r="D813" s="17" t="s">
        <v>1834</v>
      </c>
      <c r="E813" s="18" t="s">
        <v>1835</v>
      </c>
      <c r="F813" s="26" t="s">
        <v>98</v>
      </c>
      <c r="G813" s="19" t="s">
        <v>1734</v>
      </c>
      <c r="H813" s="16" t="s">
        <v>1735</v>
      </c>
      <c r="I813" s="33">
        <v>166.04</v>
      </c>
      <c r="J813" s="35">
        <v>166.04</v>
      </c>
      <c r="K813" s="35"/>
      <c r="L813" s="34">
        <v>46064</v>
      </c>
      <c r="M813" s="16"/>
      <c r="N813" s="34"/>
      <c r="O813" s="16"/>
      <c r="P813" s="16"/>
      <c r="Q813" s="46">
        <f t="shared" si="27"/>
        <v>166.04</v>
      </c>
      <c r="R813" s="47">
        <f t="shared" si="26"/>
        <v>0</v>
      </c>
      <c r="S813" s="48"/>
    </row>
    <row r="814" s="1" customFormat="1" customHeight="1" spans="1:19">
      <c r="A814" s="14">
        <v>914</v>
      </c>
      <c r="B814" s="70">
        <v>46054</v>
      </c>
      <c r="C814" s="16"/>
      <c r="D814" s="17" t="s">
        <v>1759</v>
      </c>
      <c r="E814" s="18" t="s">
        <v>1760</v>
      </c>
      <c r="F814" s="26" t="s">
        <v>98</v>
      </c>
      <c r="G814" s="19" t="s">
        <v>1734</v>
      </c>
      <c r="H814" s="16" t="s">
        <v>1735</v>
      </c>
      <c r="I814" s="33">
        <v>390.25</v>
      </c>
      <c r="J814" s="35">
        <v>390.25</v>
      </c>
      <c r="K814" s="35"/>
      <c r="L814" s="34">
        <v>46062</v>
      </c>
      <c r="M814" s="16"/>
      <c r="N814" s="34"/>
      <c r="O814" s="16"/>
      <c r="P814" s="16"/>
      <c r="Q814" s="46">
        <f t="shared" si="27"/>
        <v>390.25</v>
      </c>
      <c r="R814" s="47">
        <f t="shared" si="26"/>
        <v>0</v>
      </c>
      <c r="S814" s="48"/>
    </row>
    <row r="815" s="1" customFormat="1" customHeight="1" spans="1:19">
      <c r="A815" s="14">
        <v>915</v>
      </c>
      <c r="B815" s="70">
        <v>46054</v>
      </c>
      <c r="C815" s="16"/>
      <c r="D815" s="17">
        <v>12</v>
      </c>
      <c r="E815" s="18" t="s">
        <v>1814</v>
      </c>
      <c r="F815" s="26" t="s">
        <v>98</v>
      </c>
      <c r="G815" s="19" t="s">
        <v>1734</v>
      </c>
      <c r="H815" s="16" t="s">
        <v>1735</v>
      </c>
      <c r="I815" s="33">
        <v>3.75</v>
      </c>
      <c r="J815" s="35">
        <v>3.75</v>
      </c>
      <c r="K815" s="35"/>
      <c r="L815" s="34">
        <v>46068</v>
      </c>
      <c r="M815" s="16"/>
      <c r="N815" s="34"/>
      <c r="O815" s="16"/>
      <c r="P815" s="16"/>
      <c r="Q815" s="46">
        <f t="shared" si="27"/>
        <v>3.75</v>
      </c>
      <c r="R815" s="47">
        <f t="shared" si="26"/>
        <v>0</v>
      </c>
      <c r="S815" s="48"/>
    </row>
    <row r="816" s="1" customFormat="1" customHeight="1" spans="1:19">
      <c r="A816" s="14">
        <v>916</v>
      </c>
      <c r="B816" s="70">
        <v>46054</v>
      </c>
      <c r="C816" s="16" t="s">
        <v>1737</v>
      </c>
      <c r="D816" s="17">
        <v>11</v>
      </c>
      <c r="E816" s="18" t="s">
        <v>1829</v>
      </c>
      <c r="F816" s="26" t="s">
        <v>98</v>
      </c>
      <c r="G816" s="19" t="s">
        <v>1734</v>
      </c>
      <c r="H816" s="16" t="s">
        <v>1735</v>
      </c>
      <c r="I816" s="33">
        <v>53.47</v>
      </c>
      <c r="J816" s="35">
        <v>53.47</v>
      </c>
      <c r="K816" s="35"/>
      <c r="L816" s="34">
        <v>46065</v>
      </c>
      <c r="M816" s="16"/>
      <c r="N816" s="34"/>
      <c r="O816" s="35"/>
      <c r="P816" s="16"/>
      <c r="Q816" s="46">
        <f t="shared" si="27"/>
        <v>53.47</v>
      </c>
      <c r="R816" s="47">
        <f t="shared" si="26"/>
        <v>0</v>
      </c>
      <c r="S816" s="48"/>
    </row>
    <row r="817" s="1" customFormat="1" customHeight="1" spans="1:19">
      <c r="A817" s="14">
        <v>917</v>
      </c>
      <c r="B817" s="70">
        <v>46054</v>
      </c>
      <c r="C817" s="16"/>
      <c r="D817" s="17" t="s">
        <v>1905</v>
      </c>
      <c r="E817" s="18" t="s">
        <v>1906</v>
      </c>
      <c r="F817" s="26" t="s">
        <v>98</v>
      </c>
      <c r="G817" s="19" t="s">
        <v>1734</v>
      </c>
      <c r="H817" s="16" t="s">
        <v>1735</v>
      </c>
      <c r="I817" s="33">
        <v>45.97</v>
      </c>
      <c r="J817" s="35">
        <v>45.97</v>
      </c>
      <c r="K817" s="35"/>
      <c r="L817" s="34">
        <v>46062</v>
      </c>
      <c r="M817" s="16"/>
      <c r="N817" s="34"/>
      <c r="O817" s="35"/>
      <c r="P817" s="16"/>
      <c r="Q817" s="46">
        <f t="shared" si="27"/>
        <v>45.97</v>
      </c>
      <c r="R817" s="47">
        <f t="shared" si="26"/>
        <v>0</v>
      </c>
      <c r="S817" s="48"/>
    </row>
    <row r="818" s="1" customFormat="1" customHeight="1" spans="1:19">
      <c r="A818" s="14">
        <v>918</v>
      </c>
      <c r="B818" s="70">
        <v>46054</v>
      </c>
      <c r="C818" s="16"/>
      <c r="D818" s="334" t="s">
        <v>1907</v>
      </c>
      <c r="E818" s="18" t="s">
        <v>1815</v>
      </c>
      <c r="F818" s="26" t="s">
        <v>98</v>
      </c>
      <c r="G818" s="19" t="s">
        <v>1734</v>
      </c>
      <c r="H818" s="16" t="s">
        <v>1735</v>
      </c>
      <c r="I818" s="33">
        <v>390.25</v>
      </c>
      <c r="J818" s="35">
        <v>390.25</v>
      </c>
      <c r="K818" s="35"/>
      <c r="L818" s="34">
        <v>46063</v>
      </c>
      <c r="M818" s="16"/>
      <c r="N818" s="34"/>
      <c r="O818" s="35"/>
      <c r="P818" s="16"/>
      <c r="Q818" s="46">
        <f t="shared" si="27"/>
        <v>390.25</v>
      </c>
      <c r="R818" s="47">
        <f t="shared" si="26"/>
        <v>0</v>
      </c>
      <c r="S818" s="48"/>
    </row>
    <row r="819" s="1" customFormat="1" customHeight="1" spans="1:19">
      <c r="A819" s="14">
        <v>919</v>
      </c>
      <c r="B819" s="70">
        <v>46054</v>
      </c>
      <c r="C819" s="16"/>
      <c r="D819" s="17">
        <v>20</v>
      </c>
      <c r="E819" s="18" t="s">
        <v>1766</v>
      </c>
      <c r="F819" s="26" t="s">
        <v>98</v>
      </c>
      <c r="G819" s="19" t="s">
        <v>1734</v>
      </c>
      <c r="H819" s="16" t="s">
        <v>1735</v>
      </c>
      <c r="I819" s="33">
        <v>261.73</v>
      </c>
      <c r="J819" s="35">
        <v>261.73</v>
      </c>
      <c r="K819" s="35"/>
      <c r="L819" s="34">
        <v>46063</v>
      </c>
      <c r="M819" s="16"/>
      <c r="N819" s="34"/>
      <c r="O819" s="35"/>
      <c r="P819" s="16"/>
      <c r="Q819" s="46">
        <f t="shared" si="27"/>
        <v>261.73</v>
      </c>
      <c r="R819" s="47">
        <f t="shared" si="26"/>
        <v>0</v>
      </c>
      <c r="S819" s="48"/>
    </row>
    <row r="820" s="1" customFormat="1" customHeight="1" spans="1:19">
      <c r="A820" s="14">
        <v>920</v>
      </c>
      <c r="B820" s="70">
        <v>46054</v>
      </c>
      <c r="C820" s="16"/>
      <c r="D820" s="17">
        <v>14</v>
      </c>
      <c r="E820" s="18" t="s">
        <v>1908</v>
      </c>
      <c r="F820" s="26" t="s">
        <v>98</v>
      </c>
      <c r="G820" s="19" t="s">
        <v>1734</v>
      </c>
      <c r="H820" s="16" t="s">
        <v>1735</v>
      </c>
      <c r="I820" s="33">
        <v>95.69</v>
      </c>
      <c r="J820" s="35">
        <v>95.69</v>
      </c>
      <c r="K820" s="35"/>
      <c r="L820" s="34">
        <v>46060</v>
      </c>
      <c r="M820" s="16"/>
      <c r="N820" s="34"/>
      <c r="O820" s="16"/>
      <c r="P820" s="16"/>
      <c r="Q820" s="46">
        <f t="shared" si="27"/>
        <v>95.69</v>
      </c>
      <c r="R820" s="47">
        <f t="shared" si="26"/>
        <v>0</v>
      </c>
      <c r="S820" s="48"/>
    </row>
    <row r="821" s="1" customFormat="1" customHeight="1" spans="1:19">
      <c r="A821" s="14">
        <v>921</v>
      </c>
      <c r="B821" s="70">
        <v>46054</v>
      </c>
      <c r="C821" s="16"/>
      <c r="D821" s="17" t="s">
        <v>1909</v>
      </c>
      <c r="E821" s="18" t="s">
        <v>1910</v>
      </c>
      <c r="F821" s="26" t="s">
        <v>98</v>
      </c>
      <c r="G821" s="19" t="s">
        <v>1734</v>
      </c>
      <c r="H821" s="16" t="s">
        <v>1735</v>
      </c>
      <c r="I821" s="33">
        <v>303.01</v>
      </c>
      <c r="J821" s="35">
        <v>303.01</v>
      </c>
      <c r="K821" s="35"/>
      <c r="L821" s="34">
        <v>46065</v>
      </c>
      <c r="M821" s="16"/>
      <c r="N821" s="34"/>
      <c r="O821" s="16"/>
      <c r="P821" s="16"/>
      <c r="Q821" s="46">
        <f t="shared" si="27"/>
        <v>303.01</v>
      </c>
      <c r="R821" s="47">
        <f t="shared" si="26"/>
        <v>0</v>
      </c>
      <c r="S821" s="48"/>
    </row>
    <row r="822" s="1" customFormat="1" customHeight="1" spans="1:19">
      <c r="A822" s="14">
        <v>922</v>
      </c>
      <c r="B822" s="70">
        <v>46054</v>
      </c>
      <c r="C822" s="16"/>
      <c r="D822" s="17" t="s">
        <v>1944</v>
      </c>
      <c r="E822" s="18" t="s">
        <v>1945</v>
      </c>
      <c r="F822" s="26" t="s">
        <v>98</v>
      </c>
      <c r="G822" s="19" t="s">
        <v>1734</v>
      </c>
      <c r="H822" s="16" t="s">
        <v>1735</v>
      </c>
      <c r="I822" s="33">
        <v>70.36</v>
      </c>
      <c r="J822" s="35">
        <v>70.36</v>
      </c>
      <c r="K822" s="35"/>
      <c r="L822" s="34">
        <v>46064</v>
      </c>
      <c r="M822" s="16"/>
      <c r="N822" s="34"/>
      <c r="O822" s="16"/>
      <c r="P822" s="16"/>
      <c r="Q822" s="46">
        <f t="shared" si="27"/>
        <v>70.36</v>
      </c>
      <c r="R822" s="47">
        <f t="shared" si="26"/>
        <v>0</v>
      </c>
      <c r="S822" s="48"/>
    </row>
    <row r="823" s="1" customFormat="1" customHeight="1" spans="1:19">
      <c r="A823" s="14">
        <v>923</v>
      </c>
      <c r="B823" s="70">
        <v>46054</v>
      </c>
      <c r="C823" s="16"/>
      <c r="D823" s="17"/>
      <c r="E823" s="18" t="s">
        <v>1946</v>
      </c>
      <c r="F823" s="26" t="s">
        <v>98</v>
      </c>
      <c r="G823" s="19" t="s">
        <v>1734</v>
      </c>
      <c r="H823" s="16" t="s">
        <v>1735</v>
      </c>
      <c r="I823" s="33">
        <v>134.15</v>
      </c>
      <c r="J823" s="35">
        <v>134.15</v>
      </c>
      <c r="K823" s="35"/>
      <c r="L823" s="34">
        <v>46064</v>
      </c>
      <c r="M823" s="16"/>
      <c r="N823" s="34"/>
      <c r="O823" s="35"/>
      <c r="P823" s="16"/>
      <c r="Q823" s="46">
        <f t="shared" si="27"/>
        <v>134.15</v>
      </c>
      <c r="R823" s="47">
        <f t="shared" si="26"/>
        <v>0</v>
      </c>
      <c r="S823" s="48"/>
    </row>
    <row r="824" s="1" customFormat="1" customHeight="1" spans="1:19">
      <c r="A824" s="14">
        <v>925</v>
      </c>
      <c r="B824" s="20">
        <v>46082</v>
      </c>
      <c r="C824" s="16"/>
      <c r="D824" s="17" t="s">
        <v>1011</v>
      </c>
      <c r="E824" s="18" t="s">
        <v>1844</v>
      </c>
      <c r="F824" s="26" t="s">
        <v>96</v>
      </c>
      <c r="G824" s="19" t="s">
        <v>1734</v>
      </c>
      <c r="H824" s="16" t="s">
        <v>1741</v>
      </c>
      <c r="I824" s="33">
        <v>0</v>
      </c>
      <c r="J824" s="35"/>
      <c r="K824" s="35"/>
      <c r="L824" s="34"/>
      <c r="M824" s="16"/>
      <c r="N824" s="34"/>
      <c r="O824" s="35"/>
      <c r="P824" s="34"/>
      <c r="Q824" s="46">
        <f t="shared" si="27"/>
        <v>0</v>
      </c>
      <c r="R824" s="47">
        <f t="shared" si="26"/>
        <v>0</v>
      </c>
      <c r="S824" s="48" t="s">
        <v>1947</v>
      </c>
    </row>
    <row r="825" s="1" customFormat="1" customHeight="1" spans="1:19">
      <c r="A825" s="14">
        <v>926</v>
      </c>
      <c r="B825" s="20">
        <v>46082</v>
      </c>
      <c r="C825" s="16"/>
      <c r="D825" s="17" t="s">
        <v>1847</v>
      </c>
      <c r="E825" s="18" t="s">
        <v>1845</v>
      </c>
      <c r="F825" s="26" t="s">
        <v>96</v>
      </c>
      <c r="G825" s="19" t="s">
        <v>1734</v>
      </c>
      <c r="H825" s="16" t="s">
        <v>1741</v>
      </c>
      <c r="I825" s="33">
        <v>0</v>
      </c>
      <c r="J825" s="35"/>
      <c r="K825" s="35"/>
      <c r="L825" s="34"/>
      <c r="M825" s="16"/>
      <c r="N825" s="34"/>
      <c r="O825" s="35"/>
      <c r="P825" s="34"/>
      <c r="Q825" s="46">
        <f t="shared" si="27"/>
        <v>0</v>
      </c>
      <c r="R825" s="47">
        <f t="shared" si="26"/>
        <v>0</v>
      </c>
      <c r="S825" s="48" t="s">
        <v>1948</v>
      </c>
    </row>
    <row r="826" s="1" customFormat="1" customHeight="1" spans="1:19">
      <c r="A826" s="14">
        <v>929</v>
      </c>
      <c r="B826" s="20">
        <v>46082</v>
      </c>
      <c r="C826" s="16"/>
      <c r="D826" s="17" t="s">
        <v>1949</v>
      </c>
      <c r="E826" s="18" t="s">
        <v>956</v>
      </c>
      <c r="F826" s="26" t="s">
        <v>96</v>
      </c>
      <c r="G826" s="19" t="s">
        <v>1734</v>
      </c>
      <c r="H826" s="16" t="s">
        <v>1741</v>
      </c>
      <c r="I826" s="33">
        <v>409.86</v>
      </c>
      <c r="J826" s="35">
        <v>409.86</v>
      </c>
      <c r="K826" s="35"/>
      <c r="L826" s="34">
        <v>46105</v>
      </c>
      <c r="M826" s="16"/>
      <c r="N826" s="34"/>
      <c r="O826" s="16"/>
      <c r="P826" s="34"/>
      <c r="Q826" s="46">
        <f t="shared" si="27"/>
        <v>409.86</v>
      </c>
      <c r="R826" s="47">
        <f t="shared" si="26"/>
        <v>0</v>
      </c>
      <c r="S826" s="48"/>
    </row>
    <row r="827" s="1" customFormat="1" customHeight="1" spans="1:19">
      <c r="A827" s="14">
        <v>930</v>
      </c>
      <c r="B827" s="20">
        <v>46082</v>
      </c>
      <c r="C827" s="16"/>
      <c r="D827" s="17" t="s">
        <v>1949</v>
      </c>
      <c r="E827" s="18" t="s">
        <v>956</v>
      </c>
      <c r="F827" s="26" t="s">
        <v>96</v>
      </c>
      <c r="G827" s="19" t="s">
        <v>1734</v>
      </c>
      <c r="H827" s="16" t="s">
        <v>1741</v>
      </c>
      <c r="I827" s="33">
        <v>1006.02</v>
      </c>
      <c r="J827" s="35">
        <v>1006.02</v>
      </c>
      <c r="K827" s="35"/>
      <c r="L827" s="34">
        <v>46105</v>
      </c>
      <c r="M827" s="16"/>
      <c r="N827" s="34"/>
      <c r="O827" s="35"/>
      <c r="P827" s="34"/>
      <c r="Q827" s="46">
        <f t="shared" si="27"/>
        <v>1006.02</v>
      </c>
      <c r="R827" s="47">
        <f t="shared" si="26"/>
        <v>0</v>
      </c>
      <c r="S827" s="48"/>
    </row>
    <row r="828" s="1" customFormat="1" customHeight="1" spans="1:19">
      <c r="A828" s="14">
        <v>931</v>
      </c>
      <c r="B828" s="20">
        <v>46082</v>
      </c>
      <c r="C828" s="16"/>
      <c r="D828" s="17" t="s">
        <v>1847</v>
      </c>
      <c r="E828" s="18" t="s">
        <v>1936</v>
      </c>
      <c r="F828" s="26" t="s">
        <v>96</v>
      </c>
      <c r="G828" s="19" t="s">
        <v>1734</v>
      </c>
      <c r="H828" s="16" t="s">
        <v>1741</v>
      </c>
      <c r="I828" s="33">
        <v>0</v>
      </c>
      <c r="J828" s="35"/>
      <c r="K828" s="35"/>
      <c r="L828" s="34"/>
      <c r="M828" s="16"/>
      <c r="N828" s="34"/>
      <c r="O828" s="35"/>
      <c r="P828" s="34"/>
      <c r="Q828" s="46">
        <f t="shared" si="27"/>
        <v>0</v>
      </c>
      <c r="R828" s="47">
        <f t="shared" si="26"/>
        <v>0</v>
      </c>
      <c r="S828" s="48"/>
    </row>
    <row r="829" s="1" customFormat="1" customHeight="1" spans="1:19">
      <c r="A829" s="14">
        <v>932</v>
      </c>
      <c r="B829" s="20">
        <v>46082</v>
      </c>
      <c r="C829" s="16"/>
      <c r="D829" s="17" t="s">
        <v>1847</v>
      </c>
      <c r="E829" s="18" t="s">
        <v>1848</v>
      </c>
      <c r="F829" s="26" t="s">
        <v>96</v>
      </c>
      <c r="G829" s="19" t="s">
        <v>1734</v>
      </c>
      <c r="H829" s="16" t="s">
        <v>1741</v>
      </c>
      <c r="I829" s="33">
        <v>66.88</v>
      </c>
      <c r="J829" s="35">
        <v>66.88</v>
      </c>
      <c r="K829" s="35"/>
      <c r="L829" s="34">
        <v>46088</v>
      </c>
      <c r="M829" s="16"/>
      <c r="N829" s="34"/>
      <c r="O829" s="35"/>
      <c r="P829" s="34"/>
      <c r="Q829" s="46">
        <f t="shared" si="27"/>
        <v>66.88</v>
      </c>
      <c r="R829" s="47">
        <f t="shared" si="26"/>
        <v>0</v>
      </c>
      <c r="S829" s="48"/>
    </row>
    <row r="830" s="1" customFormat="1" customHeight="1" spans="1:19">
      <c r="A830" s="14">
        <v>933</v>
      </c>
      <c r="B830" s="20">
        <v>46082</v>
      </c>
      <c r="C830" s="16"/>
      <c r="D830" s="17" t="s">
        <v>946</v>
      </c>
      <c r="E830" s="18" t="s">
        <v>948</v>
      </c>
      <c r="F830" s="26" t="s">
        <v>96</v>
      </c>
      <c r="G830" s="19" t="s">
        <v>1734</v>
      </c>
      <c r="H830" s="16" t="s">
        <v>1741</v>
      </c>
      <c r="I830" s="33">
        <v>36.48</v>
      </c>
      <c r="J830" s="35">
        <v>36.48</v>
      </c>
      <c r="K830" s="35"/>
      <c r="L830" s="34">
        <v>46094</v>
      </c>
      <c r="M830" s="16"/>
      <c r="N830" s="34"/>
      <c r="O830" s="35"/>
      <c r="P830" s="34"/>
      <c r="Q830" s="46">
        <f t="shared" si="27"/>
        <v>36.48</v>
      </c>
      <c r="R830" s="47">
        <f t="shared" si="26"/>
        <v>0</v>
      </c>
      <c r="S830" s="48"/>
    </row>
    <row r="831" s="1" customFormat="1" customHeight="1" spans="1:19">
      <c r="A831" s="14">
        <v>934</v>
      </c>
      <c r="B831" s="20">
        <v>46082</v>
      </c>
      <c r="C831" s="16"/>
      <c r="D831" s="17" t="s">
        <v>1847</v>
      </c>
      <c r="E831" s="18" t="s">
        <v>1912</v>
      </c>
      <c r="F831" s="26" t="s">
        <v>96</v>
      </c>
      <c r="G831" s="19" t="s">
        <v>1734</v>
      </c>
      <c r="H831" s="16" t="s">
        <v>1741</v>
      </c>
      <c r="I831" s="33">
        <v>0</v>
      </c>
      <c r="J831" s="35"/>
      <c r="K831" s="35"/>
      <c r="L831" s="34"/>
      <c r="M831" s="16"/>
      <c r="N831" s="34"/>
      <c r="O831" s="16"/>
      <c r="P831" s="34"/>
      <c r="Q831" s="46">
        <f t="shared" si="27"/>
        <v>0</v>
      </c>
      <c r="R831" s="47">
        <f t="shared" si="26"/>
        <v>0</v>
      </c>
      <c r="S831" s="48"/>
    </row>
    <row r="832" s="1" customFormat="1" customHeight="1" spans="1:19">
      <c r="A832" s="14">
        <v>935</v>
      </c>
      <c r="B832" s="20">
        <v>46082</v>
      </c>
      <c r="C832" s="16"/>
      <c r="D832" s="17" t="s">
        <v>1847</v>
      </c>
      <c r="E832" s="18" t="s">
        <v>1836</v>
      </c>
      <c r="F832" s="26" t="s">
        <v>96</v>
      </c>
      <c r="G832" s="19" t="s">
        <v>1734</v>
      </c>
      <c r="H832" s="16" t="s">
        <v>1741</v>
      </c>
      <c r="I832" s="33">
        <v>12.16</v>
      </c>
      <c r="J832" s="35">
        <v>12.16</v>
      </c>
      <c r="K832" s="35"/>
      <c r="L832" s="34">
        <v>46105</v>
      </c>
      <c r="M832" s="16"/>
      <c r="N832" s="34"/>
      <c r="O832" s="16"/>
      <c r="P832" s="34"/>
      <c r="Q832" s="46">
        <f t="shared" si="27"/>
        <v>12.16</v>
      </c>
      <c r="R832" s="47">
        <f t="shared" si="26"/>
        <v>0</v>
      </c>
      <c r="S832" s="48"/>
    </row>
    <row r="833" s="1" customFormat="1" customHeight="1" spans="1:19">
      <c r="A833" s="14">
        <v>937</v>
      </c>
      <c r="B833" s="20">
        <v>46082</v>
      </c>
      <c r="C833" s="66" t="s">
        <v>16</v>
      </c>
      <c r="D833" s="17" t="s">
        <v>43</v>
      </c>
      <c r="E833" s="18" t="s">
        <v>45</v>
      </c>
      <c r="F833" s="26" t="s">
        <v>96</v>
      </c>
      <c r="G833" s="19" t="s">
        <v>1734</v>
      </c>
      <c r="H833" s="16" t="s">
        <v>1741</v>
      </c>
      <c r="I833" s="33">
        <v>6.08</v>
      </c>
      <c r="J833" s="35">
        <v>6.08</v>
      </c>
      <c r="K833" s="35"/>
      <c r="L833" s="34">
        <v>46135</v>
      </c>
      <c r="M833" s="16"/>
      <c r="N833" s="34"/>
      <c r="O833" s="35"/>
      <c r="P833" s="34"/>
      <c r="Q833" s="46">
        <f t="shared" si="27"/>
        <v>6.08</v>
      </c>
      <c r="R833" s="47">
        <f t="shared" si="26"/>
        <v>0</v>
      </c>
      <c r="S833" s="48"/>
    </row>
    <row r="834" s="1" customFormat="1" customHeight="1" spans="1:19">
      <c r="A834" s="14">
        <v>938</v>
      </c>
      <c r="B834" s="20">
        <v>46082</v>
      </c>
      <c r="C834" s="24" t="s">
        <v>16</v>
      </c>
      <c r="D834" s="17">
        <v>1003</v>
      </c>
      <c r="E834" s="18" t="s">
        <v>79</v>
      </c>
      <c r="F834" s="26" t="s">
        <v>96</v>
      </c>
      <c r="G834" s="19" t="s">
        <v>1734</v>
      </c>
      <c r="H834" s="16" t="s">
        <v>1741</v>
      </c>
      <c r="I834" s="33">
        <v>6.08</v>
      </c>
      <c r="J834" s="35">
        <v>6.08</v>
      </c>
      <c r="K834" s="35"/>
      <c r="L834" s="34">
        <v>46090</v>
      </c>
      <c r="M834" s="16"/>
      <c r="N834" s="34"/>
      <c r="O834" s="35"/>
      <c r="P834" s="34"/>
      <c r="Q834" s="46">
        <f t="shared" si="27"/>
        <v>6.08</v>
      </c>
      <c r="R834" s="47">
        <f t="shared" si="26"/>
        <v>0</v>
      </c>
      <c r="S834" s="48"/>
    </row>
    <row r="835" s="1" customFormat="1" customHeight="1" spans="1:19">
      <c r="A835" s="14">
        <v>939</v>
      </c>
      <c r="B835" s="20">
        <v>46082</v>
      </c>
      <c r="C835" s="16" t="s">
        <v>16</v>
      </c>
      <c r="D835" s="17">
        <v>1008</v>
      </c>
      <c r="E835" s="18" t="s">
        <v>114</v>
      </c>
      <c r="F835" s="26" t="s">
        <v>96</v>
      </c>
      <c r="G835" s="19" t="s">
        <v>1734</v>
      </c>
      <c r="H835" s="16" t="s">
        <v>1741</v>
      </c>
      <c r="I835" s="33">
        <v>480.32</v>
      </c>
      <c r="J835" s="35">
        <v>480.32</v>
      </c>
      <c r="K835" s="35"/>
      <c r="L835" s="34">
        <v>46097</v>
      </c>
      <c r="M835" s="16"/>
      <c r="N835" s="34"/>
      <c r="O835" s="35"/>
      <c r="P835" s="34"/>
      <c r="Q835" s="46">
        <f t="shared" si="27"/>
        <v>480.32</v>
      </c>
      <c r="R835" s="47">
        <f t="shared" si="26"/>
        <v>0</v>
      </c>
      <c r="S835" s="48"/>
    </row>
    <row r="836" s="1" customFormat="1" customHeight="1" spans="1:19">
      <c r="A836" s="14">
        <v>940</v>
      </c>
      <c r="B836" s="20">
        <v>46082</v>
      </c>
      <c r="C836" s="16"/>
      <c r="D836" s="17" t="s">
        <v>1937</v>
      </c>
      <c r="E836" s="18" t="s">
        <v>120</v>
      </c>
      <c r="F836" s="26" t="s">
        <v>96</v>
      </c>
      <c r="G836" s="19" t="s">
        <v>1734</v>
      </c>
      <c r="H836" s="16" t="s">
        <v>1741</v>
      </c>
      <c r="I836" s="33">
        <v>936.32</v>
      </c>
      <c r="J836" s="35">
        <v>936.32</v>
      </c>
      <c r="K836" s="35"/>
      <c r="L836" s="34">
        <v>46092</v>
      </c>
      <c r="M836" s="16"/>
      <c r="N836" s="34"/>
      <c r="O836" s="35"/>
      <c r="P836" s="34"/>
      <c r="Q836" s="46">
        <f t="shared" si="27"/>
        <v>936.32</v>
      </c>
      <c r="R836" s="47">
        <f t="shared" si="26"/>
        <v>0</v>
      </c>
      <c r="S836" s="48"/>
    </row>
    <row r="837" s="1" customFormat="1" customHeight="1" spans="1:19">
      <c r="A837" s="14">
        <v>941</v>
      </c>
      <c r="B837" s="20">
        <v>46082</v>
      </c>
      <c r="C837" s="16"/>
      <c r="D837" s="17" t="s">
        <v>1800</v>
      </c>
      <c r="E837" s="18" t="s">
        <v>126</v>
      </c>
      <c r="F837" s="26" t="s">
        <v>96</v>
      </c>
      <c r="G837" s="19" t="s">
        <v>1734</v>
      </c>
      <c r="H837" s="16" t="s">
        <v>1741</v>
      </c>
      <c r="I837" s="33">
        <v>370.88</v>
      </c>
      <c r="J837" s="35">
        <v>370.88</v>
      </c>
      <c r="K837" s="35"/>
      <c r="L837" s="34">
        <v>46090</v>
      </c>
      <c r="M837" s="16"/>
      <c r="N837" s="34"/>
      <c r="O837" s="16"/>
      <c r="P837" s="34"/>
      <c r="Q837" s="46">
        <f t="shared" si="27"/>
        <v>370.88</v>
      </c>
      <c r="R837" s="47">
        <f t="shared" si="26"/>
        <v>0</v>
      </c>
      <c r="S837" s="48"/>
    </row>
    <row r="838" s="1" customFormat="1" customHeight="1" spans="1:19">
      <c r="A838" s="14">
        <v>942</v>
      </c>
      <c r="B838" s="20">
        <v>46082</v>
      </c>
      <c r="C838" s="16"/>
      <c r="D838" s="17" t="s">
        <v>1025</v>
      </c>
      <c r="E838" s="18" t="s">
        <v>1317</v>
      </c>
      <c r="F838" s="26" t="s">
        <v>96</v>
      </c>
      <c r="G838" s="19" t="s">
        <v>1734</v>
      </c>
      <c r="H838" s="16" t="s">
        <v>1741</v>
      </c>
      <c r="I838" s="33">
        <v>589.76</v>
      </c>
      <c r="J838" s="35">
        <v>589.76</v>
      </c>
      <c r="K838" s="35"/>
      <c r="L838" s="34">
        <v>46093</v>
      </c>
      <c r="M838" s="16"/>
      <c r="N838" s="34"/>
      <c r="O838" s="16"/>
      <c r="P838" s="34"/>
      <c r="Q838" s="46">
        <f t="shared" si="27"/>
        <v>589.76</v>
      </c>
      <c r="R838" s="47">
        <f t="shared" si="26"/>
        <v>0</v>
      </c>
      <c r="S838" s="48"/>
    </row>
    <row r="839" s="1" customFormat="1" customHeight="1" spans="1:19">
      <c r="A839" s="14">
        <v>943</v>
      </c>
      <c r="B839" s="20">
        <v>46082</v>
      </c>
      <c r="C839" s="16"/>
      <c r="D839" s="17" t="s">
        <v>1767</v>
      </c>
      <c r="E839" s="18" t="s">
        <v>1768</v>
      </c>
      <c r="F839" s="26" t="s">
        <v>96</v>
      </c>
      <c r="G839" s="19" t="s">
        <v>1734</v>
      </c>
      <c r="H839" s="16" t="s">
        <v>1741</v>
      </c>
      <c r="I839" s="33">
        <v>1234.24</v>
      </c>
      <c r="J839" s="35">
        <v>1234.24</v>
      </c>
      <c r="K839" s="35"/>
      <c r="L839" s="34">
        <v>46097</v>
      </c>
      <c r="M839" s="16"/>
      <c r="N839" s="34"/>
      <c r="O839" s="16"/>
      <c r="P839" s="34"/>
      <c r="Q839" s="46">
        <f t="shared" si="27"/>
        <v>1234.24</v>
      </c>
      <c r="R839" s="47">
        <f t="shared" si="26"/>
        <v>0</v>
      </c>
      <c r="S839" s="48"/>
    </row>
    <row r="840" s="1" customFormat="1" customHeight="1" spans="1:19">
      <c r="A840" s="14">
        <v>944</v>
      </c>
      <c r="B840" s="20">
        <v>46082</v>
      </c>
      <c r="C840" s="24" t="s">
        <v>285</v>
      </c>
      <c r="D840" s="17">
        <v>2001</v>
      </c>
      <c r="E840" s="18" t="s">
        <v>288</v>
      </c>
      <c r="F840" s="26" t="s">
        <v>96</v>
      </c>
      <c r="G840" s="19" t="s">
        <v>1734</v>
      </c>
      <c r="H840" s="16" t="s">
        <v>1741</v>
      </c>
      <c r="I840" s="33">
        <v>863.36</v>
      </c>
      <c r="J840" s="35">
        <v>863.36</v>
      </c>
      <c r="K840" s="35"/>
      <c r="L840" s="34">
        <v>46088</v>
      </c>
      <c r="M840" s="16"/>
      <c r="N840" s="34"/>
      <c r="O840" s="35"/>
      <c r="P840" s="34"/>
      <c r="Q840" s="46">
        <f t="shared" si="27"/>
        <v>863.36</v>
      </c>
      <c r="R840" s="47">
        <f t="shared" si="26"/>
        <v>0</v>
      </c>
      <c r="S840" s="48"/>
    </row>
    <row r="841" s="1" customFormat="1" customHeight="1" spans="1:19">
      <c r="A841" s="14">
        <v>945</v>
      </c>
      <c r="B841" s="20">
        <v>46082</v>
      </c>
      <c r="C841" s="16"/>
      <c r="D841" s="17" t="s">
        <v>1756</v>
      </c>
      <c r="E841" s="18" t="s">
        <v>338</v>
      </c>
      <c r="F841" s="26" t="s">
        <v>96</v>
      </c>
      <c r="G841" s="19" t="s">
        <v>1734</v>
      </c>
      <c r="H841" s="16" t="s">
        <v>1741</v>
      </c>
      <c r="I841" s="33">
        <v>42.56</v>
      </c>
      <c r="J841" s="35">
        <v>42.56</v>
      </c>
      <c r="K841" s="35"/>
      <c r="L841" s="34">
        <v>46097</v>
      </c>
      <c r="M841" s="16"/>
      <c r="N841" s="34"/>
      <c r="O841" s="35"/>
      <c r="P841" s="34"/>
      <c r="Q841" s="46">
        <f t="shared" si="27"/>
        <v>42.56</v>
      </c>
      <c r="R841" s="47">
        <f t="shared" si="26"/>
        <v>0</v>
      </c>
      <c r="S841" s="48"/>
    </row>
    <row r="842" s="1" customFormat="1" customHeight="1" spans="1:19">
      <c r="A842" s="14">
        <v>946</v>
      </c>
      <c r="B842" s="20">
        <v>46082</v>
      </c>
      <c r="C842" s="66" t="s">
        <v>285</v>
      </c>
      <c r="D842" s="17">
        <v>2027</v>
      </c>
      <c r="E842" s="18" t="s">
        <v>452</v>
      </c>
      <c r="F842" s="26" t="s">
        <v>96</v>
      </c>
      <c r="G842" s="19" t="s">
        <v>1734</v>
      </c>
      <c r="H842" s="16" t="s">
        <v>1741</v>
      </c>
      <c r="I842" s="33">
        <v>6.08</v>
      </c>
      <c r="J842" s="35">
        <v>6.08</v>
      </c>
      <c r="K842" s="35"/>
      <c r="L842" s="34">
        <v>46228</v>
      </c>
      <c r="M842" s="16"/>
      <c r="N842" s="34"/>
      <c r="O842" s="35"/>
      <c r="P842" s="34"/>
      <c r="Q842" s="46">
        <f t="shared" si="27"/>
        <v>6.08</v>
      </c>
      <c r="R842" s="47">
        <f t="shared" si="26"/>
        <v>0</v>
      </c>
      <c r="S842" s="48"/>
    </row>
    <row r="843" s="1" customFormat="1" customHeight="1" spans="1:19">
      <c r="A843" s="14">
        <v>947</v>
      </c>
      <c r="B843" s="20">
        <v>46082</v>
      </c>
      <c r="C843" s="24" t="s">
        <v>285</v>
      </c>
      <c r="D843" s="17">
        <v>2036</v>
      </c>
      <c r="E843" s="18" t="s">
        <v>479</v>
      </c>
      <c r="F843" s="26" t="s">
        <v>96</v>
      </c>
      <c r="G843" s="19" t="s">
        <v>1734</v>
      </c>
      <c r="H843" s="16" t="s">
        <v>1741</v>
      </c>
      <c r="I843" s="33">
        <v>18.24</v>
      </c>
      <c r="J843" s="35">
        <v>18.24</v>
      </c>
      <c r="K843" s="35"/>
      <c r="L843" s="34">
        <v>46088</v>
      </c>
      <c r="M843" s="16"/>
      <c r="N843" s="34"/>
      <c r="O843" s="35"/>
      <c r="P843" s="34"/>
      <c r="Q843" s="46">
        <f t="shared" si="27"/>
        <v>18.24</v>
      </c>
      <c r="R843" s="47">
        <f t="shared" si="26"/>
        <v>0</v>
      </c>
      <c r="S843" s="48"/>
    </row>
    <row r="844" s="1" customFormat="1" customHeight="1" spans="1:19">
      <c r="A844" s="14">
        <v>948</v>
      </c>
      <c r="B844" s="20">
        <v>46082</v>
      </c>
      <c r="C844" s="16"/>
      <c r="D844" s="17">
        <v>3001</v>
      </c>
      <c r="E844" s="18" t="s">
        <v>494</v>
      </c>
      <c r="F844" s="26" t="s">
        <v>96</v>
      </c>
      <c r="G844" s="19" t="s">
        <v>1734</v>
      </c>
      <c r="H844" s="16" t="s">
        <v>1741</v>
      </c>
      <c r="I844" s="33">
        <v>170.24</v>
      </c>
      <c r="J844" s="35">
        <v>170.24</v>
      </c>
      <c r="K844" s="35"/>
      <c r="L844" s="34">
        <v>46135</v>
      </c>
      <c r="M844" s="16"/>
      <c r="N844" s="34"/>
      <c r="O844" s="16"/>
      <c r="P844" s="34"/>
      <c r="Q844" s="46">
        <f t="shared" si="27"/>
        <v>170.24</v>
      </c>
      <c r="R844" s="47">
        <f t="shared" si="26"/>
        <v>0</v>
      </c>
      <c r="S844" s="48"/>
    </row>
    <row r="845" s="1" customFormat="1" customHeight="1" spans="1:19">
      <c r="A845" s="14">
        <v>949</v>
      </c>
      <c r="B845" s="20">
        <v>46082</v>
      </c>
      <c r="C845" s="16"/>
      <c r="D845" s="17">
        <v>3001</v>
      </c>
      <c r="E845" s="18" t="s">
        <v>1913</v>
      </c>
      <c r="F845" s="26" t="s">
        <v>96</v>
      </c>
      <c r="G845" s="19" t="s">
        <v>1734</v>
      </c>
      <c r="H845" s="16" t="s">
        <v>1741</v>
      </c>
      <c r="I845" s="33">
        <v>0</v>
      </c>
      <c r="J845" s="35"/>
      <c r="K845" s="35"/>
      <c r="L845" s="34"/>
      <c r="M845" s="16"/>
      <c r="N845" s="34"/>
      <c r="O845" s="16"/>
      <c r="P845" s="34"/>
      <c r="Q845" s="46">
        <f t="shared" si="27"/>
        <v>0</v>
      </c>
      <c r="R845" s="47">
        <f t="shared" ref="R845:R908" si="28">I845-Q845</f>
        <v>0</v>
      </c>
      <c r="S845" s="48"/>
    </row>
    <row r="846" s="1" customFormat="1" customHeight="1" spans="1:19">
      <c r="A846" s="14">
        <v>950</v>
      </c>
      <c r="B846" s="20">
        <v>46082</v>
      </c>
      <c r="C846" s="16"/>
      <c r="D846" s="17">
        <v>3011</v>
      </c>
      <c r="E846" s="18" t="s">
        <v>1911</v>
      </c>
      <c r="F846" s="26" t="s">
        <v>96</v>
      </c>
      <c r="G846" s="19" t="s">
        <v>1734</v>
      </c>
      <c r="H846" s="16" t="s">
        <v>1741</v>
      </c>
      <c r="I846" s="33">
        <v>0</v>
      </c>
      <c r="J846" s="35"/>
      <c r="K846" s="35"/>
      <c r="L846" s="34"/>
      <c r="M846" s="16"/>
      <c r="N846" s="34"/>
      <c r="O846" s="16"/>
      <c r="P846" s="34"/>
      <c r="Q846" s="46">
        <f t="shared" si="27"/>
        <v>0</v>
      </c>
      <c r="R846" s="47">
        <f t="shared" si="28"/>
        <v>0</v>
      </c>
      <c r="S846" s="48"/>
    </row>
    <row r="847" s="1" customFormat="1" customHeight="1" spans="1:19">
      <c r="A847" s="14">
        <v>951</v>
      </c>
      <c r="B847" s="20">
        <v>46082</v>
      </c>
      <c r="C847" s="16"/>
      <c r="D847" s="17">
        <v>3012</v>
      </c>
      <c r="E847" s="18" t="s">
        <v>1914</v>
      </c>
      <c r="F847" s="26" t="s">
        <v>96</v>
      </c>
      <c r="G847" s="19" t="s">
        <v>1734</v>
      </c>
      <c r="H847" s="16" t="s">
        <v>1741</v>
      </c>
      <c r="I847" s="33">
        <v>0</v>
      </c>
      <c r="J847" s="35"/>
      <c r="K847" s="35"/>
      <c r="L847" s="34"/>
      <c r="M847" s="16"/>
      <c r="N847" s="34"/>
      <c r="O847" s="35"/>
      <c r="P847" s="34"/>
      <c r="Q847" s="46">
        <f t="shared" si="27"/>
        <v>0</v>
      </c>
      <c r="R847" s="47">
        <f t="shared" si="28"/>
        <v>0</v>
      </c>
      <c r="S847" s="48"/>
    </row>
    <row r="848" s="1" customFormat="1" customHeight="1" spans="1:19">
      <c r="A848" s="14">
        <v>952</v>
      </c>
      <c r="B848" s="20">
        <v>46082</v>
      </c>
      <c r="C848" s="16"/>
      <c r="D848" s="17" t="s">
        <v>1915</v>
      </c>
      <c r="E848" s="18" t="s">
        <v>565</v>
      </c>
      <c r="F848" s="26" t="s">
        <v>96</v>
      </c>
      <c r="G848" s="19" t="s">
        <v>1734</v>
      </c>
      <c r="H848" s="16" t="s">
        <v>1741</v>
      </c>
      <c r="I848" s="33">
        <v>18.24</v>
      </c>
      <c r="J848" s="35">
        <v>18.24</v>
      </c>
      <c r="K848" s="35"/>
      <c r="L848" s="34">
        <v>46130</v>
      </c>
      <c r="M848" s="16"/>
      <c r="N848" s="34"/>
      <c r="O848" s="35"/>
      <c r="P848" s="34"/>
      <c r="Q848" s="46">
        <f t="shared" si="27"/>
        <v>18.24</v>
      </c>
      <c r="R848" s="47">
        <f t="shared" si="28"/>
        <v>0</v>
      </c>
      <c r="S848" s="48"/>
    </row>
    <row r="849" s="1" customFormat="1" customHeight="1" spans="1:19">
      <c r="A849" s="14">
        <v>953</v>
      </c>
      <c r="B849" s="20">
        <v>46082</v>
      </c>
      <c r="C849" s="16"/>
      <c r="D849" s="17">
        <v>3023</v>
      </c>
      <c r="E849" s="18" t="s">
        <v>577</v>
      </c>
      <c r="F849" s="26" t="s">
        <v>96</v>
      </c>
      <c r="G849" s="19" t="s">
        <v>1734</v>
      </c>
      <c r="H849" s="16" t="s">
        <v>1741</v>
      </c>
      <c r="I849" s="33">
        <v>0</v>
      </c>
      <c r="J849" s="35"/>
      <c r="K849" s="35"/>
      <c r="L849" s="34"/>
      <c r="M849" s="16"/>
      <c r="N849" s="34"/>
      <c r="O849" s="35"/>
      <c r="P849" s="34"/>
      <c r="Q849" s="46">
        <f t="shared" si="27"/>
        <v>0</v>
      </c>
      <c r="R849" s="47">
        <f t="shared" si="28"/>
        <v>0</v>
      </c>
      <c r="S849" s="48"/>
    </row>
    <row r="850" s="1" customFormat="1" customHeight="1" spans="1:19">
      <c r="A850" s="14">
        <v>954</v>
      </c>
      <c r="B850" s="20">
        <v>46082</v>
      </c>
      <c r="C850" s="16"/>
      <c r="D850" s="17" t="s">
        <v>1794</v>
      </c>
      <c r="E850" s="18" t="s">
        <v>1795</v>
      </c>
      <c r="F850" s="26" t="s">
        <v>96</v>
      </c>
      <c r="G850" s="19" t="s">
        <v>1734</v>
      </c>
      <c r="H850" s="16" t="s">
        <v>1741</v>
      </c>
      <c r="I850" s="33">
        <v>0</v>
      </c>
      <c r="J850" s="35"/>
      <c r="K850" s="35"/>
      <c r="L850" s="34"/>
      <c r="M850" s="16"/>
      <c r="N850" s="34"/>
      <c r="O850" s="35"/>
      <c r="P850" s="34"/>
      <c r="Q850" s="46">
        <f t="shared" si="27"/>
        <v>0</v>
      </c>
      <c r="R850" s="47">
        <f t="shared" si="28"/>
        <v>0</v>
      </c>
      <c r="S850" s="48"/>
    </row>
    <row r="851" s="1" customFormat="1" customHeight="1" spans="1:19">
      <c r="A851" s="14">
        <v>955</v>
      </c>
      <c r="B851" s="20">
        <v>46082</v>
      </c>
      <c r="C851" s="16"/>
      <c r="D851" s="17">
        <v>3020</v>
      </c>
      <c r="E851" s="18" t="s">
        <v>1916</v>
      </c>
      <c r="F851" s="26" t="s">
        <v>96</v>
      </c>
      <c r="G851" s="19" t="s">
        <v>1734</v>
      </c>
      <c r="H851" s="16" t="s">
        <v>1741</v>
      </c>
      <c r="I851" s="33">
        <v>0</v>
      </c>
      <c r="J851" s="35"/>
      <c r="K851" s="35"/>
      <c r="L851" s="34"/>
      <c r="M851" s="16"/>
      <c r="N851" s="34"/>
      <c r="O851" s="16"/>
      <c r="P851" s="34"/>
      <c r="Q851" s="46">
        <f t="shared" si="27"/>
        <v>0</v>
      </c>
      <c r="R851" s="47">
        <f t="shared" si="28"/>
        <v>0</v>
      </c>
      <c r="S851" s="48"/>
    </row>
    <row r="852" s="1" customFormat="1" customHeight="1" spans="1:19">
      <c r="A852" s="14">
        <v>956</v>
      </c>
      <c r="B852" s="20">
        <v>46082</v>
      </c>
      <c r="C852" s="16" t="s">
        <v>491</v>
      </c>
      <c r="D852" s="17">
        <v>3033</v>
      </c>
      <c r="E852" s="18" t="s">
        <v>617</v>
      </c>
      <c r="F852" s="26" t="s">
        <v>96</v>
      </c>
      <c r="G852" s="19" t="s">
        <v>1734</v>
      </c>
      <c r="H852" s="16" t="s">
        <v>1741</v>
      </c>
      <c r="I852" s="33">
        <v>18.24</v>
      </c>
      <c r="J852" s="35">
        <v>18.24</v>
      </c>
      <c r="K852" s="35"/>
      <c r="L852" s="34">
        <v>46095</v>
      </c>
      <c r="M852" s="16"/>
      <c r="N852" s="34"/>
      <c r="O852" s="16"/>
      <c r="P852" s="34"/>
      <c r="Q852" s="46">
        <f t="shared" si="27"/>
        <v>18.24</v>
      </c>
      <c r="R852" s="47">
        <f t="shared" si="28"/>
        <v>0</v>
      </c>
      <c r="S852" s="48"/>
    </row>
    <row r="853" s="1" customFormat="1" customHeight="1" spans="1:19">
      <c r="A853" s="14">
        <v>957</v>
      </c>
      <c r="B853" s="20">
        <v>46082</v>
      </c>
      <c r="C853" s="16"/>
      <c r="D853" s="17">
        <v>4002</v>
      </c>
      <c r="E853" s="18" t="s">
        <v>633</v>
      </c>
      <c r="F853" s="26" t="s">
        <v>96</v>
      </c>
      <c r="G853" s="19" t="s">
        <v>1734</v>
      </c>
      <c r="H853" s="16" t="s">
        <v>1741</v>
      </c>
      <c r="I853" s="33">
        <v>745.2</v>
      </c>
      <c r="J853" s="35">
        <v>745.2</v>
      </c>
      <c r="K853" s="35"/>
      <c r="L853" s="34">
        <v>46097</v>
      </c>
      <c r="M853" s="16"/>
      <c r="N853" s="34"/>
      <c r="O853" s="16"/>
      <c r="P853" s="34"/>
      <c r="Q853" s="46">
        <f t="shared" ref="Q853:Q916" si="29">J853+M853+O853</f>
        <v>745.2</v>
      </c>
      <c r="R853" s="47">
        <f t="shared" si="28"/>
        <v>0</v>
      </c>
      <c r="S853" s="48"/>
    </row>
    <row r="854" s="1" customFormat="1" customHeight="1" spans="1:19">
      <c r="A854" s="14">
        <v>958</v>
      </c>
      <c r="B854" s="20">
        <v>46082</v>
      </c>
      <c r="C854" s="16"/>
      <c r="D854" s="17" t="s">
        <v>1105</v>
      </c>
      <c r="E854" s="18" t="s">
        <v>1106</v>
      </c>
      <c r="F854" s="26" t="s">
        <v>96</v>
      </c>
      <c r="G854" s="19" t="s">
        <v>1734</v>
      </c>
      <c r="H854" s="16" t="s">
        <v>1741</v>
      </c>
      <c r="I854" s="33">
        <v>235.98</v>
      </c>
      <c r="J854" s="35">
        <v>235.98</v>
      </c>
      <c r="K854" s="35"/>
      <c r="L854" s="34">
        <v>46104</v>
      </c>
      <c r="M854" s="16"/>
      <c r="N854" s="34"/>
      <c r="O854" s="35"/>
      <c r="P854" s="34"/>
      <c r="Q854" s="46">
        <f t="shared" si="29"/>
        <v>235.98</v>
      </c>
      <c r="R854" s="47">
        <f t="shared" si="28"/>
        <v>0</v>
      </c>
      <c r="S854" s="48"/>
    </row>
    <row r="855" s="1" customFormat="1" customHeight="1" spans="1:19">
      <c r="A855" s="14">
        <v>959</v>
      </c>
      <c r="B855" s="20">
        <v>46082</v>
      </c>
      <c r="C855" s="16"/>
      <c r="D855" s="17" t="s">
        <v>1105</v>
      </c>
      <c r="E855" s="18" t="s">
        <v>1106</v>
      </c>
      <c r="F855" s="26" t="s">
        <v>96</v>
      </c>
      <c r="G855" s="19" t="s">
        <v>1734</v>
      </c>
      <c r="H855" s="16" t="s">
        <v>1741</v>
      </c>
      <c r="I855" s="33">
        <v>0</v>
      </c>
      <c r="J855" s="35"/>
      <c r="K855" s="35"/>
      <c r="L855" s="34"/>
      <c r="M855" s="16"/>
      <c r="N855" s="34"/>
      <c r="O855" s="35"/>
      <c r="P855" s="34"/>
      <c r="Q855" s="46">
        <f t="shared" si="29"/>
        <v>0</v>
      </c>
      <c r="R855" s="47">
        <f t="shared" si="28"/>
        <v>0</v>
      </c>
      <c r="S855" s="48"/>
    </row>
    <row r="856" s="1" customFormat="1" customHeight="1" spans="1:19">
      <c r="A856" s="14">
        <v>960</v>
      </c>
      <c r="B856" s="20">
        <v>46082</v>
      </c>
      <c r="C856" s="16"/>
      <c r="D856" s="17">
        <v>4012</v>
      </c>
      <c r="E856" s="18" t="s">
        <v>647</v>
      </c>
      <c r="F856" s="26" t="s">
        <v>96</v>
      </c>
      <c r="G856" s="19" t="s">
        <v>1734</v>
      </c>
      <c r="H856" s="16" t="s">
        <v>1741</v>
      </c>
      <c r="I856" s="33">
        <v>54.72</v>
      </c>
      <c r="J856" s="35">
        <v>54.72</v>
      </c>
      <c r="K856" s="35"/>
      <c r="L856" s="34">
        <v>46094</v>
      </c>
      <c r="M856" s="16"/>
      <c r="N856" s="34"/>
      <c r="O856" s="35"/>
      <c r="P856" s="34"/>
      <c r="Q856" s="46">
        <f t="shared" si="29"/>
        <v>54.72</v>
      </c>
      <c r="R856" s="47">
        <f t="shared" si="28"/>
        <v>0</v>
      </c>
      <c r="S856" s="48"/>
    </row>
    <row r="857" s="1" customFormat="1" customHeight="1" spans="1:19">
      <c r="A857" s="14">
        <v>961</v>
      </c>
      <c r="B857" s="20">
        <v>46082</v>
      </c>
      <c r="C857" s="16"/>
      <c r="D857" s="17">
        <v>4025</v>
      </c>
      <c r="E857" s="18" t="s">
        <v>1855</v>
      </c>
      <c r="F857" s="26" t="s">
        <v>96</v>
      </c>
      <c r="G857" s="19" t="s">
        <v>1734</v>
      </c>
      <c r="H857" s="16" t="s">
        <v>1741</v>
      </c>
      <c r="I857" s="33">
        <v>6.08</v>
      </c>
      <c r="J857" s="35">
        <v>6.08</v>
      </c>
      <c r="K857" s="35"/>
      <c r="L857" s="34">
        <v>46097</v>
      </c>
      <c r="M857" s="16"/>
      <c r="N857" s="34"/>
      <c r="O857" s="35"/>
      <c r="P857" s="34"/>
      <c r="Q857" s="46">
        <f t="shared" si="29"/>
        <v>6.08</v>
      </c>
      <c r="R857" s="47">
        <f t="shared" si="28"/>
        <v>0</v>
      </c>
      <c r="S857" s="48"/>
    </row>
    <row r="858" s="1" customFormat="1" customHeight="1" spans="1:19">
      <c r="A858" s="14">
        <v>962</v>
      </c>
      <c r="B858" s="20">
        <v>46082</v>
      </c>
      <c r="C858" s="16"/>
      <c r="D858" s="17">
        <v>4027</v>
      </c>
      <c r="E858" s="18" t="s">
        <v>1757</v>
      </c>
      <c r="F858" s="26" t="s">
        <v>96</v>
      </c>
      <c r="G858" s="19" t="s">
        <v>1734</v>
      </c>
      <c r="H858" s="16" t="s">
        <v>1741</v>
      </c>
      <c r="I858" s="33">
        <v>0</v>
      </c>
      <c r="J858" s="35"/>
      <c r="K858" s="35"/>
      <c r="L858" s="34"/>
      <c r="M858" s="16"/>
      <c r="N858" s="34"/>
      <c r="O858" s="16"/>
      <c r="P858" s="34"/>
      <c r="Q858" s="46">
        <f t="shared" si="29"/>
        <v>0</v>
      </c>
      <c r="R858" s="47">
        <f t="shared" si="28"/>
        <v>0</v>
      </c>
      <c r="S858" s="48"/>
    </row>
    <row r="859" s="1" customFormat="1" customHeight="1" spans="1:19">
      <c r="A859" s="14">
        <v>963</v>
      </c>
      <c r="B859" s="20">
        <v>46082</v>
      </c>
      <c r="C859" s="66" t="s">
        <v>679</v>
      </c>
      <c r="D859" s="17">
        <v>5001</v>
      </c>
      <c r="E859" s="18" t="s">
        <v>682</v>
      </c>
      <c r="F859" s="26" t="s">
        <v>96</v>
      </c>
      <c r="G859" s="19" t="s">
        <v>1734</v>
      </c>
      <c r="H859" s="16" t="s">
        <v>1741</v>
      </c>
      <c r="I859" s="33">
        <v>1459.2</v>
      </c>
      <c r="J859" s="35">
        <v>1000</v>
      </c>
      <c r="K859" s="35"/>
      <c r="L859" s="34">
        <v>46083</v>
      </c>
      <c r="M859" s="16"/>
      <c r="N859" s="34"/>
      <c r="O859" s="16">
        <v>459.2</v>
      </c>
      <c r="P859" s="34">
        <v>46174</v>
      </c>
      <c r="Q859" s="46">
        <f t="shared" si="29"/>
        <v>1459.2</v>
      </c>
      <c r="R859" s="47">
        <f t="shared" si="28"/>
        <v>0</v>
      </c>
      <c r="S859" s="48"/>
    </row>
    <row r="860" s="1" customFormat="1" customHeight="1" spans="1:19">
      <c r="A860" s="14">
        <v>964</v>
      </c>
      <c r="B860" s="20">
        <v>46082</v>
      </c>
      <c r="C860" s="16"/>
      <c r="D860" s="17" t="s">
        <v>1917</v>
      </c>
      <c r="E860" s="18" t="s">
        <v>1918</v>
      </c>
      <c r="F860" s="26" t="s">
        <v>96</v>
      </c>
      <c r="G860" s="19" t="s">
        <v>1734</v>
      </c>
      <c r="H860" s="16" t="s">
        <v>1741</v>
      </c>
      <c r="I860" s="33">
        <v>370.88</v>
      </c>
      <c r="J860" s="35">
        <v>370.88</v>
      </c>
      <c r="K860" s="35"/>
      <c r="L860" s="34">
        <v>46122</v>
      </c>
      <c r="M860" s="16"/>
      <c r="N860" s="34"/>
      <c r="O860" s="16"/>
      <c r="P860" s="34"/>
      <c r="Q860" s="46">
        <f t="shared" si="29"/>
        <v>370.88</v>
      </c>
      <c r="R860" s="47">
        <f t="shared" si="28"/>
        <v>0</v>
      </c>
      <c r="S860" s="48"/>
    </row>
    <row r="861" s="1" customFormat="1" customHeight="1" spans="1:19">
      <c r="A861" s="14">
        <v>965</v>
      </c>
      <c r="B861" s="20">
        <v>46082</v>
      </c>
      <c r="C861" s="16"/>
      <c r="D861" s="17">
        <v>5003</v>
      </c>
      <c r="E861" s="18" t="s">
        <v>696</v>
      </c>
      <c r="F861" s="26" t="s">
        <v>96</v>
      </c>
      <c r="G861" s="19" t="s">
        <v>1734</v>
      </c>
      <c r="H861" s="16" t="s">
        <v>1741</v>
      </c>
      <c r="I861" s="33">
        <v>462.08</v>
      </c>
      <c r="J861" s="35">
        <v>462.08</v>
      </c>
      <c r="K861" s="35"/>
      <c r="L861" s="34">
        <v>46093</v>
      </c>
      <c r="M861" s="16"/>
      <c r="N861" s="34"/>
      <c r="O861" s="35"/>
      <c r="P861" s="34"/>
      <c r="Q861" s="46">
        <f t="shared" si="29"/>
        <v>462.08</v>
      </c>
      <c r="R861" s="47">
        <f t="shared" si="28"/>
        <v>0</v>
      </c>
      <c r="S861" s="48"/>
    </row>
    <row r="862" s="1" customFormat="1" customHeight="1" spans="1:19">
      <c r="A862" s="14">
        <v>966</v>
      </c>
      <c r="B862" s="20">
        <v>46082</v>
      </c>
      <c r="C862" s="16"/>
      <c r="D862" s="17">
        <v>5005</v>
      </c>
      <c r="E862" s="18" t="s">
        <v>702</v>
      </c>
      <c r="F862" s="26" t="s">
        <v>96</v>
      </c>
      <c r="G862" s="19" t="s">
        <v>1734</v>
      </c>
      <c r="H862" s="16" t="s">
        <v>1741</v>
      </c>
      <c r="I862" s="33">
        <v>85.12</v>
      </c>
      <c r="J862" s="35">
        <v>85.12</v>
      </c>
      <c r="K862" s="35"/>
      <c r="L862" s="34">
        <v>46090</v>
      </c>
      <c r="M862" s="16"/>
      <c r="N862" s="34"/>
      <c r="O862" s="35"/>
      <c r="P862" s="34"/>
      <c r="Q862" s="46">
        <f t="shared" si="29"/>
        <v>85.12</v>
      </c>
      <c r="R862" s="47">
        <f t="shared" si="28"/>
        <v>0</v>
      </c>
      <c r="S862" s="48"/>
    </row>
    <row r="863" s="1" customFormat="1" customHeight="1" spans="1:19">
      <c r="A863" s="14">
        <v>967</v>
      </c>
      <c r="B863" s="20">
        <v>46082</v>
      </c>
      <c r="C863" s="16" t="s">
        <v>679</v>
      </c>
      <c r="D863" s="17">
        <v>5006</v>
      </c>
      <c r="E863" s="18" t="s">
        <v>706</v>
      </c>
      <c r="F863" s="26" t="s">
        <v>96</v>
      </c>
      <c r="G863" s="19" t="s">
        <v>1734</v>
      </c>
      <c r="H863" s="16" t="s">
        <v>1741</v>
      </c>
      <c r="I863" s="33">
        <v>164.16</v>
      </c>
      <c r="J863" s="35">
        <v>164.16</v>
      </c>
      <c r="K863" s="35"/>
      <c r="L863" s="34">
        <v>46182</v>
      </c>
      <c r="M863" s="16"/>
      <c r="N863" s="34"/>
      <c r="O863" s="35"/>
      <c r="P863" s="34"/>
      <c r="Q863" s="46">
        <f t="shared" si="29"/>
        <v>164.16</v>
      </c>
      <c r="R863" s="47">
        <f t="shared" si="28"/>
        <v>0</v>
      </c>
      <c r="S863" s="48"/>
    </row>
    <row r="864" s="1" customFormat="1" customHeight="1" spans="1:19">
      <c r="A864" s="14">
        <v>968</v>
      </c>
      <c r="B864" s="20">
        <v>46082</v>
      </c>
      <c r="C864" s="16" t="s">
        <v>679</v>
      </c>
      <c r="D864" s="17">
        <v>5008</v>
      </c>
      <c r="E864" s="18" t="s">
        <v>713</v>
      </c>
      <c r="F864" s="26" t="s">
        <v>96</v>
      </c>
      <c r="G864" s="19" t="s">
        <v>1734</v>
      </c>
      <c r="H864" s="16" t="s">
        <v>1741</v>
      </c>
      <c r="I864" s="33">
        <v>2565.76</v>
      </c>
      <c r="J864" s="35">
        <f>2323.72-0.84-172.61-158.74</f>
        <v>1991.53</v>
      </c>
      <c r="K864" s="35"/>
      <c r="L864" s="34">
        <v>46092</v>
      </c>
      <c r="M864" s="16">
        <v>3.5</v>
      </c>
      <c r="N864" s="34">
        <v>46094</v>
      </c>
      <c r="O864" s="16"/>
      <c r="P864" s="34"/>
      <c r="Q864" s="46">
        <f t="shared" si="29"/>
        <v>1995.03</v>
      </c>
      <c r="R864" s="47">
        <f t="shared" si="28"/>
        <v>570.730000000001</v>
      </c>
      <c r="S864" s="48" t="s">
        <v>1203</v>
      </c>
    </row>
    <row r="865" s="1" customFormat="1" customHeight="1" spans="1:19">
      <c r="A865" s="14">
        <v>969</v>
      </c>
      <c r="B865" s="20">
        <v>46082</v>
      </c>
      <c r="C865" s="16" t="s">
        <v>679</v>
      </c>
      <c r="D865" s="17" t="s">
        <v>1819</v>
      </c>
      <c r="E865" s="18" t="s">
        <v>720</v>
      </c>
      <c r="F865" s="26" t="s">
        <v>96</v>
      </c>
      <c r="G865" s="19" t="s">
        <v>1734</v>
      </c>
      <c r="H865" s="16" t="s">
        <v>1741</v>
      </c>
      <c r="I865" s="33">
        <v>115.52</v>
      </c>
      <c r="J865" s="35">
        <v>115.52</v>
      </c>
      <c r="K865" s="35"/>
      <c r="L865" s="34">
        <v>46095</v>
      </c>
      <c r="M865" s="16"/>
      <c r="N865" s="34"/>
      <c r="O865" s="16"/>
      <c r="P865" s="34"/>
      <c r="Q865" s="46">
        <f t="shared" si="29"/>
        <v>115.52</v>
      </c>
      <c r="R865" s="47">
        <f t="shared" si="28"/>
        <v>0</v>
      </c>
      <c r="S865" s="48"/>
    </row>
    <row r="866" s="1" customFormat="1" customHeight="1" spans="1:19">
      <c r="A866" s="14">
        <v>970</v>
      </c>
      <c r="B866" s="20">
        <v>46082</v>
      </c>
      <c r="C866" s="16" t="s">
        <v>679</v>
      </c>
      <c r="D866" s="17">
        <v>5010</v>
      </c>
      <c r="E866" s="18" t="s">
        <v>729</v>
      </c>
      <c r="F866" s="26" t="s">
        <v>96</v>
      </c>
      <c r="G866" s="19" t="s">
        <v>1734</v>
      </c>
      <c r="H866" s="16" t="s">
        <v>1741</v>
      </c>
      <c r="I866" s="33">
        <v>668.8</v>
      </c>
      <c r="J866" s="35">
        <v>668.8</v>
      </c>
      <c r="K866" s="35"/>
      <c r="L866" s="34">
        <v>46094</v>
      </c>
      <c r="M866" s="16"/>
      <c r="N866" s="34"/>
      <c r="O866" s="16"/>
      <c r="P866" s="34"/>
      <c r="Q866" s="46">
        <f t="shared" si="29"/>
        <v>668.8</v>
      </c>
      <c r="R866" s="47">
        <f t="shared" si="28"/>
        <v>0</v>
      </c>
      <c r="S866" s="48"/>
    </row>
    <row r="867" s="1" customFormat="1" customHeight="1" spans="1:19">
      <c r="A867" s="14">
        <v>971</v>
      </c>
      <c r="B867" s="20">
        <v>46082</v>
      </c>
      <c r="C867" s="66" t="s">
        <v>679</v>
      </c>
      <c r="D867" s="17">
        <v>5011</v>
      </c>
      <c r="E867" s="18" t="s">
        <v>1837</v>
      </c>
      <c r="F867" s="26" t="s">
        <v>96</v>
      </c>
      <c r="G867" s="19" t="s">
        <v>1734</v>
      </c>
      <c r="H867" s="16" t="s">
        <v>1741</v>
      </c>
      <c r="I867" s="33">
        <v>224.96</v>
      </c>
      <c r="J867" s="35">
        <v>224.69</v>
      </c>
      <c r="K867" s="35"/>
      <c r="L867" s="34">
        <v>46088</v>
      </c>
      <c r="M867" s="16">
        <v>0.27</v>
      </c>
      <c r="N867" s="34" t="s">
        <v>1950</v>
      </c>
      <c r="O867" s="35"/>
      <c r="P867" s="34"/>
      <c r="Q867" s="46">
        <f t="shared" si="29"/>
        <v>224.96</v>
      </c>
      <c r="R867" s="47">
        <f t="shared" si="28"/>
        <v>0</v>
      </c>
      <c r="S867" s="48"/>
    </row>
    <row r="868" s="1" customFormat="1" customHeight="1" spans="1:19">
      <c r="A868" s="14">
        <v>972</v>
      </c>
      <c r="B868" s="20">
        <v>46082</v>
      </c>
      <c r="C868" s="16"/>
      <c r="D868" s="17">
        <v>5012</v>
      </c>
      <c r="E868" s="18" t="s">
        <v>1951</v>
      </c>
      <c r="F868" s="26" t="s">
        <v>96</v>
      </c>
      <c r="G868" s="19" t="s">
        <v>1734</v>
      </c>
      <c r="H868" s="16" t="s">
        <v>1741</v>
      </c>
      <c r="I868" s="33">
        <v>176.32</v>
      </c>
      <c r="J868" s="35"/>
      <c r="K868" s="35"/>
      <c r="L868" s="34"/>
      <c r="M868" s="16"/>
      <c r="N868" s="34"/>
      <c r="O868" s="35">
        <v>176.32</v>
      </c>
      <c r="P868" s="34"/>
      <c r="Q868" s="46">
        <f t="shared" si="29"/>
        <v>176.32</v>
      </c>
      <c r="R868" s="47">
        <f t="shared" si="28"/>
        <v>0</v>
      </c>
      <c r="S868" s="48" t="s">
        <v>1799</v>
      </c>
    </row>
    <row r="869" s="1" customFormat="1" customHeight="1" spans="1:19">
      <c r="A869" s="14">
        <v>973</v>
      </c>
      <c r="B869" s="20">
        <v>46082</v>
      </c>
      <c r="C869" s="16"/>
      <c r="D869" s="17">
        <v>5015</v>
      </c>
      <c r="E869" s="18" t="s">
        <v>765</v>
      </c>
      <c r="F869" s="26" t="s">
        <v>96</v>
      </c>
      <c r="G869" s="19" t="s">
        <v>1734</v>
      </c>
      <c r="H869" s="16" t="s">
        <v>1741</v>
      </c>
      <c r="I869" s="33">
        <v>0</v>
      </c>
      <c r="J869" s="35"/>
      <c r="K869" s="35"/>
      <c r="L869" s="34"/>
      <c r="M869" s="16"/>
      <c r="N869" s="34"/>
      <c r="O869" s="35"/>
      <c r="P869" s="34"/>
      <c r="Q869" s="46">
        <f t="shared" si="29"/>
        <v>0</v>
      </c>
      <c r="R869" s="47">
        <f t="shared" si="28"/>
        <v>0</v>
      </c>
      <c r="S869" s="48"/>
    </row>
    <row r="870" s="1" customFormat="1" customHeight="1" spans="1:19">
      <c r="A870" s="14">
        <v>974</v>
      </c>
      <c r="B870" s="20">
        <v>46082</v>
      </c>
      <c r="C870" s="16"/>
      <c r="D870" s="17">
        <v>5015</v>
      </c>
      <c r="E870" s="18" t="s">
        <v>765</v>
      </c>
      <c r="F870" s="26" t="s">
        <v>96</v>
      </c>
      <c r="G870" s="19" t="s">
        <v>1734</v>
      </c>
      <c r="H870" s="16" t="s">
        <v>1741</v>
      </c>
      <c r="I870" s="33">
        <v>0</v>
      </c>
      <c r="J870" s="35"/>
      <c r="K870" s="35"/>
      <c r="L870" s="34"/>
      <c r="M870" s="16"/>
      <c r="N870" s="34"/>
      <c r="O870" s="35"/>
      <c r="P870" s="34"/>
      <c r="Q870" s="46">
        <f t="shared" si="29"/>
        <v>0</v>
      </c>
      <c r="R870" s="47">
        <f t="shared" si="28"/>
        <v>0</v>
      </c>
      <c r="S870" s="48"/>
    </row>
    <row r="871" s="1" customFormat="1" customHeight="1" spans="1:19">
      <c r="A871" s="14">
        <v>975</v>
      </c>
      <c r="B871" s="20">
        <v>46082</v>
      </c>
      <c r="C871" s="16"/>
      <c r="D871" s="17">
        <v>5015</v>
      </c>
      <c r="E871" s="18" t="s">
        <v>765</v>
      </c>
      <c r="F871" s="26" t="s">
        <v>96</v>
      </c>
      <c r="G871" s="19" t="s">
        <v>1734</v>
      </c>
      <c r="H871" s="16" t="s">
        <v>1741</v>
      </c>
      <c r="I871" s="33">
        <v>1240.32</v>
      </c>
      <c r="J871" s="35">
        <v>1240.32</v>
      </c>
      <c r="K871" s="35"/>
      <c r="L871" s="34">
        <v>46113</v>
      </c>
      <c r="M871" s="16"/>
      <c r="N871" s="34"/>
      <c r="O871" s="16"/>
      <c r="P871" s="34"/>
      <c r="Q871" s="46">
        <f t="shared" si="29"/>
        <v>1240.32</v>
      </c>
      <c r="R871" s="47">
        <f t="shared" si="28"/>
        <v>0</v>
      </c>
      <c r="S871" s="48"/>
    </row>
    <row r="872" s="1" customFormat="1" customHeight="1" spans="1:19">
      <c r="A872" s="14">
        <v>976</v>
      </c>
      <c r="B872" s="20">
        <v>46082</v>
      </c>
      <c r="C872" s="16" t="s">
        <v>679</v>
      </c>
      <c r="D872" s="17">
        <v>5017</v>
      </c>
      <c r="E872" s="18" t="s">
        <v>1802</v>
      </c>
      <c r="F872" s="26" t="s">
        <v>96</v>
      </c>
      <c r="G872" s="19" t="s">
        <v>1734</v>
      </c>
      <c r="H872" s="16" t="s">
        <v>1741</v>
      </c>
      <c r="I872" s="33">
        <v>194.56</v>
      </c>
      <c r="J872" s="35">
        <v>194.56</v>
      </c>
      <c r="K872" s="35"/>
      <c r="L872" s="34">
        <v>46088</v>
      </c>
      <c r="M872" s="16"/>
      <c r="N872" s="34"/>
      <c r="O872" s="16"/>
      <c r="P872" s="34"/>
      <c r="Q872" s="46">
        <f t="shared" si="29"/>
        <v>194.56</v>
      </c>
      <c r="R872" s="47">
        <f t="shared" si="28"/>
        <v>0</v>
      </c>
      <c r="S872" s="48"/>
    </row>
    <row r="873" s="1" customFormat="1" customHeight="1" spans="1:19">
      <c r="A873" s="14">
        <v>977</v>
      </c>
      <c r="B873" s="20">
        <v>46082</v>
      </c>
      <c r="C873" s="16"/>
      <c r="D873" s="17">
        <v>5018</v>
      </c>
      <c r="E873" s="18" t="s">
        <v>780</v>
      </c>
      <c r="F873" s="26" t="s">
        <v>96</v>
      </c>
      <c r="G873" s="19" t="s">
        <v>1734</v>
      </c>
      <c r="H873" s="16" t="s">
        <v>1741</v>
      </c>
      <c r="I873" s="33">
        <v>54.72</v>
      </c>
      <c r="J873" s="35">
        <v>54.72</v>
      </c>
      <c r="K873" s="35"/>
      <c r="L873" s="34">
        <v>46090</v>
      </c>
      <c r="M873" s="16"/>
      <c r="N873" s="34"/>
      <c r="O873" s="16"/>
      <c r="P873" s="34"/>
      <c r="Q873" s="46">
        <f t="shared" si="29"/>
        <v>54.72</v>
      </c>
      <c r="R873" s="47">
        <f t="shared" si="28"/>
        <v>0</v>
      </c>
      <c r="S873" s="48"/>
    </row>
    <row r="874" s="1" customFormat="1" customHeight="1" spans="1:19">
      <c r="A874" s="14">
        <v>978</v>
      </c>
      <c r="B874" s="20">
        <v>46082</v>
      </c>
      <c r="C874" s="16"/>
      <c r="D874" s="17">
        <v>5019</v>
      </c>
      <c r="E874" s="18" t="s">
        <v>785</v>
      </c>
      <c r="F874" s="26" t="s">
        <v>96</v>
      </c>
      <c r="G874" s="19" t="s">
        <v>1734</v>
      </c>
      <c r="H874" s="16" t="s">
        <v>1741</v>
      </c>
      <c r="I874" s="33">
        <v>79.04</v>
      </c>
      <c r="J874" s="35"/>
      <c r="K874" s="35">
        <v>100</v>
      </c>
      <c r="L874" s="34">
        <v>46120</v>
      </c>
      <c r="M874" s="16"/>
      <c r="N874" s="34"/>
      <c r="O874" s="35">
        <v>79.04</v>
      </c>
      <c r="P874" s="34"/>
      <c r="Q874" s="46">
        <f t="shared" si="29"/>
        <v>79.04</v>
      </c>
      <c r="R874" s="47">
        <f t="shared" si="28"/>
        <v>0</v>
      </c>
      <c r="S874" s="48" t="s">
        <v>1919</v>
      </c>
    </row>
    <row r="875" s="1" customFormat="1" customHeight="1" spans="1:19">
      <c r="A875" s="14">
        <v>979</v>
      </c>
      <c r="B875" s="20">
        <v>46082</v>
      </c>
      <c r="C875" s="16" t="s">
        <v>679</v>
      </c>
      <c r="D875" s="17">
        <v>5020</v>
      </c>
      <c r="E875" s="18" t="s">
        <v>791</v>
      </c>
      <c r="F875" s="26" t="s">
        <v>96</v>
      </c>
      <c r="G875" s="19" t="s">
        <v>1734</v>
      </c>
      <c r="H875" s="16" t="s">
        <v>1741</v>
      </c>
      <c r="I875" s="33">
        <v>267.52</v>
      </c>
      <c r="J875" s="35">
        <v>267.52</v>
      </c>
      <c r="K875" s="35">
        <v>13.6</v>
      </c>
      <c r="L875" s="34">
        <v>46124</v>
      </c>
      <c r="M875" s="16"/>
      <c r="N875" s="34"/>
      <c r="O875" s="35"/>
      <c r="P875" s="34"/>
      <c r="Q875" s="46">
        <f t="shared" si="29"/>
        <v>267.52</v>
      </c>
      <c r="R875" s="47">
        <f t="shared" si="28"/>
        <v>0</v>
      </c>
      <c r="S875" s="48"/>
    </row>
    <row r="876" s="1" customFormat="1" customHeight="1" spans="1:19">
      <c r="A876" s="14">
        <v>980</v>
      </c>
      <c r="B876" s="20">
        <v>46082</v>
      </c>
      <c r="C876" s="16"/>
      <c r="D876" s="17" t="s">
        <v>1920</v>
      </c>
      <c r="E876" s="18" t="s">
        <v>799</v>
      </c>
      <c r="F876" s="26" t="s">
        <v>96</v>
      </c>
      <c r="G876" s="19" t="s">
        <v>1734</v>
      </c>
      <c r="H876" s="16" t="s">
        <v>1741</v>
      </c>
      <c r="I876" s="33">
        <v>632.32</v>
      </c>
      <c r="J876" s="35">
        <v>632.32</v>
      </c>
      <c r="K876" s="35"/>
      <c r="L876" s="34">
        <v>46090</v>
      </c>
      <c r="M876" s="16"/>
      <c r="N876" s="34"/>
      <c r="O876" s="35"/>
      <c r="P876" s="34"/>
      <c r="Q876" s="46">
        <f t="shared" si="29"/>
        <v>632.32</v>
      </c>
      <c r="R876" s="47">
        <f t="shared" si="28"/>
        <v>0</v>
      </c>
      <c r="S876" s="48"/>
    </row>
    <row r="877" s="1" customFormat="1" customHeight="1" spans="1:19">
      <c r="A877" s="14">
        <v>981</v>
      </c>
      <c r="B877" s="20">
        <v>46082</v>
      </c>
      <c r="C877" s="16"/>
      <c r="D877" s="17" t="s">
        <v>1939</v>
      </c>
      <c r="E877" s="18" t="s">
        <v>1145</v>
      </c>
      <c r="F877" s="26" t="s">
        <v>96</v>
      </c>
      <c r="G877" s="19" t="s">
        <v>1734</v>
      </c>
      <c r="H877" s="16" t="s">
        <v>1741</v>
      </c>
      <c r="I877" s="33">
        <v>1112.64</v>
      </c>
      <c r="J877" s="35">
        <v>1112.64</v>
      </c>
      <c r="K877" s="35"/>
      <c r="L877" s="34">
        <v>46091</v>
      </c>
      <c r="M877" s="16"/>
      <c r="N877" s="34"/>
      <c r="O877" s="35"/>
      <c r="P877" s="34"/>
      <c r="Q877" s="46">
        <f t="shared" si="29"/>
        <v>1112.64</v>
      </c>
      <c r="R877" s="47">
        <f t="shared" si="28"/>
        <v>0</v>
      </c>
      <c r="S877" s="48"/>
    </row>
    <row r="878" s="1" customFormat="1" customHeight="1" spans="1:19">
      <c r="A878" s="14">
        <v>982</v>
      </c>
      <c r="B878" s="20">
        <v>46082</v>
      </c>
      <c r="C878" s="16" t="s">
        <v>679</v>
      </c>
      <c r="D878" s="17">
        <v>5022</v>
      </c>
      <c r="E878" s="18" t="s">
        <v>809</v>
      </c>
      <c r="F878" s="26" t="s">
        <v>96</v>
      </c>
      <c r="G878" s="19" t="s">
        <v>1734</v>
      </c>
      <c r="H878" s="16" t="s">
        <v>1741</v>
      </c>
      <c r="I878" s="33">
        <v>364.8</v>
      </c>
      <c r="J878" s="35">
        <v>364.8</v>
      </c>
      <c r="K878" s="35"/>
      <c r="L878" s="34">
        <v>46090</v>
      </c>
      <c r="M878" s="16"/>
      <c r="N878" s="34"/>
      <c r="O878" s="16"/>
      <c r="P878" s="34"/>
      <c r="Q878" s="46">
        <f t="shared" si="29"/>
        <v>364.8</v>
      </c>
      <c r="R878" s="47">
        <f t="shared" si="28"/>
        <v>0</v>
      </c>
      <c r="S878" s="48"/>
    </row>
    <row r="879" s="1" customFormat="1" customHeight="1" spans="1:19">
      <c r="A879" s="14">
        <v>983</v>
      </c>
      <c r="B879" s="20">
        <v>46082</v>
      </c>
      <c r="C879" s="16"/>
      <c r="D879" s="17">
        <v>5023</v>
      </c>
      <c r="E879" s="18" t="s">
        <v>813</v>
      </c>
      <c r="F879" s="26" t="s">
        <v>96</v>
      </c>
      <c r="G879" s="19" t="s">
        <v>1734</v>
      </c>
      <c r="H879" s="16" t="s">
        <v>1741</v>
      </c>
      <c r="I879" s="33">
        <v>474.24</v>
      </c>
      <c r="J879" s="35">
        <v>474.24</v>
      </c>
      <c r="K879" s="35">
        <f>436.89-407.36</f>
        <v>29.53</v>
      </c>
      <c r="L879" s="34">
        <v>46114</v>
      </c>
      <c r="M879" s="16"/>
      <c r="N879" s="34"/>
      <c r="O879" s="16"/>
      <c r="P879" s="34"/>
      <c r="Q879" s="46">
        <f t="shared" si="29"/>
        <v>474.24</v>
      </c>
      <c r="R879" s="47">
        <f t="shared" si="28"/>
        <v>0</v>
      </c>
      <c r="S879" s="48"/>
    </row>
    <row r="880" s="1" customFormat="1" customHeight="1" spans="1:19">
      <c r="A880" s="14">
        <v>984</v>
      </c>
      <c r="B880" s="20">
        <v>46082</v>
      </c>
      <c r="C880" s="16"/>
      <c r="D880" s="17" t="s">
        <v>1775</v>
      </c>
      <c r="E880" s="18" t="s">
        <v>1124</v>
      </c>
      <c r="F880" s="26" t="s">
        <v>96</v>
      </c>
      <c r="G880" s="19" t="s">
        <v>1734</v>
      </c>
      <c r="H880" s="16" t="s">
        <v>1741</v>
      </c>
      <c r="I880" s="33">
        <v>261.44</v>
      </c>
      <c r="J880" s="35">
        <v>261.44</v>
      </c>
      <c r="K880" s="35"/>
      <c r="L880" s="34">
        <v>46090</v>
      </c>
      <c r="M880" s="16"/>
      <c r="N880" s="34"/>
      <c r="O880" s="16"/>
      <c r="P880" s="34"/>
      <c r="Q880" s="46">
        <f t="shared" si="29"/>
        <v>261.44</v>
      </c>
      <c r="R880" s="47">
        <f t="shared" si="28"/>
        <v>0</v>
      </c>
      <c r="S880" s="48"/>
    </row>
    <row r="881" s="1" customFormat="1" customHeight="1" spans="1:19">
      <c r="A881" s="14">
        <v>985</v>
      </c>
      <c r="B881" s="20">
        <v>46082</v>
      </c>
      <c r="C881" s="16"/>
      <c r="D881" s="17" t="s">
        <v>935</v>
      </c>
      <c r="E881" s="18" t="s">
        <v>936</v>
      </c>
      <c r="F881" s="26" t="s">
        <v>96</v>
      </c>
      <c r="G881" s="19" t="s">
        <v>1734</v>
      </c>
      <c r="H881" s="16" t="s">
        <v>1741</v>
      </c>
      <c r="I881" s="33">
        <v>121.6</v>
      </c>
      <c r="J881" s="35">
        <v>121.6</v>
      </c>
      <c r="K881" s="35">
        <v>0.4</v>
      </c>
      <c r="L881" s="34">
        <v>46090</v>
      </c>
      <c r="M881" s="16"/>
      <c r="N881" s="34"/>
      <c r="O881" s="35"/>
      <c r="P881" s="34"/>
      <c r="Q881" s="46">
        <f t="shared" si="29"/>
        <v>121.6</v>
      </c>
      <c r="R881" s="47">
        <f t="shared" si="28"/>
        <v>0</v>
      </c>
      <c r="S881" s="48"/>
    </row>
    <row r="882" s="1" customFormat="1" customHeight="1" spans="1:19">
      <c r="A882" s="14">
        <v>986</v>
      </c>
      <c r="B882" s="20">
        <v>46082</v>
      </c>
      <c r="C882" s="16"/>
      <c r="D882" s="17" t="s">
        <v>1922</v>
      </c>
      <c r="E882" s="18" t="s">
        <v>1923</v>
      </c>
      <c r="F882" s="26" t="s">
        <v>96</v>
      </c>
      <c r="G882" s="19" t="s">
        <v>1734</v>
      </c>
      <c r="H882" s="16" t="s">
        <v>1741</v>
      </c>
      <c r="I882" s="33">
        <v>0</v>
      </c>
      <c r="J882" s="35"/>
      <c r="K882" s="35"/>
      <c r="L882" s="34"/>
      <c r="M882" s="16"/>
      <c r="N882" s="34"/>
      <c r="O882" s="35"/>
      <c r="P882" s="34"/>
      <c r="Q882" s="46">
        <f t="shared" si="29"/>
        <v>0</v>
      </c>
      <c r="R882" s="47">
        <f t="shared" si="28"/>
        <v>0</v>
      </c>
      <c r="S882" s="48"/>
    </row>
    <row r="883" s="1" customFormat="1" customHeight="1" spans="1:19">
      <c r="A883" s="14">
        <v>987</v>
      </c>
      <c r="B883" s="20">
        <v>46082</v>
      </c>
      <c r="C883" s="16"/>
      <c r="D883" s="17" t="s">
        <v>1771</v>
      </c>
      <c r="E883" s="18" t="s">
        <v>819</v>
      </c>
      <c r="F883" s="26" t="s">
        <v>96</v>
      </c>
      <c r="G883" s="19" t="s">
        <v>1734</v>
      </c>
      <c r="H883" s="16" t="s">
        <v>1741</v>
      </c>
      <c r="I883" s="33">
        <v>753.92</v>
      </c>
      <c r="J883" s="35">
        <v>753.92</v>
      </c>
      <c r="K883" s="35"/>
      <c r="L883" s="34">
        <v>46101</v>
      </c>
      <c r="M883" s="16"/>
      <c r="N883" s="34"/>
      <c r="O883" s="35"/>
      <c r="P883" s="34"/>
      <c r="Q883" s="46">
        <f t="shared" si="29"/>
        <v>753.92</v>
      </c>
      <c r="R883" s="47">
        <f t="shared" si="28"/>
        <v>0</v>
      </c>
      <c r="S883" s="48"/>
    </row>
    <row r="884" s="1" customFormat="1" customHeight="1" spans="1:19">
      <c r="A884" s="14">
        <v>988</v>
      </c>
      <c r="B884" s="20">
        <v>46082</v>
      </c>
      <c r="C884" s="16"/>
      <c r="D884" s="17">
        <v>6008</v>
      </c>
      <c r="E884" s="18" t="s">
        <v>1871</v>
      </c>
      <c r="F884" s="26" t="s">
        <v>96</v>
      </c>
      <c r="G884" s="19" t="s">
        <v>1734</v>
      </c>
      <c r="H884" s="16" t="s">
        <v>1741</v>
      </c>
      <c r="I884" s="33">
        <v>0</v>
      </c>
      <c r="J884" s="35"/>
      <c r="K884" s="35"/>
      <c r="L884" s="34"/>
      <c r="M884" s="16"/>
      <c r="N884" s="34"/>
      <c r="O884" s="16"/>
      <c r="P884" s="34"/>
      <c r="Q884" s="46">
        <f t="shared" si="29"/>
        <v>0</v>
      </c>
      <c r="R884" s="47">
        <f t="shared" si="28"/>
        <v>0</v>
      </c>
      <c r="S884" s="48"/>
    </row>
    <row r="885" s="1" customFormat="1" customHeight="1" spans="1:19">
      <c r="A885" s="14">
        <v>991</v>
      </c>
      <c r="B885" s="20">
        <v>46082</v>
      </c>
      <c r="C885" s="16" t="s">
        <v>679</v>
      </c>
      <c r="D885" s="17">
        <v>5013</v>
      </c>
      <c r="E885" s="18" t="s">
        <v>760</v>
      </c>
      <c r="F885" s="26" t="s">
        <v>96</v>
      </c>
      <c r="G885" s="19" t="s">
        <v>1734</v>
      </c>
      <c r="H885" s="16" t="s">
        <v>1741</v>
      </c>
      <c r="I885" s="33">
        <v>614.08</v>
      </c>
      <c r="J885" s="35">
        <v>614.08</v>
      </c>
      <c r="K885" s="35"/>
      <c r="L885" s="34">
        <v>46098</v>
      </c>
      <c r="M885" s="16"/>
      <c r="N885" s="34"/>
      <c r="O885" s="35"/>
      <c r="P885" s="34"/>
      <c r="Q885" s="46">
        <f t="shared" si="29"/>
        <v>614.08</v>
      </c>
      <c r="R885" s="47">
        <f t="shared" si="28"/>
        <v>0</v>
      </c>
      <c r="S885" s="48"/>
    </row>
    <row r="886" s="1" customFormat="1" customHeight="1" spans="1:19">
      <c r="A886" s="14">
        <v>992</v>
      </c>
      <c r="B886" s="20">
        <v>46082</v>
      </c>
      <c r="C886" s="16"/>
      <c r="D886" s="17" t="s">
        <v>1859</v>
      </c>
      <c r="E886" s="18" t="s">
        <v>1260</v>
      </c>
      <c r="F886" s="26" t="s">
        <v>96</v>
      </c>
      <c r="G886" s="19" t="s">
        <v>1734</v>
      </c>
      <c r="H886" s="16" t="s">
        <v>1741</v>
      </c>
      <c r="I886" s="33">
        <v>6.08</v>
      </c>
      <c r="J886" s="35">
        <v>6.08</v>
      </c>
      <c r="K886" s="35">
        <v>0.72</v>
      </c>
      <c r="L886" s="34">
        <v>46094</v>
      </c>
      <c r="M886" s="16"/>
      <c r="N886" s="34"/>
      <c r="O886" s="35"/>
      <c r="P886" s="34"/>
      <c r="Q886" s="46">
        <f t="shared" si="29"/>
        <v>6.08</v>
      </c>
      <c r="R886" s="47">
        <f t="shared" si="28"/>
        <v>0</v>
      </c>
      <c r="S886" s="48"/>
    </row>
    <row r="887" s="1" customFormat="1" customHeight="1" spans="1:19">
      <c r="A887" s="14">
        <v>993</v>
      </c>
      <c r="B887" s="20">
        <v>46082</v>
      </c>
      <c r="C887" s="16"/>
      <c r="D887" s="17">
        <v>4001</v>
      </c>
      <c r="E887" s="18" t="s">
        <v>1952</v>
      </c>
      <c r="F887" s="26" t="s">
        <v>96</v>
      </c>
      <c r="G887" s="19" t="s">
        <v>1734</v>
      </c>
      <c r="H887" s="16" t="s">
        <v>1741</v>
      </c>
      <c r="I887" s="33">
        <v>468.16</v>
      </c>
      <c r="J887" s="35">
        <v>468.16</v>
      </c>
      <c r="K887" s="35"/>
      <c r="L887" s="34">
        <v>46094</v>
      </c>
      <c r="M887" s="16"/>
      <c r="N887" s="34"/>
      <c r="O887" s="35"/>
      <c r="P887" s="34"/>
      <c r="Q887" s="46">
        <f t="shared" si="29"/>
        <v>468.16</v>
      </c>
      <c r="R887" s="47">
        <f t="shared" si="28"/>
        <v>0</v>
      </c>
      <c r="S887" s="48"/>
    </row>
    <row r="888" s="1" customFormat="1" customHeight="1" spans="1:19">
      <c r="A888" s="14">
        <v>994</v>
      </c>
      <c r="B888" s="20">
        <v>46082</v>
      </c>
      <c r="C888" s="16"/>
      <c r="D888" s="17" t="s">
        <v>1897</v>
      </c>
      <c r="E888" s="18" t="s">
        <v>1740</v>
      </c>
      <c r="F888" s="26" t="s">
        <v>96</v>
      </c>
      <c r="G888" s="19" t="s">
        <v>1734</v>
      </c>
      <c r="H888" s="16" t="s">
        <v>1741</v>
      </c>
      <c r="I888" s="33">
        <v>12.96</v>
      </c>
      <c r="J888" s="35">
        <v>12.96</v>
      </c>
      <c r="K888" s="35"/>
      <c r="L888" s="34">
        <v>46088</v>
      </c>
      <c r="M888" s="16"/>
      <c r="N888" s="34"/>
      <c r="O888" s="35"/>
      <c r="P888" s="34"/>
      <c r="Q888" s="46">
        <f t="shared" si="29"/>
        <v>12.96</v>
      </c>
      <c r="R888" s="47">
        <f t="shared" si="28"/>
        <v>0</v>
      </c>
      <c r="S888" s="48"/>
    </row>
    <row r="889" s="1" customFormat="1" customHeight="1" spans="1:19">
      <c r="A889" s="14">
        <v>995</v>
      </c>
      <c r="B889" s="20">
        <v>46082</v>
      </c>
      <c r="C889" s="16"/>
      <c r="D889" s="334" t="s">
        <v>1898</v>
      </c>
      <c r="E889" s="18" t="s">
        <v>1899</v>
      </c>
      <c r="F889" s="26" t="s">
        <v>96</v>
      </c>
      <c r="G889" s="19" t="s">
        <v>1734</v>
      </c>
      <c r="H889" s="16" t="s">
        <v>1741</v>
      </c>
      <c r="I889" s="33">
        <v>12.96</v>
      </c>
      <c r="J889" s="35">
        <v>12.96</v>
      </c>
      <c r="K889" s="35"/>
      <c r="L889" s="34">
        <v>46088</v>
      </c>
      <c r="M889" s="16"/>
      <c r="N889" s="34"/>
      <c r="O889" s="16"/>
      <c r="P889" s="34"/>
      <c r="Q889" s="46">
        <f t="shared" si="29"/>
        <v>12.96</v>
      </c>
      <c r="R889" s="47">
        <f t="shared" si="28"/>
        <v>0</v>
      </c>
      <c r="S889" s="48"/>
    </row>
    <row r="890" s="1" customFormat="1" customHeight="1" spans="1:19">
      <c r="A890" s="14">
        <v>996</v>
      </c>
      <c r="B890" s="20">
        <v>46082</v>
      </c>
      <c r="C890" s="16"/>
      <c r="D890" s="334" t="s">
        <v>1900</v>
      </c>
      <c r="E890" s="18" t="s">
        <v>1828</v>
      </c>
      <c r="F890" s="26" t="s">
        <v>96</v>
      </c>
      <c r="G890" s="19" t="s">
        <v>1734</v>
      </c>
      <c r="H890" s="16" t="s">
        <v>1741</v>
      </c>
      <c r="I890" s="33">
        <v>12.96</v>
      </c>
      <c r="J890" s="35">
        <v>12.96</v>
      </c>
      <c r="K890" s="35"/>
      <c r="L890" s="34">
        <v>46088</v>
      </c>
      <c r="M890" s="16"/>
      <c r="N890" s="34"/>
      <c r="O890" s="16"/>
      <c r="P890" s="34"/>
      <c r="Q890" s="46">
        <f t="shared" si="29"/>
        <v>12.96</v>
      </c>
      <c r="R890" s="47">
        <f t="shared" si="28"/>
        <v>0</v>
      </c>
      <c r="S890" s="48"/>
    </row>
    <row r="891" s="1" customFormat="1" customHeight="1" spans="1:19">
      <c r="A891" s="14">
        <v>997</v>
      </c>
      <c r="B891" s="20">
        <v>46082</v>
      </c>
      <c r="C891" s="16"/>
      <c r="D891" s="334" t="s">
        <v>1761</v>
      </c>
      <c r="E891" s="18" t="s">
        <v>1762</v>
      </c>
      <c r="F891" s="26" t="s">
        <v>96</v>
      </c>
      <c r="G891" s="19" t="s">
        <v>1734</v>
      </c>
      <c r="H891" s="16" t="s">
        <v>1741</v>
      </c>
      <c r="I891" s="33">
        <v>12.96</v>
      </c>
      <c r="J891" s="35">
        <v>12.96</v>
      </c>
      <c r="K891" s="35"/>
      <c r="L891" s="34">
        <v>46088</v>
      </c>
      <c r="M891" s="16"/>
      <c r="N891" s="34"/>
      <c r="O891" s="16"/>
      <c r="P891" s="34"/>
      <c r="Q891" s="46">
        <f t="shared" si="29"/>
        <v>12.96</v>
      </c>
      <c r="R891" s="47">
        <f t="shared" si="28"/>
        <v>0</v>
      </c>
      <c r="S891" s="48"/>
    </row>
    <row r="892" s="1" customFormat="1" customHeight="1" spans="1:19">
      <c r="A892" s="14">
        <v>998</v>
      </c>
      <c r="B892" s="20">
        <v>46082</v>
      </c>
      <c r="C892" s="16"/>
      <c r="D892" s="334" t="s">
        <v>1901</v>
      </c>
      <c r="E892" s="18" t="s">
        <v>1902</v>
      </c>
      <c r="F892" s="26" t="s">
        <v>96</v>
      </c>
      <c r="G892" s="19" t="s">
        <v>1734</v>
      </c>
      <c r="H892" s="16" t="s">
        <v>1741</v>
      </c>
      <c r="I892" s="33">
        <v>12.96</v>
      </c>
      <c r="J892" s="35">
        <v>12.96</v>
      </c>
      <c r="K892" s="35"/>
      <c r="L892" s="34">
        <v>46088</v>
      </c>
      <c r="M892" s="16"/>
      <c r="N892" s="34"/>
      <c r="O892" s="35"/>
      <c r="P892" s="34"/>
      <c r="Q892" s="46">
        <f t="shared" si="29"/>
        <v>12.96</v>
      </c>
      <c r="R892" s="47">
        <f t="shared" si="28"/>
        <v>0</v>
      </c>
      <c r="S892" s="48"/>
    </row>
    <row r="893" s="1" customFormat="1" customHeight="1" spans="1:19">
      <c r="A893" s="14">
        <v>999</v>
      </c>
      <c r="B893" s="20">
        <v>46082</v>
      </c>
      <c r="C893" s="16"/>
      <c r="D893" s="334" t="s">
        <v>1821</v>
      </c>
      <c r="E893" s="18" t="s">
        <v>1822</v>
      </c>
      <c r="F893" s="26" t="s">
        <v>96</v>
      </c>
      <c r="G893" s="19" t="s">
        <v>1734</v>
      </c>
      <c r="H893" s="16" t="s">
        <v>1741</v>
      </c>
      <c r="I893" s="33">
        <v>12.96</v>
      </c>
      <c r="J893" s="35">
        <v>12.96</v>
      </c>
      <c r="K893" s="35"/>
      <c r="L893" s="34">
        <v>46088</v>
      </c>
      <c r="M893" s="16"/>
      <c r="N893" s="34"/>
      <c r="O893" s="35"/>
      <c r="P893" s="34"/>
      <c r="Q893" s="46">
        <f t="shared" si="29"/>
        <v>12.96</v>
      </c>
      <c r="R893" s="47">
        <f t="shared" si="28"/>
        <v>0</v>
      </c>
      <c r="S893" s="48"/>
    </row>
    <row r="894" s="1" customFormat="1" customHeight="1" spans="1:19">
      <c r="A894" s="14">
        <v>1000</v>
      </c>
      <c r="B894" s="20">
        <v>46082</v>
      </c>
      <c r="C894" s="16"/>
      <c r="D894" s="334" t="s">
        <v>1764</v>
      </c>
      <c r="E894" s="18" t="s">
        <v>1765</v>
      </c>
      <c r="F894" s="26" t="s">
        <v>96</v>
      </c>
      <c r="G894" s="19" t="s">
        <v>1734</v>
      </c>
      <c r="H894" s="16" t="s">
        <v>1741</v>
      </c>
      <c r="I894" s="33">
        <v>12.96</v>
      </c>
      <c r="J894" s="35">
        <v>12.96</v>
      </c>
      <c r="K894" s="35"/>
      <c r="L894" s="34">
        <v>46088</v>
      </c>
      <c r="M894" s="16"/>
      <c r="N894" s="34"/>
      <c r="O894" s="35"/>
      <c r="P894" s="34"/>
      <c r="Q894" s="46">
        <f t="shared" si="29"/>
        <v>12.96</v>
      </c>
      <c r="R894" s="47">
        <f t="shared" si="28"/>
        <v>0</v>
      </c>
      <c r="S894" s="48"/>
    </row>
    <row r="895" s="1" customFormat="1" customHeight="1" spans="1:19">
      <c r="A895" s="14">
        <v>1001</v>
      </c>
      <c r="B895" s="20">
        <v>46082</v>
      </c>
      <c r="C895" s="16"/>
      <c r="D895" s="334" t="s">
        <v>1842</v>
      </c>
      <c r="E895" s="18" t="s">
        <v>1843</v>
      </c>
      <c r="F895" s="26" t="s">
        <v>96</v>
      </c>
      <c r="G895" s="19" t="s">
        <v>1734</v>
      </c>
      <c r="H895" s="16" t="s">
        <v>1741</v>
      </c>
      <c r="I895" s="33">
        <v>12.96</v>
      </c>
      <c r="J895" s="35">
        <v>12.96</v>
      </c>
      <c r="K895" s="35"/>
      <c r="L895" s="34">
        <v>46088</v>
      </c>
      <c r="M895" s="16"/>
      <c r="N895" s="34"/>
      <c r="O895" s="35"/>
      <c r="P895" s="34"/>
      <c r="Q895" s="46">
        <f t="shared" si="29"/>
        <v>12.96</v>
      </c>
      <c r="R895" s="47">
        <f t="shared" si="28"/>
        <v>0</v>
      </c>
      <c r="S895" s="48"/>
    </row>
    <row r="896" s="1" customFormat="1" customHeight="1" spans="1:19">
      <c r="A896" s="14">
        <v>1002</v>
      </c>
      <c r="B896" s="20">
        <v>46082</v>
      </c>
      <c r="C896" s="16" t="s">
        <v>1737</v>
      </c>
      <c r="D896" s="17">
        <v>10</v>
      </c>
      <c r="E896" s="18" t="s">
        <v>1903</v>
      </c>
      <c r="F896" s="26" t="s">
        <v>96</v>
      </c>
      <c r="G896" s="19" t="s">
        <v>1734</v>
      </c>
      <c r="H896" s="16" t="s">
        <v>1741</v>
      </c>
      <c r="I896" s="33">
        <v>12.96</v>
      </c>
      <c r="J896" s="35">
        <v>12.96</v>
      </c>
      <c r="K896" s="35"/>
      <c r="L896" s="34">
        <v>46088</v>
      </c>
      <c r="M896" s="16"/>
      <c r="N896" s="34"/>
      <c r="O896" s="16"/>
      <c r="P896" s="34"/>
      <c r="Q896" s="46">
        <f t="shared" si="29"/>
        <v>12.96</v>
      </c>
      <c r="R896" s="47">
        <f t="shared" si="28"/>
        <v>0</v>
      </c>
      <c r="S896" s="48"/>
    </row>
    <row r="897" s="1" customFormat="1" customHeight="1" spans="1:19">
      <c r="A897" s="14">
        <v>1003</v>
      </c>
      <c r="B897" s="20">
        <v>46082</v>
      </c>
      <c r="C897" s="16"/>
      <c r="D897" s="17">
        <v>21</v>
      </c>
      <c r="E897" s="18" t="s">
        <v>1739</v>
      </c>
      <c r="F897" s="26" t="s">
        <v>96</v>
      </c>
      <c r="G897" s="19" t="s">
        <v>1734</v>
      </c>
      <c r="H897" s="16" t="s">
        <v>1741</v>
      </c>
      <c r="I897" s="33">
        <v>12.96</v>
      </c>
      <c r="J897" s="35">
        <v>12.96</v>
      </c>
      <c r="K897" s="35"/>
      <c r="L897" s="34">
        <v>46088</v>
      </c>
      <c r="M897" s="16"/>
      <c r="N897" s="34"/>
      <c r="O897" s="16"/>
      <c r="P897" s="34"/>
      <c r="Q897" s="46">
        <f t="shared" si="29"/>
        <v>12.96</v>
      </c>
      <c r="R897" s="47">
        <f t="shared" si="28"/>
        <v>0</v>
      </c>
      <c r="S897" s="48"/>
    </row>
    <row r="898" s="1" customFormat="1" customHeight="1" spans="1:19">
      <c r="A898" s="14">
        <v>1004</v>
      </c>
      <c r="B898" s="20">
        <v>46082</v>
      </c>
      <c r="C898" s="16"/>
      <c r="D898" s="17" t="s">
        <v>1904</v>
      </c>
      <c r="E898" s="18" t="s">
        <v>1774</v>
      </c>
      <c r="F898" s="26" t="s">
        <v>96</v>
      </c>
      <c r="G898" s="19" t="s">
        <v>1734</v>
      </c>
      <c r="H898" s="16" t="s">
        <v>1741</v>
      </c>
      <c r="I898" s="33">
        <v>12.96</v>
      </c>
      <c r="J898" s="35">
        <v>12.96</v>
      </c>
      <c r="K898" s="35"/>
      <c r="L898" s="34">
        <v>46090</v>
      </c>
      <c r="M898" s="16"/>
      <c r="N898" s="34"/>
      <c r="O898" s="16"/>
      <c r="P898" s="34"/>
      <c r="Q898" s="46">
        <f t="shared" si="29"/>
        <v>12.96</v>
      </c>
      <c r="R898" s="47">
        <f t="shared" si="28"/>
        <v>0</v>
      </c>
      <c r="S898" s="48"/>
    </row>
    <row r="899" s="1" customFormat="1" customHeight="1" spans="1:19">
      <c r="A899" s="14">
        <v>1005</v>
      </c>
      <c r="B899" s="20">
        <v>46082</v>
      </c>
      <c r="C899" s="16"/>
      <c r="D899" s="334" t="s">
        <v>1838</v>
      </c>
      <c r="E899" s="18" t="s">
        <v>1839</v>
      </c>
      <c r="F899" s="26" t="s">
        <v>96</v>
      </c>
      <c r="G899" s="19" t="s">
        <v>1734</v>
      </c>
      <c r="H899" s="16" t="s">
        <v>1741</v>
      </c>
      <c r="I899" s="33">
        <v>12.96</v>
      </c>
      <c r="J899" s="35">
        <v>12.96</v>
      </c>
      <c r="K899" s="35"/>
      <c r="L899" s="34">
        <v>46088</v>
      </c>
      <c r="M899" s="16"/>
      <c r="N899" s="34"/>
      <c r="O899" s="35"/>
      <c r="P899" s="34"/>
      <c r="Q899" s="46">
        <f t="shared" si="29"/>
        <v>12.96</v>
      </c>
      <c r="R899" s="47">
        <f t="shared" si="28"/>
        <v>0</v>
      </c>
      <c r="S899" s="48"/>
    </row>
    <row r="900" s="1" customFormat="1" customHeight="1" spans="1:19">
      <c r="A900" s="14">
        <v>1006</v>
      </c>
      <c r="B900" s="20">
        <v>46082</v>
      </c>
      <c r="C900" s="16"/>
      <c r="D900" s="17">
        <v>13</v>
      </c>
      <c r="E900" s="18" t="s">
        <v>1763</v>
      </c>
      <c r="F900" s="26" t="s">
        <v>96</v>
      </c>
      <c r="G900" s="19" t="s">
        <v>1734</v>
      </c>
      <c r="H900" s="16" t="s">
        <v>1741</v>
      </c>
      <c r="I900" s="33">
        <v>12.96</v>
      </c>
      <c r="J900" s="35">
        <v>12.96</v>
      </c>
      <c r="K900" s="35"/>
      <c r="L900" s="34">
        <v>46088</v>
      </c>
      <c r="M900" s="16"/>
      <c r="N900" s="34"/>
      <c r="O900" s="35"/>
      <c r="P900" s="34"/>
      <c r="Q900" s="46">
        <f t="shared" si="29"/>
        <v>12.96</v>
      </c>
      <c r="R900" s="47">
        <f t="shared" si="28"/>
        <v>0</v>
      </c>
      <c r="S900" s="48"/>
    </row>
    <row r="901" s="1" customFormat="1" customHeight="1" spans="1:19">
      <c r="A901" s="14">
        <v>1007</v>
      </c>
      <c r="B901" s="20">
        <v>46082</v>
      </c>
      <c r="C901" s="16"/>
      <c r="D901" s="17" t="s">
        <v>1834</v>
      </c>
      <c r="E901" s="18" t="s">
        <v>1835</v>
      </c>
      <c r="F901" s="26" t="s">
        <v>96</v>
      </c>
      <c r="G901" s="19" t="s">
        <v>1734</v>
      </c>
      <c r="H901" s="16" t="s">
        <v>1741</v>
      </c>
      <c r="I901" s="33">
        <v>12.96</v>
      </c>
      <c r="J901" s="35">
        <v>12.96</v>
      </c>
      <c r="K901" s="35"/>
      <c r="L901" s="34">
        <v>46088</v>
      </c>
      <c r="M901" s="16"/>
      <c r="N901" s="34"/>
      <c r="O901" s="35"/>
      <c r="P901" s="34"/>
      <c r="Q901" s="46">
        <f t="shared" si="29"/>
        <v>12.96</v>
      </c>
      <c r="R901" s="47">
        <f t="shared" si="28"/>
        <v>0</v>
      </c>
      <c r="S901" s="48"/>
    </row>
    <row r="902" s="1" customFormat="1" customHeight="1" spans="1:19">
      <c r="A902" s="14">
        <v>1008</v>
      </c>
      <c r="B902" s="20">
        <v>46082</v>
      </c>
      <c r="C902" s="16"/>
      <c r="D902" s="17" t="s">
        <v>1759</v>
      </c>
      <c r="E902" s="18" t="s">
        <v>1760</v>
      </c>
      <c r="F902" s="26" t="s">
        <v>96</v>
      </c>
      <c r="G902" s="19" t="s">
        <v>1734</v>
      </c>
      <c r="H902" s="16" t="s">
        <v>1741</v>
      </c>
      <c r="I902" s="33">
        <v>12.96</v>
      </c>
      <c r="J902" s="35">
        <v>12.96</v>
      </c>
      <c r="K902" s="35"/>
      <c r="L902" s="34">
        <v>46088</v>
      </c>
      <c r="M902" s="16"/>
      <c r="N902" s="34"/>
      <c r="O902" s="35"/>
      <c r="P902" s="34"/>
      <c r="Q902" s="46">
        <f t="shared" si="29"/>
        <v>12.96</v>
      </c>
      <c r="R902" s="47">
        <f t="shared" si="28"/>
        <v>0</v>
      </c>
      <c r="S902" s="48"/>
    </row>
    <row r="903" s="1" customFormat="1" customHeight="1" spans="1:19">
      <c r="A903" s="14">
        <v>1009</v>
      </c>
      <c r="B903" s="20">
        <v>46082</v>
      </c>
      <c r="C903" s="16"/>
      <c r="D903" s="17">
        <v>12</v>
      </c>
      <c r="E903" s="18" t="s">
        <v>1814</v>
      </c>
      <c r="F903" s="26" t="s">
        <v>96</v>
      </c>
      <c r="G903" s="19" t="s">
        <v>1734</v>
      </c>
      <c r="H903" s="16" t="s">
        <v>1741</v>
      </c>
      <c r="I903" s="33">
        <v>12.96</v>
      </c>
      <c r="J903" s="35">
        <v>12.96</v>
      </c>
      <c r="K903" s="35"/>
      <c r="L903" s="34">
        <v>46088</v>
      </c>
      <c r="M903" s="16"/>
      <c r="N903" s="34"/>
      <c r="O903" s="16"/>
      <c r="P903" s="34"/>
      <c r="Q903" s="46">
        <f t="shared" si="29"/>
        <v>12.96</v>
      </c>
      <c r="R903" s="47">
        <f t="shared" si="28"/>
        <v>0</v>
      </c>
      <c r="S903" s="48"/>
    </row>
    <row r="904" s="1" customFormat="1" customHeight="1" spans="1:19">
      <c r="A904" s="14">
        <v>1010</v>
      </c>
      <c r="B904" s="20">
        <v>46082</v>
      </c>
      <c r="C904" s="16" t="s">
        <v>1737</v>
      </c>
      <c r="D904" s="17">
        <v>11</v>
      </c>
      <c r="E904" s="18" t="s">
        <v>1829</v>
      </c>
      <c r="F904" s="26" t="s">
        <v>96</v>
      </c>
      <c r="G904" s="19" t="s">
        <v>1734</v>
      </c>
      <c r="H904" s="16" t="s">
        <v>1741</v>
      </c>
      <c r="I904" s="33">
        <v>12.96</v>
      </c>
      <c r="J904" s="35">
        <v>12.96</v>
      </c>
      <c r="K904" s="35"/>
      <c r="L904" s="34">
        <v>46088</v>
      </c>
      <c r="M904" s="16"/>
      <c r="N904" s="34"/>
      <c r="O904" s="16"/>
      <c r="P904" s="34"/>
      <c r="Q904" s="46">
        <f t="shared" si="29"/>
        <v>12.96</v>
      </c>
      <c r="R904" s="47">
        <f t="shared" si="28"/>
        <v>0</v>
      </c>
      <c r="S904" s="48"/>
    </row>
    <row r="905" s="1" customFormat="1" customHeight="1" spans="1:19">
      <c r="A905" s="14">
        <v>1011</v>
      </c>
      <c r="B905" s="20">
        <v>46082</v>
      </c>
      <c r="C905" s="16"/>
      <c r="D905" s="17" t="s">
        <v>1905</v>
      </c>
      <c r="E905" s="18" t="s">
        <v>1906</v>
      </c>
      <c r="F905" s="26" t="s">
        <v>96</v>
      </c>
      <c r="G905" s="19" t="s">
        <v>1734</v>
      </c>
      <c r="H905" s="16" t="s">
        <v>1741</v>
      </c>
      <c r="I905" s="33">
        <v>12.96</v>
      </c>
      <c r="J905" s="35">
        <v>12.96</v>
      </c>
      <c r="K905" s="35"/>
      <c r="L905" s="34">
        <v>46088</v>
      </c>
      <c r="M905" s="16"/>
      <c r="N905" s="34"/>
      <c r="O905" s="16"/>
      <c r="P905" s="34"/>
      <c r="Q905" s="46">
        <f t="shared" si="29"/>
        <v>12.96</v>
      </c>
      <c r="R905" s="47">
        <f t="shared" si="28"/>
        <v>0</v>
      </c>
      <c r="S905" s="48"/>
    </row>
    <row r="906" s="1" customFormat="1" customHeight="1" spans="1:19">
      <c r="A906" s="14">
        <v>1012</v>
      </c>
      <c r="B906" s="20">
        <v>46082</v>
      </c>
      <c r="C906" s="16"/>
      <c r="D906" s="334" t="s">
        <v>1907</v>
      </c>
      <c r="E906" s="18" t="s">
        <v>1815</v>
      </c>
      <c r="F906" s="26" t="s">
        <v>96</v>
      </c>
      <c r="G906" s="19" t="s">
        <v>1734</v>
      </c>
      <c r="H906" s="16" t="s">
        <v>1741</v>
      </c>
      <c r="I906" s="33">
        <v>12.96</v>
      </c>
      <c r="J906" s="35">
        <v>12.96</v>
      </c>
      <c r="K906" s="35"/>
      <c r="L906" s="34">
        <v>46088</v>
      </c>
      <c r="M906" s="16"/>
      <c r="N906" s="34"/>
      <c r="O906" s="35"/>
      <c r="P906" s="34"/>
      <c r="Q906" s="46">
        <f t="shared" si="29"/>
        <v>12.96</v>
      </c>
      <c r="R906" s="47">
        <f t="shared" si="28"/>
        <v>0</v>
      </c>
      <c r="S906" s="48"/>
    </row>
    <row r="907" s="1" customFormat="1" customHeight="1" spans="1:19">
      <c r="A907" s="14">
        <v>1013</v>
      </c>
      <c r="B907" s="20">
        <v>46082</v>
      </c>
      <c r="C907" s="16"/>
      <c r="D907" s="17">
        <v>20</v>
      </c>
      <c r="E907" s="18" t="s">
        <v>1766</v>
      </c>
      <c r="F907" s="26" t="s">
        <v>96</v>
      </c>
      <c r="G907" s="19" t="s">
        <v>1734</v>
      </c>
      <c r="H907" s="16" t="s">
        <v>1741</v>
      </c>
      <c r="I907" s="33">
        <v>12.96</v>
      </c>
      <c r="J907" s="35">
        <v>12.96</v>
      </c>
      <c r="K907" s="35"/>
      <c r="L907" s="34">
        <v>46090</v>
      </c>
      <c r="M907" s="16"/>
      <c r="N907" s="34"/>
      <c r="O907" s="35"/>
      <c r="P907" s="34"/>
      <c r="Q907" s="46">
        <f t="shared" si="29"/>
        <v>12.96</v>
      </c>
      <c r="R907" s="47">
        <f t="shared" si="28"/>
        <v>0</v>
      </c>
      <c r="S907" s="48"/>
    </row>
    <row r="908" s="1" customFormat="1" customHeight="1" spans="1:19">
      <c r="A908" s="14">
        <v>1014</v>
      </c>
      <c r="B908" s="20">
        <v>46082</v>
      </c>
      <c r="C908" s="16"/>
      <c r="D908" s="17">
        <v>14</v>
      </c>
      <c r="E908" s="18" t="s">
        <v>1908</v>
      </c>
      <c r="F908" s="26" t="s">
        <v>96</v>
      </c>
      <c r="G908" s="19" t="s">
        <v>1734</v>
      </c>
      <c r="H908" s="16" t="s">
        <v>1741</v>
      </c>
      <c r="I908" s="33">
        <v>12.96</v>
      </c>
      <c r="J908" s="35">
        <v>12.96</v>
      </c>
      <c r="K908" s="35"/>
      <c r="L908" s="34">
        <v>46088</v>
      </c>
      <c r="M908" s="16"/>
      <c r="N908" s="34"/>
      <c r="O908" s="35"/>
      <c r="P908" s="34"/>
      <c r="Q908" s="46">
        <f t="shared" si="29"/>
        <v>12.96</v>
      </c>
      <c r="R908" s="47">
        <f t="shared" si="28"/>
        <v>0</v>
      </c>
      <c r="S908" s="48"/>
    </row>
    <row r="909" s="1" customFormat="1" customHeight="1" spans="1:19">
      <c r="A909" s="14">
        <v>1015</v>
      </c>
      <c r="B909" s="20">
        <v>46082</v>
      </c>
      <c r="C909" s="16"/>
      <c r="D909" s="17" t="s">
        <v>1909</v>
      </c>
      <c r="E909" s="18" t="s">
        <v>1910</v>
      </c>
      <c r="F909" s="26" t="s">
        <v>96</v>
      </c>
      <c r="G909" s="19" t="s">
        <v>1734</v>
      </c>
      <c r="H909" s="16" t="s">
        <v>1741</v>
      </c>
      <c r="I909" s="33">
        <v>12.96</v>
      </c>
      <c r="J909" s="35">
        <v>12.96</v>
      </c>
      <c r="K909" s="35"/>
      <c r="L909" s="34">
        <v>46088</v>
      </c>
      <c r="M909" s="16"/>
      <c r="N909" s="34"/>
      <c r="O909" s="35"/>
      <c r="P909" s="34"/>
      <c r="Q909" s="46">
        <f t="shared" si="29"/>
        <v>12.96</v>
      </c>
      <c r="R909" s="47">
        <f t="shared" ref="R909:R972" si="30">I909-Q909</f>
        <v>0</v>
      </c>
      <c r="S909" s="48"/>
    </row>
    <row r="910" s="1" customFormat="1" customHeight="1" spans="1:19">
      <c r="A910" s="14">
        <v>1016</v>
      </c>
      <c r="B910" s="20">
        <v>46082</v>
      </c>
      <c r="C910" s="16"/>
      <c r="D910" s="17" t="s">
        <v>1944</v>
      </c>
      <c r="E910" s="18" t="s">
        <v>1945</v>
      </c>
      <c r="F910" s="26" t="s">
        <v>96</v>
      </c>
      <c r="G910" s="19" t="s">
        <v>1734</v>
      </c>
      <c r="H910" s="16" t="s">
        <v>1741</v>
      </c>
      <c r="I910" s="33">
        <v>12.8</v>
      </c>
      <c r="J910" s="35"/>
      <c r="K910" s="35"/>
      <c r="L910" s="34"/>
      <c r="M910" s="16"/>
      <c r="N910" s="34"/>
      <c r="O910" s="16"/>
      <c r="P910" s="34"/>
      <c r="Q910" s="46">
        <f t="shared" si="29"/>
        <v>0</v>
      </c>
      <c r="R910" s="47">
        <f t="shared" si="30"/>
        <v>12.8</v>
      </c>
      <c r="S910" s="48"/>
    </row>
    <row r="911" s="1" customFormat="1" customHeight="1" spans="1:19">
      <c r="A911" s="14">
        <v>1017</v>
      </c>
      <c r="B911" s="20">
        <v>46082</v>
      </c>
      <c r="C911" s="16"/>
      <c r="D911" s="17" t="s">
        <v>1925</v>
      </c>
      <c r="E911" s="18" t="s">
        <v>1926</v>
      </c>
      <c r="F911" s="26" t="s">
        <v>96</v>
      </c>
      <c r="G911" s="19" t="s">
        <v>1734</v>
      </c>
      <c r="H911" s="16" t="s">
        <v>1741</v>
      </c>
      <c r="I911" s="33">
        <v>431.68</v>
      </c>
      <c r="J911" s="35">
        <v>431.68</v>
      </c>
      <c r="K911" s="35"/>
      <c r="L911" s="34">
        <v>46091</v>
      </c>
      <c r="M911" s="16"/>
      <c r="N911" s="34"/>
      <c r="O911" s="16"/>
      <c r="P911" s="34"/>
      <c r="Q911" s="46">
        <f t="shared" si="29"/>
        <v>431.68</v>
      </c>
      <c r="R911" s="47">
        <f t="shared" si="30"/>
        <v>0</v>
      </c>
      <c r="S911" s="48"/>
    </row>
    <row r="912" s="1" customFormat="1" customHeight="1" spans="1:19">
      <c r="A912" s="14">
        <v>1018</v>
      </c>
      <c r="B912" s="20">
        <v>46082</v>
      </c>
      <c r="C912" s="16" t="s">
        <v>16</v>
      </c>
      <c r="D912" s="17">
        <v>1008</v>
      </c>
      <c r="E912" s="18" t="s">
        <v>114</v>
      </c>
      <c r="F912" s="26" t="s">
        <v>96</v>
      </c>
      <c r="G912" s="19" t="s">
        <v>1734</v>
      </c>
      <c r="H912" s="16" t="s">
        <v>1735</v>
      </c>
      <c r="I912" s="33">
        <v>17537.03</v>
      </c>
      <c r="J912" s="35">
        <v>17537.03</v>
      </c>
      <c r="K912" s="35"/>
      <c r="L912" s="34">
        <v>46097</v>
      </c>
      <c r="M912" s="16"/>
      <c r="N912" s="34"/>
      <c r="O912" s="16"/>
      <c r="P912" s="34"/>
      <c r="Q912" s="46">
        <f t="shared" si="29"/>
        <v>17537.03</v>
      </c>
      <c r="R912" s="47">
        <f t="shared" si="30"/>
        <v>0</v>
      </c>
      <c r="S912" s="48"/>
    </row>
    <row r="913" s="1" customFormat="1" customHeight="1" spans="1:19">
      <c r="A913" s="14">
        <v>1019</v>
      </c>
      <c r="B913" s="20">
        <v>46082</v>
      </c>
      <c r="C913" s="16"/>
      <c r="D913" s="17" t="s">
        <v>1767</v>
      </c>
      <c r="E913" s="18" t="s">
        <v>1768</v>
      </c>
      <c r="F913" s="26" t="s">
        <v>96</v>
      </c>
      <c r="G913" s="19" t="s">
        <v>1734</v>
      </c>
      <c r="H913" s="16" t="s">
        <v>1735</v>
      </c>
      <c r="I913" s="33">
        <v>17994.79</v>
      </c>
      <c r="J913" s="35">
        <v>17994.79</v>
      </c>
      <c r="K913" s="35"/>
      <c r="L913" s="34">
        <v>46097</v>
      </c>
      <c r="M913" s="16"/>
      <c r="N913" s="34"/>
      <c r="O913" s="35"/>
      <c r="P913" s="34"/>
      <c r="Q913" s="46">
        <f t="shared" si="29"/>
        <v>17994.79</v>
      </c>
      <c r="R913" s="47">
        <f t="shared" si="30"/>
        <v>0</v>
      </c>
      <c r="S913" s="48"/>
    </row>
    <row r="914" s="1" customFormat="1" customHeight="1" spans="1:19">
      <c r="A914" s="14">
        <v>1020</v>
      </c>
      <c r="B914" s="20">
        <v>46082</v>
      </c>
      <c r="C914" s="16"/>
      <c r="D914" s="17">
        <v>5016</v>
      </c>
      <c r="E914" s="18" t="s">
        <v>765</v>
      </c>
      <c r="F914" s="26" t="s">
        <v>96</v>
      </c>
      <c r="G914" s="19" t="s">
        <v>1734</v>
      </c>
      <c r="H914" s="16" t="s">
        <v>1735</v>
      </c>
      <c r="I914" s="33">
        <v>1058.86</v>
      </c>
      <c r="J914" s="35">
        <v>1058.86</v>
      </c>
      <c r="K914" s="35"/>
      <c r="L914" s="34">
        <v>46113</v>
      </c>
      <c r="M914" s="16"/>
      <c r="N914" s="34"/>
      <c r="O914" s="35"/>
      <c r="P914" s="34"/>
      <c r="Q914" s="46">
        <f t="shared" si="29"/>
        <v>1058.86</v>
      </c>
      <c r="R914" s="47">
        <f t="shared" si="30"/>
        <v>0</v>
      </c>
      <c r="S914" s="48"/>
    </row>
    <row r="915" s="1" customFormat="1" customHeight="1" spans="1:19">
      <c r="A915" s="14">
        <v>1021</v>
      </c>
      <c r="B915" s="20">
        <v>46082</v>
      </c>
      <c r="C915" s="16"/>
      <c r="D915" s="17">
        <v>5016</v>
      </c>
      <c r="E915" s="18" t="s">
        <v>765</v>
      </c>
      <c r="F915" s="26" t="s">
        <v>96</v>
      </c>
      <c r="G915" s="19" t="s">
        <v>1734</v>
      </c>
      <c r="H915" s="16" t="s">
        <v>1735</v>
      </c>
      <c r="I915" s="33">
        <v>12053.02</v>
      </c>
      <c r="J915" s="35">
        <v>12053.02</v>
      </c>
      <c r="K915" s="35"/>
      <c r="L915" s="34">
        <v>46113</v>
      </c>
      <c r="M915" s="16"/>
      <c r="N915" s="34"/>
      <c r="O915" s="35"/>
      <c r="P915" s="34"/>
      <c r="Q915" s="46">
        <f t="shared" si="29"/>
        <v>12053.02</v>
      </c>
      <c r="R915" s="47">
        <f t="shared" si="30"/>
        <v>0</v>
      </c>
      <c r="S915" s="48"/>
    </row>
    <row r="916" s="1" customFormat="1" customHeight="1" spans="1:19">
      <c r="A916" s="14">
        <v>1022</v>
      </c>
      <c r="B916" s="20">
        <v>46082</v>
      </c>
      <c r="C916" s="16"/>
      <c r="D916" s="17" t="s">
        <v>1925</v>
      </c>
      <c r="E916" s="18" t="s">
        <v>1926</v>
      </c>
      <c r="F916" s="26" t="s">
        <v>96</v>
      </c>
      <c r="G916" s="19" t="s">
        <v>1734</v>
      </c>
      <c r="H916" s="16" t="s">
        <v>1735</v>
      </c>
      <c r="I916" s="33">
        <v>6630.11</v>
      </c>
      <c r="J916" s="35">
        <v>6630.11</v>
      </c>
      <c r="K916" s="35"/>
      <c r="L916" s="34">
        <v>46091</v>
      </c>
      <c r="M916" s="16"/>
      <c r="N916" s="34"/>
      <c r="O916" s="35"/>
      <c r="P916" s="34"/>
      <c r="Q916" s="46">
        <f t="shared" si="29"/>
        <v>6630.11</v>
      </c>
      <c r="R916" s="47">
        <f t="shared" si="30"/>
        <v>0</v>
      </c>
      <c r="S916" s="48"/>
    </row>
    <row r="917" s="1" customFormat="1" customHeight="1" spans="1:19">
      <c r="A917" s="14">
        <v>1023</v>
      </c>
      <c r="B917" s="20">
        <v>46082</v>
      </c>
      <c r="C917" s="16"/>
      <c r="D917" s="17" t="s">
        <v>1925</v>
      </c>
      <c r="E917" s="18" t="s">
        <v>1926</v>
      </c>
      <c r="F917" s="26" t="s">
        <v>96</v>
      </c>
      <c r="G917" s="19" t="s">
        <v>1734</v>
      </c>
      <c r="H917" s="16" t="s">
        <v>1735</v>
      </c>
      <c r="I917" s="33">
        <v>6964.08</v>
      </c>
      <c r="J917" s="35">
        <v>6964.08</v>
      </c>
      <c r="K917" s="35"/>
      <c r="L917" s="34">
        <v>46091</v>
      </c>
      <c r="M917" s="16"/>
      <c r="N917" s="34"/>
      <c r="O917" s="16"/>
      <c r="P917" s="34"/>
      <c r="Q917" s="46">
        <f t="shared" ref="Q917:Q980" si="31">J917+M917+O917</f>
        <v>6964.08</v>
      </c>
      <c r="R917" s="47">
        <f t="shared" si="30"/>
        <v>0</v>
      </c>
      <c r="S917" s="48"/>
    </row>
    <row r="918" s="1" customFormat="1" customHeight="1" spans="1:19">
      <c r="A918" s="14">
        <v>1024</v>
      </c>
      <c r="B918" s="20">
        <v>46082</v>
      </c>
      <c r="C918" s="16"/>
      <c r="D918" s="17" t="s">
        <v>1925</v>
      </c>
      <c r="E918" s="18" t="s">
        <v>1926</v>
      </c>
      <c r="F918" s="26" t="s">
        <v>96</v>
      </c>
      <c r="G918" s="19" t="s">
        <v>1734</v>
      </c>
      <c r="H918" s="16" t="s">
        <v>1735</v>
      </c>
      <c r="I918" s="33">
        <v>4369.56</v>
      </c>
      <c r="J918" s="35">
        <v>4369.56</v>
      </c>
      <c r="K918" s="35"/>
      <c r="L918" s="34">
        <v>46091</v>
      </c>
      <c r="M918" s="16"/>
      <c r="N918" s="34"/>
      <c r="O918" s="16"/>
      <c r="P918" s="34"/>
      <c r="Q918" s="46">
        <f t="shared" si="31"/>
        <v>4369.56</v>
      </c>
      <c r="R918" s="47">
        <f t="shared" si="30"/>
        <v>0</v>
      </c>
      <c r="S918" s="48"/>
    </row>
    <row r="919" s="1" customFormat="1" customHeight="1" spans="1:19">
      <c r="A919" s="14">
        <v>1025</v>
      </c>
      <c r="B919" s="20">
        <v>46082</v>
      </c>
      <c r="C919" s="16"/>
      <c r="D919" s="17" t="s">
        <v>1925</v>
      </c>
      <c r="E919" s="18" t="s">
        <v>1926</v>
      </c>
      <c r="F919" s="26" t="s">
        <v>96</v>
      </c>
      <c r="G919" s="19" t="s">
        <v>1734</v>
      </c>
      <c r="H919" s="16" t="s">
        <v>1735</v>
      </c>
      <c r="I919" s="33">
        <v>4.66</v>
      </c>
      <c r="J919" s="35">
        <v>4.66</v>
      </c>
      <c r="K919" s="35"/>
      <c r="L919" s="34">
        <v>46091</v>
      </c>
      <c r="M919" s="16"/>
      <c r="N919" s="34"/>
      <c r="O919" s="16"/>
      <c r="P919" s="34"/>
      <c r="Q919" s="46">
        <f t="shared" si="31"/>
        <v>4.66</v>
      </c>
      <c r="R919" s="47">
        <f t="shared" si="30"/>
        <v>0</v>
      </c>
      <c r="S919" s="48"/>
    </row>
    <row r="920" s="1" customFormat="1" customHeight="1" spans="1:19">
      <c r="A920" s="14">
        <v>1026</v>
      </c>
      <c r="B920" s="20">
        <v>46082</v>
      </c>
      <c r="C920" s="16"/>
      <c r="D920" s="17" t="s">
        <v>1925</v>
      </c>
      <c r="E920" s="18" t="s">
        <v>1926</v>
      </c>
      <c r="F920" s="26" t="s">
        <v>96</v>
      </c>
      <c r="G920" s="19" t="s">
        <v>1734</v>
      </c>
      <c r="H920" s="16" t="s">
        <v>1735</v>
      </c>
      <c r="I920" s="33">
        <v>0.4</v>
      </c>
      <c r="J920" s="35">
        <v>0.4</v>
      </c>
      <c r="K920" s="35"/>
      <c r="L920" s="34">
        <v>46091</v>
      </c>
      <c r="M920" s="16"/>
      <c r="N920" s="34"/>
      <c r="O920" s="35"/>
      <c r="P920" s="34"/>
      <c r="Q920" s="46">
        <f t="shared" si="31"/>
        <v>0.4</v>
      </c>
      <c r="R920" s="47">
        <f t="shared" si="30"/>
        <v>0</v>
      </c>
      <c r="S920" s="48"/>
    </row>
    <row r="921" s="1" customFormat="1" customHeight="1" spans="1:19">
      <c r="A921" s="14">
        <v>1027</v>
      </c>
      <c r="B921" s="20">
        <v>46082</v>
      </c>
      <c r="C921" s="16"/>
      <c r="D921" s="17" t="s">
        <v>1925</v>
      </c>
      <c r="E921" s="18" t="s">
        <v>1926</v>
      </c>
      <c r="F921" s="26" t="s">
        <v>96</v>
      </c>
      <c r="G921" s="19" t="s">
        <v>1734</v>
      </c>
      <c r="H921" s="16" t="s">
        <v>1735</v>
      </c>
      <c r="I921" s="33">
        <v>11514.04</v>
      </c>
      <c r="J921" s="35">
        <v>11514.04</v>
      </c>
      <c r="K921" s="35"/>
      <c r="L921" s="34">
        <v>46091</v>
      </c>
      <c r="M921" s="16"/>
      <c r="N921" s="34"/>
      <c r="O921" s="35"/>
      <c r="P921" s="34"/>
      <c r="Q921" s="46">
        <f t="shared" si="31"/>
        <v>11514.04</v>
      </c>
      <c r="R921" s="47">
        <f t="shared" si="30"/>
        <v>0</v>
      </c>
      <c r="S921" s="48"/>
    </row>
    <row r="922" s="1" customFormat="1" customHeight="1" spans="1:19">
      <c r="A922" s="14">
        <v>1028</v>
      </c>
      <c r="B922" s="20">
        <v>46082</v>
      </c>
      <c r="C922" s="16"/>
      <c r="D922" s="17" t="s">
        <v>1925</v>
      </c>
      <c r="E922" s="18" t="s">
        <v>1926</v>
      </c>
      <c r="F922" s="26" t="s">
        <v>96</v>
      </c>
      <c r="G922" s="19" t="s">
        <v>1734</v>
      </c>
      <c r="H922" s="16" t="s">
        <v>1735</v>
      </c>
      <c r="I922" s="33">
        <v>36.23</v>
      </c>
      <c r="J922" s="35">
        <v>36.23</v>
      </c>
      <c r="K922" s="35"/>
      <c r="L922" s="34">
        <v>46091</v>
      </c>
      <c r="M922" s="16"/>
      <c r="N922" s="34"/>
      <c r="O922" s="35"/>
      <c r="P922" s="34"/>
      <c r="Q922" s="46">
        <f t="shared" si="31"/>
        <v>36.23</v>
      </c>
      <c r="R922" s="47">
        <f t="shared" si="30"/>
        <v>0</v>
      </c>
      <c r="S922" s="48"/>
    </row>
    <row r="923" s="1" customFormat="1" customHeight="1" spans="1:19">
      <c r="A923" s="14">
        <v>1032</v>
      </c>
      <c r="B923" s="20">
        <v>46082</v>
      </c>
      <c r="C923" s="16"/>
      <c r="D923" s="17" t="s">
        <v>1689</v>
      </c>
      <c r="E923" s="18" t="s">
        <v>1940</v>
      </c>
      <c r="F923" s="26" t="s">
        <v>96</v>
      </c>
      <c r="G923" s="19" t="s">
        <v>1734</v>
      </c>
      <c r="H923" s="16" t="s">
        <v>1735</v>
      </c>
      <c r="I923" s="33">
        <v>509.22</v>
      </c>
      <c r="J923" s="35">
        <v>509.22</v>
      </c>
      <c r="K923" s="35"/>
      <c r="L923" s="34">
        <v>46208</v>
      </c>
      <c r="M923" s="16"/>
      <c r="N923" s="34"/>
      <c r="O923" s="35"/>
      <c r="P923" s="34"/>
      <c r="Q923" s="46">
        <f t="shared" si="31"/>
        <v>509.22</v>
      </c>
      <c r="R923" s="47">
        <f t="shared" si="30"/>
        <v>0</v>
      </c>
      <c r="S923" s="48"/>
    </row>
    <row r="924" s="1" customFormat="1" customHeight="1" spans="1:19">
      <c r="A924" s="14">
        <v>1033</v>
      </c>
      <c r="B924" s="20">
        <v>46082</v>
      </c>
      <c r="C924" s="16"/>
      <c r="D924" s="17" t="s">
        <v>1772</v>
      </c>
      <c r="E924" s="18" t="s">
        <v>1927</v>
      </c>
      <c r="F924" s="26" t="s">
        <v>96</v>
      </c>
      <c r="G924" s="19" t="s">
        <v>1734</v>
      </c>
      <c r="H924" s="16" t="s">
        <v>1735</v>
      </c>
      <c r="I924" s="33">
        <v>297.9</v>
      </c>
      <c r="J924" s="35">
        <v>297.9</v>
      </c>
      <c r="K924" s="35">
        <f>0.8-0.2</f>
        <v>0.6</v>
      </c>
      <c r="L924" s="34">
        <v>46101</v>
      </c>
      <c r="M924" s="16"/>
      <c r="N924" s="34"/>
      <c r="O924" s="35"/>
      <c r="P924" s="34"/>
      <c r="Q924" s="46">
        <f t="shared" si="31"/>
        <v>297.9</v>
      </c>
      <c r="R924" s="47">
        <f t="shared" si="30"/>
        <v>0</v>
      </c>
      <c r="S924" s="48"/>
    </row>
    <row r="925" s="1" customFormat="1" customHeight="1" spans="1:19">
      <c r="A925" s="14">
        <v>1034</v>
      </c>
      <c r="B925" s="20">
        <v>46082</v>
      </c>
      <c r="C925" s="16"/>
      <c r="D925" s="17" t="s">
        <v>1758</v>
      </c>
      <c r="E925" s="18" t="s">
        <v>1953</v>
      </c>
      <c r="F925" s="26" t="s">
        <v>96</v>
      </c>
      <c r="G925" s="19" t="s">
        <v>1734</v>
      </c>
      <c r="H925" s="16" t="s">
        <v>1735</v>
      </c>
      <c r="I925" s="33">
        <v>63.91</v>
      </c>
      <c r="J925" s="35">
        <v>63.91</v>
      </c>
      <c r="K925" s="35"/>
      <c r="L925" s="34">
        <v>46104</v>
      </c>
      <c r="M925" s="16"/>
      <c r="N925" s="34"/>
      <c r="O925" s="35"/>
      <c r="P925" s="34"/>
      <c r="Q925" s="46">
        <f t="shared" si="31"/>
        <v>63.91</v>
      </c>
      <c r="R925" s="47">
        <f t="shared" si="30"/>
        <v>0</v>
      </c>
      <c r="S925" s="48"/>
    </row>
    <row r="926" s="1" customFormat="1" customHeight="1" spans="1:19">
      <c r="A926" s="14">
        <v>1035</v>
      </c>
      <c r="B926" s="20">
        <v>46082</v>
      </c>
      <c r="C926" s="16" t="s">
        <v>1743</v>
      </c>
      <c r="D926" s="17" t="s">
        <v>1831</v>
      </c>
      <c r="E926" s="18" t="s">
        <v>1832</v>
      </c>
      <c r="F926" s="26" t="s">
        <v>96</v>
      </c>
      <c r="G926" s="19" t="s">
        <v>1734</v>
      </c>
      <c r="H926" s="16" t="s">
        <v>1735</v>
      </c>
      <c r="I926" s="33">
        <v>158.74</v>
      </c>
      <c r="J926" s="35">
        <v>158.74</v>
      </c>
      <c r="K926" s="35"/>
      <c r="L926" s="34">
        <v>46092</v>
      </c>
      <c r="M926" s="16"/>
      <c r="N926" s="34"/>
      <c r="O926" s="35"/>
      <c r="P926" s="34"/>
      <c r="Q926" s="46">
        <f t="shared" si="31"/>
        <v>158.74</v>
      </c>
      <c r="R926" s="47">
        <f t="shared" si="30"/>
        <v>0</v>
      </c>
      <c r="S926" s="48" t="s">
        <v>1203</v>
      </c>
    </row>
    <row r="927" s="1" customFormat="1" customHeight="1" spans="1:19">
      <c r="A927" s="14">
        <v>1036</v>
      </c>
      <c r="B927" s="20">
        <v>46082</v>
      </c>
      <c r="C927" s="16"/>
      <c r="D927" s="17" t="s">
        <v>1797</v>
      </c>
      <c r="E927" s="18" t="s">
        <v>1798</v>
      </c>
      <c r="F927" s="26" t="s">
        <v>96</v>
      </c>
      <c r="G927" s="19" t="s">
        <v>1734</v>
      </c>
      <c r="H927" s="16" t="s">
        <v>1735</v>
      </c>
      <c r="I927" s="33">
        <v>94.83</v>
      </c>
      <c r="J927" s="35"/>
      <c r="K927" s="35"/>
      <c r="L927" s="34"/>
      <c r="M927" s="16"/>
      <c r="N927" s="34"/>
      <c r="O927" s="16">
        <v>94.83</v>
      </c>
      <c r="P927" s="34"/>
      <c r="Q927" s="46">
        <f t="shared" si="31"/>
        <v>94.83</v>
      </c>
      <c r="R927" s="47">
        <f t="shared" si="30"/>
        <v>0</v>
      </c>
      <c r="S927" s="48" t="s">
        <v>1799</v>
      </c>
    </row>
    <row r="928" s="1" customFormat="1" customHeight="1" spans="1:19">
      <c r="A928" s="14">
        <v>1038</v>
      </c>
      <c r="B928" s="20">
        <v>46082</v>
      </c>
      <c r="C928" s="16"/>
      <c r="D928" s="17" t="s">
        <v>935</v>
      </c>
      <c r="E928" s="18" t="s">
        <v>936</v>
      </c>
      <c r="F928" s="26" t="s">
        <v>96</v>
      </c>
      <c r="G928" s="19" t="s">
        <v>1734</v>
      </c>
      <c r="H928" s="16" t="s">
        <v>1735</v>
      </c>
      <c r="I928" s="33">
        <v>1355.5</v>
      </c>
      <c r="J928" s="35">
        <v>1355.5</v>
      </c>
      <c r="K928" s="35"/>
      <c r="L928" s="34">
        <v>46090</v>
      </c>
      <c r="M928" s="16"/>
      <c r="N928" s="34"/>
      <c r="O928" s="16"/>
      <c r="P928" s="34"/>
      <c r="Q928" s="46">
        <f t="shared" si="31"/>
        <v>1355.5</v>
      </c>
      <c r="R928" s="47">
        <f t="shared" si="30"/>
        <v>0</v>
      </c>
      <c r="S928" s="48"/>
    </row>
    <row r="929" s="1" customFormat="1" customHeight="1" spans="1:19">
      <c r="A929" s="14">
        <v>1039</v>
      </c>
      <c r="B929" s="20">
        <v>46082</v>
      </c>
      <c r="C929" s="16"/>
      <c r="D929" s="17" t="s">
        <v>943</v>
      </c>
      <c r="E929" s="18" t="s">
        <v>1836</v>
      </c>
      <c r="F929" s="26" t="s">
        <v>96</v>
      </c>
      <c r="G929" s="19" t="s">
        <v>1734</v>
      </c>
      <c r="H929" s="16" t="s">
        <v>1735</v>
      </c>
      <c r="I929" s="33">
        <v>1178.21</v>
      </c>
      <c r="J929" s="35">
        <v>1178.21</v>
      </c>
      <c r="K929" s="35"/>
      <c r="L929" s="34">
        <v>46105</v>
      </c>
      <c r="M929" s="16"/>
      <c r="N929" s="34"/>
      <c r="O929" s="35"/>
      <c r="P929" s="34"/>
      <c r="Q929" s="46">
        <f t="shared" si="31"/>
        <v>1178.21</v>
      </c>
      <c r="R929" s="47">
        <f t="shared" si="30"/>
        <v>0</v>
      </c>
      <c r="S929" s="48"/>
    </row>
    <row r="930" s="1" customFormat="1" customHeight="1" spans="1:19">
      <c r="A930" s="14">
        <v>1040</v>
      </c>
      <c r="B930" s="20">
        <v>46082</v>
      </c>
      <c r="C930" s="16"/>
      <c r="D930" s="17" t="s">
        <v>1861</v>
      </c>
      <c r="E930" s="18" t="s">
        <v>933</v>
      </c>
      <c r="F930" s="26" t="s">
        <v>96</v>
      </c>
      <c r="G930" s="19" t="s">
        <v>1734</v>
      </c>
      <c r="H930" s="16" t="s">
        <v>1735</v>
      </c>
      <c r="I930" s="33">
        <v>218.53</v>
      </c>
      <c r="J930" s="35">
        <v>218.53</v>
      </c>
      <c r="K930" s="35"/>
      <c r="L930" s="34">
        <v>46108</v>
      </c>
      <c r="M930" s="16"/>
      <c r="N930" s="34"/>
      <c r="O930" s="35"/>
      <c r="P930" s="34"/>
      <c r="Q930" s="46">
        <f t="shared" si="31"/>
        <v>218.53</v>
      </c>
      <c r="R930" s="47">
        <f t="shared" si="30"/>
        <v>0</v>
      </c>
      <c r="S930" s="48"/>
    </row>
    <row r="931" s="1" customFormat="1" customHeight="1" spans="1:19">
      <c r="A931" s="14">
        <v>1041</v>
      </c>
      <c r="B931" s="20">
        <v>46082</v>
      </c>
      <c r="C931" s="16"/>
      <c r="D931" s="17" t="s">
        <v>976</v>
      </c>
      <c r="E931" s="18" t="s">
        <v>978</v>
      </c>
      <c r="F931" s="26" t="s">
        <v>96</v>
      </c>
      <c r="G931" s="19" t="s">
        <v>1734</v>
      </c>
      <c r="H931" s="16" t="s">
        <v>1735</v>
      </c>
      <c r="I931" s="33">
        <v>22.68</v>
      </c>
      <c r="J931" s="35">
        <v>22.68</v>
      </c>
      <c r="K931" s="35"/>
      <c r="L931" s="34">
        <v>46090</v>
      </c>
      <c r="M931" s="16"/>
      <c r="N931" s="34"/>
      <c r="O931" s="35"/>
      <c r="P931" s="34"/>
      <c r="Q931" s="46">
        <f t="shared" si="31"/>
        <v>22.68</v>
      </c>
      <c r="R931" s="47">
        <f t="shared" si="30"/>
        <v>0</v>
      </c>
      <c r="S931" s="48"/>
    </row>
    <row r="932" s="1" customFormat="1" customHeight="1" spans="1:19">
      <c r="A932" s="14">
        <v>1042</v>
      </c>
      <c r="B932" s="20">
        <v>46082</v>
      </c>
      <c r="C932" s="16" t="s">
        <v>1044</v>
      </c>
      <c r="D932" s="17" t="s">
        <v>1803</v>
      </c>
      <c r="E932" s="18" t="s">
        <v>982</v>
      </c>
      <c r="F932" s="26" t="s">
        <v>96</v>
      </c>
      <c r="G932" s="19" t="s">
        <v>1734</v>
      </c>
      <c r="H932" s="16" t="s">
        <v>1735</v>
      </c>
      <c r="I932" s="33">
        <v>106.17</v>
      </c>
      <c r="J932" s="35">
        <v>106.17</v>
      </c>
      <c r="K932" s="35"/>
      <c r="L932" s="34">
        <v>46090</v>
      </c>
      <c r="M932" s="16"/>
      <c r="N932" s="34"/>
      <c r="O932" s="35"/>
      <c r="P932" s="34"/>
      <c r="Q932" s="46">
        <f t="shared" si="31"/>
        <v>106.17</v>
      </c>
      <c r="R932" s="47">
        <f t="shared" si="30"/>
        <v>0</v>
      </c>
      <c r="S932" s="48"/>
    </row>
    <row r="933" s="1" customFormat="1" customHeight="1" spans="1:19">
      <c r="A933" s="14">
        <v>1043</v>
      </c>
      <c r="B933" s="20">
        <v>46082</v>
      </c>
      <c r="C933" s="16"/>
      <c r="D933" s="17" t="s">
        <v>1805</v>
      </c>
      <c r="E933" s="18" t="s">
        <v>985</v>
      </c>
      <c r="F933" s="26" t="s">
        <v>96</v>
      </c>
      <c r="G933" s="19" t="s">
        <v>1734</v>
      </c>
      <c r="H933" s="16" t="s">
        <v>1735</v>
      </c>
      <c r="I933" s="33">
        <v>115.45</v>
      </c>
      <c r="J933" s="35">
        <v>115.45</v>
      </c>
      <c r="K933" s="35">
        <v>115.45</v>
      </c>
      <c r="L933" s="34">
        <v>46111</v>
      </c>
      <c r="M933" s="16"/>
      <c r="N933" s="34"/>
      <c r="O933" s="16"/>
      <c r="P933" s="34"/>
      <c r="Q933" s="46">
        <f t="shared" si="31"/>
        <v>115.45</v>
      </c>
      <c r="R933" s="47">
        <f t="shared" si="30"/>
        <v>0</v>
      </c>
      <c r="S933" s="48"/>
    </row>
    <row r="934" s="1" customFormat="1" customHeight="1" spans="1:19">
      <c r="A934" s="14">
        <v>1044</v>
      </c>
      <c r="B934" s="20">
        <v>46082</v>
      </c>
      <c r="C934" s="16"/>
      <c r="D934" s="17" t="s">
        <v>1816</v>
      </c>
      <c r="E934" s="18" t="s">
        <v>978</v>
      </c>
      <c r="F934" s="26" t="s">
        <v>96</v>
      </c>
      <c r="G934" s="19" t="s">
        <v>1734</v>
      </c>
      <c r="H934" s="16" t="s">
        <v>1735</v>
      </c>
      <c r="I934" s="33">
        <v>71.13</v>
      </c>
      <c r="J934" s="35">
        <v>71.13</v>
      </c>
      <c r="K934" s="35"/>
      <c r="L934" s="34">
        <v>46090</v>
      </c>
      <c r="M934" s="16"/>
      <c r="N934" s="34"/>
      <c r="O934" s="16"/>
      <c r="P934" s="34"/>
      <c r="Q934" s="46">
        <f t="shared" si="31"/>
        <v>71.13</v>
      </c>
      <c r="R934" s="47">
        <f t="shared" si="30"/>
        <v>0</v>
      </c>
      <c r="S934" s="48"/>
    </row>
    <row r="935" s="1" customFormat="1" customHeight="1" spans="1:19">
      <c r="A935" s="14">
        <v>1045</v>
      </c>
      <c r="B935" s="20">
        <v>46082</v>
      </c>
      <c r="C935" s="16"/>
      <c r="D935" s="17" t="s">
        <v>873</v>
      </c>
      <c r="E935" s="18" t="s">
        <v>875</v>
      </c>
      <c r="F935" s="26" t="s">
        <v>96</v>
      </c>
      <c r="G935" s="19" t="s">
        <v>1734</v>
      </c>
      <c r="H935" s="16" t="s">
        <v>1735</v>
      </c>
      <c r="I935" s="33">
        <v>797.84</v>
      </c>
      <c r="J935" s="35">
        <v>797.84</v>
      </c>
      <c r="K935" s="35"/>
      <c r="L935" s="34">
        <v>46092</v>
      </c>
      <c r="M935" s="16"/>
      <c r="N935" s="34"/>
      <c r="O935" s="16"/>
      <c r="P935" s="34"/>
      <c r="Q935" s="46">
        <f t="shared" si="31"/>
        <v>797.84</v>
      </c>
      <c r="R935" s="47">
        <f t="shared" si="30"/>
        <v>0</v>
      </c>
      <c r="S935" s="48"/>
    </row>
    <row r="936" s="1" customFormat="1" customHeight="1" spans="1:19">
      <c r="A936" s="14">
        <v>1047</v>
      </c>
      <c r="B936" s="20">
        <v>46082</v>
      </c>
      <c r="C936" s="16" t="s">
        <v>1044</v>
      </c>
      <c r="D936" s="17" t="s">
        <v>890</v>
      </c>
      <c r="E936" s="18" t="s">
        <v>892</v>
      </c>
      <c r="F936" s="26" t="s">
        <v>96</v>
      </c>
      <c r="G936" s="19" t="s">
        <v>1734</v>
      </c>
      <c r="H936" s="16" t="s">
        <v>1735</v>
      </c>
      <c r="I936" s="33">
        <v>704.04</v>
      </c>
      <c r="J936" s="35">
        <v>704.04</v>
      </c>
      <c r="K936" s="35"/>
      <c r="L936" s="34">
        <v>46091</v>
      </c>
      <c r="M936" s="16"/>
      <c r="N936" s="34"/>
      <c r="O936" s="35"/>
      <c r="P936" s="34"/>
      <c r="Q936" s="46">
        <f t="shared" si="31"/>
        <v>704.04</v>
      </c>
      <c r="R936" s="47">
        <f t="shared" si="30"/>
        <v>0</v>
      </c>
      <c r="S936" s="48"/>
    </row>
    <row r="937" s="1" customFormat="1" customHeight="1" spans="1:19">
      <c r="A937" s="14">
        <v>1048</v>
      </c>
      <c r="B937" s="20">
        <v>46082</v>
      </c>
      <c r="C937" s="16"/>
      <c r="D937" s="17" t="s">
        <v>1847</v>
      </c>
      <c r="E937" s="18" t="s">
        <v>1848</v>
      </c>
      <c r="F937" s="26" t="s">
        <v>96</v>
      </c>
      <c r="G937" s="19" t="s">
        <v>1734</v>
      </c>
      <c r="H937" s="16" t="s">
        <v>1735</v>
      </c>
      <c r="I937" s="33">
        <v>2380.12</v>
      </c>
      <c r="J937" s="35">
        <v>2380.12</v>
      </c>
      <c r="K937" s="35"/>
      <c r="L937" s="34">
        <v>46088</v>
      </c>
      <c r="M937" s="16"/>
      <c r="N937" s="34"/>
      <c r="O937" s="35"/>
      <c r="P937" s="34"/>
      <c r="Q937" s="46">
        <f t="shared" si="31"/>
        <v>2380.12</v>
      </c>
      <c r="R937" s="47">
        <f t="shared" si="30"/>
        <v>0</v>
      </c>
      <c r="S937" s="48"/>
    </row>
    <row r="938" s="1" customFormat="1" customHeight="1" spans="1:19">
      <c r="A938" s="14">
        <v>1049</v>
      </c>
      <c r="B938" s="20">
        <v>46082</v>
      </c>
      <c r="C938" s="16" t="s">
        <v>1127</v>
      </c>
      <c r="D938" s="17" t="s">
        <v>835</v>
      </c>
      <c r="E938" s="18" t="s">
        <v>836</v>
      </c>
      <c r="F938" s="26" t="s">
        <v>96</v>
      </c>
      <c r="G938" s="19" t="s">
        <v>1734</v>
      </c>
      <c r="H938" s="16" t="s">
        <v>1735</v>
      </c>
      <c r="I938" s="33">
        <v>326.76</v>
      </c>
      <c r="J938" s="35">
        <v>326.76</v>
      </c>
      <c r="K938" s="35"/>
      <c r="L938" s="34">
        <v>46182</v>
      </c>
      <c r="M938" s="16"/>
      <c r="N938" s="34"/>
      <c r="O938" s="35"/>
      <c r="P938" s="34"/>
      <c r="Q938" s="46">
        <f t="shared" si="31"/>
        <v>326.76</v>
      </c>
      <c r="R938" s="47">
        <f t="shared" si="30"/>
        <v>0</v>
      </c>
      <c r="S938" s="48"/>
    </row>
    <row r="939" s="1" customFormat="1" customHeight="1" spans="1:19">
      <c r="A939" s="14">
        <v>1050</v>
      </c>
      <c r="B939" s="20">
        <v>46082</v>
      </c>
      <c r="C939" s="16"/>
      <c r="D939" s="17" t="s">
        <v>1870</v>
      </c>
      <c r="E939" s="18" t="s">
        <v>840</v>
      </c>
      <c r="F939" s="26" t="s">
        <v>96</v>
      </c>
      <c r="G939" s="19" t="s">
        <v>1734</v>
      </c>
      <c r="H939" s="16" t="s">
        <v>1735</v>
      </c>
      <c r="I939" s="33">
        <v>39.1704</v>
      </c>
      <c r="J939" s="35"/>
      <c r="K939" s="35"/>
      <c r="L939" s="34"/>
      <c r="M939" s="16"/>
      <c r="N939" s="34"/>
      <c r="O939" s="16"/>
      <c r="P939" s="34"/>
      <c r="Q939" s="46">
        <f t="shared" si="31"/>
        <v>0</v>
      </c>
      <c r="R939" s="47">
        <f t="shared" si="30"/>
        <v>39.1704</v>
      </c>
      <c r="S939" s="48"/>
    </row>
    <row r="940" s="1" customFormat="1" customHeight="1" spans="1:19">
      <c r="A940" s="14">
        <v>1051</v>
      </c>
      <c r="B940" s="20">
        <v>46082</v>
      </c>
      <c r="C940" s="16"/>
      <c r="D940" s="17" t="s">
        <v>842</v>
      </c>
      <c r="E940" s="18" t="s">
        <v>844</v>
      </c>
      <c r="F940" s="26" t="s">
        <v>96</v>
      </c>
      <c r="G940" s="19" t="s">
        <v>1734</v>
      </c>
      <c r="H940" s="16" t="s">
        <v>1735</v>
      </c>
      <c r="I940" s="33">
        <v>1746.18</v>
      </c>
      <c r="J940" s="35">
        <v>1500</v>
      </c>
      <c r="K940" s="35"/>
      <c r="L940" s="34">
        <v>46083</v>
      </c>
      <c r="M940" s="16"/>
      <c r="N940" s="34"/>
      <c r="O940" s="16">
        <v>246.18</v>
      </c>
      <c r="P940" s="34">
        <v>46083</v>
      </c>
      <c r="Q940" s="46">
        <f t="shared" si="31"/>
        <v>1746.18</v>
      </c>
      <c r="R940" s="47">
        <f t="shared" si="30"/>
        <v>0</v>
      </c>
      <c r="S940" s="48"/>
    </row>
    <row r="941" s="1" customFormat="1" customHeight="1" spans="1:19">
      <c r="A941" s="14">
        <v>1052</v>
      </c>
      <c r="B941" s="20">
        <v>46082</v>
      </c>
      <c r="C941" s="16"/>
      <c r="D941" s="17" t="s">
        <v>1877</v>
      </c>
      <c r="E941" s="18" t="s">
        <v>765</v>
      </c>
      <c r="F941" s="26" t="s">
        <v>96</v>
      </c>
      <c r="G941" s="19" t="s">
        <v>1734</v>
      </c>
      <c r="H941" s="16" t="s">
        <v>1735</v>
      </c>
      <c r="I941" s="33">
        <v>177.3</v>
      </c>
      <c r="J941" s="35">
        <v>177.3</v>
      </c>
      <c r="K941" s="35"/>
      <c r="L941" s="34">
        <v>46113</v>
      </c>
      <c r="M941" s="16"/>
      <c r="N941" s="34"/>
      <c r="O941" s="16"/>
      <c r="P941" s="34"/>
      <c r="Q941" s="46">
        <f t="shared" si="31"/>
        <v>177.3</v>
      </c>
      <c r="R941" s="47">
        <f t="shared" si="30"/>
        <v>0</v>
      </c>
      <c r="S941" s="48"/>
    </row>
    <row r="942" s="1" customFormat="1" customHeight="1" spans="1:19">
      <c r="A942" s="14">
        <v>1053</v>
      </c>
      <c r="B942" s="20">
        <v>46082</v>
      </c>
      <c r="C942" s="16" t="s">
        <v>16</v>
      </c>
      <c r="D942" s="17" t="s">
        <v>864</v>
      </c>
      <c r="E942" s="18" t="s">
        <v>866</v>
      </c>
      <c r="F942" s="26" t="s">
        <v>96</v>
      </c>
      <c r="G942" s="19" t="s">
        <v>1734</v>
      </c>
      <c r="H942" s="16" t="s">
        <v>1735</v>
      </c>
      <c r="I942" s="33">
        <v>1462.71</v>
      </c>
      <c r="J942" s="35">
        <v>1462.71</v>
      </c>
      <c r="K942" s="35">
        <v>37.29</v>
      </c>
      <c r="L942" s="34">
        <v>46112</v>
      </c>
      <c r="M942" s="16"/>
      <c r="N942" s="34"/>
      <c r="O942" s="35"/>
      <c r="P942" s="34"/>
      <c r="Q942" s="46">
        <f t="shared" si="31"/>
        <v>1462.71</v>
      </c>
      <c r="R942" s="47">
        <f t="shared" si="30"/>
        <v>0</v>
      </c>
      <c r="S942" s="48"/>
    </row>
    <row r="943" s="1" customFormat="1" customHeight="1" spans="1:19">
      <c r="A943" s="14">
        <v>1054</v>
      </c>
      <c r="B943" s="20">
        <v>46082</v>
      </c>
      <c r="C943" s="16"/>
      <c r="D943" s="17" t="s">
        <v>1883</v>
      </c>
      <c r="E943" s="18" t="s">
        <v>1954</v>
      </c>
      <c r="F943" s="26" t="s">
        <v>96</v>
      </c>
      <c r="G943" s="19" t="s">
        <v>1734</v>
      </c>
      <c r="H943" s="16" t="s">
        <v>1735</v>
      </c>
      <c r="I943" s="33">
        <v>376.24</v>
      </c>
      <c r="J943" s="35">
        <v>376.24</v>
      </c>
      <c r="K943" s="35"/>
      <c r="L943" s="34">
        <v>46104</v>
      </c>
      <c r="M943" s="16"/>
      <c r="N943" s="34"/>
      <c r="O943" s="35"/>
      <c r="P943" s="34"/>
      <c r="Q943" s="46">
        <f t="shared" si="31"/>
        <v>376.24</v>
      </c>
      <c r="R943" s="47">
        <f t="shared" si="30"/>
        <v>0</v>
      </c>
      <c r="S943" s="48"/>
    </row>
    <row r="944" s="1" customFormat="1" customHeight="1" spans="1:19">
      <c r="A944" s="14">
        <v>1059</v>
      </c>
      <c r="B944" s="20">
        <v>46082</v>
      </c>
      <c r="C944" s="16" t="s">
        <v>1044</v>
      </c>
      <c r="D944" s="17" t="s">
        <v>858</v>
      </c>
      <c r="E944" s="18" t="s">
        <v>1941</v>
      </c>
      <c r="F944" s="26" t="s">
        <v>96</v>
      </c>
      <c r="G944" s="19" t="s">
        <v>1734</v>
      </c>
      <c r="H944" s="16" t="s">
        <v>1735</v>
      </c>
      <c r="I944" s="33">
        <v>333.98</v>
      </c>
      <c r="J944" s="35">
        <v>333.98</v>
      </c>
      <c r="K944" s="35">
        <v>0.02</v>
      </c>
      <c r="L944" s="34">
        <v>46091</v>
      </c>
      <c r="M944" s="16"/>
      <c r="N944" s="34"/>
      <c r="O944" s="16"/>
      <c r="P944" s="34"/>
      <c r="Q944" s="46">
        <f t="shared" si="31"/>
        <v>333.98</v>
      </c>
      <c r="R944" s="47">
        <f t="shared" si="30"/>
        <v>0</v>
      </c>
      <c r="S944" s="48"/>
    </row>
    <row r="945" s="1" customFormat="1" customHeight="1" spans="1:19">
      <c r="A945" s="14">
        <v>1061</v>
      </c>
      <c r="B945" s="20">
        <v>46082</v>
      </c>
      <c r="C945" s="16" t="s">
        <v>909</v>
      </c>
      <c r="D945" s="17" t="s">
        <v>993</v>
      </c>
      <c r="E945" s="18" t="s">
        <v>1889</v>
      </c>
      <c r="F945" s="26" t="s">
        <v>96</v>
      </c>
      <c r="G945" s="19" t="s">
        <v>1734</v>
      </c>
      <c r="H945" s="16" t="s">
        <v>1735</v>
      </c>
      <c r="I945" s="33">
        <v>329.86</v>
      </c>
      <c r="J945" s="35">
        <v>329.86</v>
      </c>
      <c r="K945" s="35"/>
      <c r="L945" s="34">
        <v>46134</v>
      </c>
      <c r="M945" s="16"/>
      <c r="N945" s="34"/>
      <c r="O945" s="35"/>
      <c r="P945" s="34"/>
      <c r="Q945" s="46">
        <f t="shared" si="31"/>
        <v>329.86</v>
      </c>
      <c r="R945" s="47">
        <f t="shared" si="30"/>
        <v>0</v>
      </c>
      <c r="S945" s="48"/>
    </row>
    <row r="946" s="1" customFormat="1" customHeight="1" spans="1:19">
      <c r="A946" s="14">
        <v>1062</v>
      </c>
      <c r="B946" s="20">
        <v>46082</v>
      </c>
      <c r="C946" s="16"/>
      <c r="D946" s="17" t="s">
        <v>946</v>
      </c>
      <c r="E946" s="18" t="s">
        <v>948</v>
      </c>
      <c r="F946" s="26" t="s">
        <v>96</v>
      </c>
      <c r="G946" s="19" t="s">
        <v>1734</v>
      </c>
      <c r="H946" s="16" t="s">
        <v>1735</v>
      </c>
      <c r="I946" s="33">
        <v>4495.32</v>
      </c>
      <c r="J946" s="35">
        <v>4495.32</v>
      </c>
      <c r="K946" s="35"/>
      <c r="L946" s="34">
        <v>46094</v>
      </c>
      <c r="M946" s="16"/>
      <c r="N946" s="34"/>
      <c r="O946" s="35"/>
      <c r="P946" s="34"/>
      <c r="Q946" s="46">
        <f t="shared" si="31"/>
        <v>4495.32</v>
      </c>
      <c r="R946" s="47">
        <f t="shared" si="30"/>
        <v>0</v>
      </c>
      <c r="S946" s="48"/>
    </row>
    <row r="947" s="1" customFormat="1" customHeight="1" spans="1:19">
      <c r="A947" s="14">
        <v>1063</v>
      </c>
      <c r="B947" s="20">
        <v>46082</v>
      </c>
      <c r="C947" s="16" t="s">
        <v>1935</v>
      </c>
      <c r="D947" s="17" t="s">
        <v>1949</v>
      </c>
      <c r="E947" s="18" t="s">
        <v>956</v>
      </c>
      <c r="F947" s="26" t="s">
        <v>96</v>
      </c>
      <c r="G947" s="19" t="s">
        <v>1734</v>
      </c>
      <c r="H947" s="16" t="s">
        <v>1735</v>
      </c>
      <c r="I947" s="33">
        <v>1360.66</v>
      </c>
      <c r="J947" s="35">
        <v>1360.66</v>
      </c>
      <c r="K947" s="35"/>
      <c r="L947" s="34">
        <v>46105</v>
      </c>
      <c r="M947" s="16"/>
      <c r="N947" s="34"/>
      <c r="O947" s="35"/>
      <c r="P947" s="34"/>
      <c r="Q947" s="46">
        <f t="shared" si="31"/>
        <v>1360.66</v>
      </c>
      <c r="R947" s="47">
        <f t="shared" si="30"/>
        <v>0</v>
      </c>
      <c r="S947" s="48"/>
    </row>
    <row r="948" s="1" customFormat="1" customHeight="1" spans="1:19">
      <c r="A948" s="14">
        <v>1064</v>
      </c>
      <c r="B948" s="20">
        <v>46082</v>
      </c>
      <c r="C948" s="16" t="s">
        <v>909</v>
      </c>
      <c r="D948" s="17" t="s">
        <v>1003</v>
      </c>
      <c r="E948" s="18" t="s">
        <v>1005</v>
      </c>
      <c r="F948" s="26" t="s">
        <v>96</v>
      </c>
      <c r="G948" s="19" t="s">
        <v>1734</v>
      </c>
      <c r="H948" s="16" t="s">
        <v>1735</v>
      </c>
      <c r="I948" s="33">
        <v>24.74</v>
      </c>
      <c r="J948" s="35">
        <v>24.74</v>
      </c>
      <c r="K948" s="35"/>
      <c r="L948" s="34">
        <v>46097</v>
      </c>
      <c r="M948" s="16"/>
      <c r="N948" s="34"/>
      <c r="O948" s="16"/>
      <c r="P948" s="34"/>
      <c r="Q948" s="46">
        <f t="shared" si="31"/>
        <v>24.74</v>
      </c>
      <c r="R948" s="47">
        <f t="shared" si="30"/>
        <v>0</v>
      </c>
      <c r="S948" s="48"/>
    </row>
    <row r="949" s="1" customFormat="1" customHeight="1" spans="1:19">
      <c r="A949" s="14">
        <v>1065</v>
      </c>
      <c r="B949" s="20">
        <v>46082</v>
      </c>
      <c r="C949" s="16"/>
      <c r="D949" s="17" t="s">
        <v>885</v>
      </c>
      <c r="E949" s="18" t="s">
        <v>886</v>
      </c>
      <c r="F949" s="26" t="s">
        <v>96</v>
      </c>
      <c r="G949" s="19" t="s">
        <v>1734</v>
      </c>
      <c r="H949" s="16" t="s">
        <v>1735</v>
      </c>
      <c r="I949" s="33">
        <v>1000.91</v>
      </c>
      <c r="J949" s="35">
        <v>1000.91</v>
      </c>
      <c r="K949" s="35"/>
      <c r="L949" s="34">
        <v>46091</v>
      </c>
      <c r="M949" s="16"/>
      <c r="N949" s="34"/>
      <c r="O949" s="16"/>
      <c r="P949" s="34"/>
      <c r="Q949" s="46">
        <f t="shared" si="31"/>
        <v>1000.91</v>
      </c>
      <c r="R949" s="47">
        <f t="shared" si="30"/>
        <v>0</v>
      </c>
      <c r="S949" s="48"/>
    </row>
    <row r="950" s="1" customFormat="1" customHeight="1" spans="1:19">
      <c r="A950" s="14">
        <v>1066</v>
      </c>
      <c r="B950" s="20">
        <v>46082</v>
      </c>
      <c r="C950" s="16"/>
      <c r="D950" s="17" t="s">
        <v>1775</v>
      </c>
      <c r="E950" s="18" t="s">
        <v>1124</v>
      </c>
      <c r="F950" s="26" t="s">
        <v>96</v>
      </c>
      <c r="G950" s="19" t="s">
        <v>1734</v>
      </c>
      <c r="H950" s="16" t="s">
        <v>1735</v>
      </c>
      <c r="I950" s="33">
        <v>2539.09</v>
      </c>
      <c r="J950" s="35">
        <v>2539.09</v>
      </c>
      <c r="K950" s="35"/>
      <c r="L950" s="34">
        <v>46090</v>
      </c>
      <c r="M950" s="16"/>
      <c r="N950" s="34"/>
      <c r="O950" s="16"/>
      <c r="P950" s="34"/>
      <c r="Q950" s="46">
        <f t="shared" si="31"/>
        <v>2539.09</v>
      </c>
      <c r="R950" s="47">
        <f t="shared" si="30"/>
        <v>0</v>
      </c>
      <c r="S950" s="48"/>
    </row>
    <row r="951" s="1" customFormat="1" customHeight="1" spans="1:19">
      <c r="A951" s="14">
        <v>1067</v>
      </c>
      <c r="B951" s="20">
        <v>46082</v>
      </c>
      <c r="C951" s="16"/>
      <c r="D951" s="17" t="s">
        <v>1859</v>
      </c>
      <c r="E951" s="18" t="s">
        <v>1260</v>
      </c>
      <c r="F951" s="26" t="s">
        <v>96</v>
      </c>
      <c r="G951" s="19" t="s">
        <v>1734</v>
      </c>
      <c r="H951" s="16" t="s">
        <v>1735</v>
      </c>
      <c r="I951" s="33">
        <v>823.61</v>
      </c>
      <c r="J951" s="35">
        <v>823.61</v>
      </c>
      <c r="K951" s="35"/>
      <c r="L951" s="34">
        <v>46094</v>
      </c>
      <c r="M951" s="16"/>
      <c r="N951" s="34"/>
      <c r="O951" s="35"/>
      <c r="P951" s="34"/>
      <c r="Q951" s="46">
        <f t="shared" si="31"/>
        <v>823.61</v>
      </c>
      <c r="R951" s="47">
        <f t="shared" si="30"/>
        <v>0</v>
      </c>
      <c r="S951" s="48"/>
    </row>
    <row r="952" s="1" customFormat="1" customHeight="1" spans="1:19">
      <c r="A952" s="14">
        <v>1068</v>
      </c>
      <c r="B952" s="20">
        <v>46082</v>
      </c>
      <c r="C952" s="16"/>
      <c r="D952" s="17" t="s">
        <v>1942</v>
      </c>
      <c r="E952" s="18" t="s">
        <v>1943</v>
      </c>
      <c r="F952" s="26" t="s">
        <v>96</v>
      </c>
      <c r="G952" s="19" t="s">
        <v>1734</v>
      </c>
      <c r="H952" s="16" t="s">
        <v>1735</v>
      </c>
      <c r="I952" s="33">
        <v>3181</v>
      </c>
      <c r="J952" s="35">
        <v>3181</v>
      </c>
      <c r="K952" s="35"/>
      <c r="L952" s="34">
        <v>46107</v>
      </c>
      <c r="M952" s="16"/>
      <c r="N952" s="34"/>
      <c r="O952" s="35"/>
      <c r="P952" s="34"/>
      <c r="Q952" s="46">
        <f t="shared" si="31"/>
        <v>3181</v>
      </c>
      <c r="R952" s="47">
        <f t="shared" si="30"/>
        <v>0</v>
      </c>
      <c r="S952" s="48"/>
    </row>
    <row r="953" s="1" customFormat="1" customHeight="1" spans="1:19">
      <c r="A953" s="14">
        <v>1069</v>
      </c>
      <c r="B953" s="20">
        <v>46082</v>
      </c>
      <c r="C953" s="16"/>
      <c r="D953" s="17" t="s">
        <v>881</v>
      </c>
      <c r="E953" s="18" t="s">
        <v>1231</v>
      </c>
      <c r="F953" s="26" t="s">
        <v>96</v>
      </c>
      <c r="G953" s="19" t="s">
        <v>1734</v>
      </c>
      <c r="H953" s="16" t="s">
        <v>1735</v>
      </c>
      <c r="I953" s="33">
        <v>1134.91</v>
      </c>
      <c r="J953" s="35">
        <v>1134.91</v>
      </c>
      <c r="K953" s="35"/>
      <c r="L953" s="34">
        <v>46104</v>
      </c>
      <c r="M953" s="16"/>
      <c r="N953" s="34"/>
      <c r="O953" s="35"/>
      <c r="P953" s="34"/>
      <c r="Q953" s="46">
        <f t="shared" si="31"/>
        <v>1134.91</v>
      </c>
      <c r="R953" s="47">
        <f t="shared" si="30"/>
        <v>0</v>
      </c>
      <c r="S953" s="48"/>
    </row>
    <row r="954" s="1" customFormat="1" customHeight="1" spans="1:19">
      <c r="A954" s="14">
        <v>1070</v>
      </c>
      <c r="B954" s="20">
        <v>46082</v>
      </c>
      <c r="C954" s="16"/>
      <c r="D954" s="17" t="s">
        <v>1955</v>
      </c>
      <c r="E954" s="18" t="s">
        <v>1956</v>
      </c>
      <c r="F954" s="26" t="s">
        <v>96</v>
      </c>
      <c r="G954" s="19" t="s">
        <v>1734</v>
      </c>
      <c r="H954" s="16" t="s">
        <v>1735</v>
      </c>
      <c r="I954" s="33">
        <v>948.34</v>
      </c>
      <c r="J954" s="35">
        <v>948.34</v>
      </c>
      <c r="K954" s="35"/>
      <c r="L954" s="34">
        <v>46093</v>
      </c>
      <c r="M954" s="16"/>
      <c r="N954" s="34"/>
      <c r="O954" s="35"/>
      <c r="P954" s="34"/>
      <c r="Q954" s="46">
        <f t="shared" si="31"/>
        <v>948.34</v>
      </c>
      <c r="R954" s="47">
        <f t="shared" si="30"/>
        <v>0</v>
      </c>
      <c r="S954" s="48"/>
    </row>
    <row r="955" s="1" customFormat="1" customHeight="1" spans="1:19">
      <c r="A955" s="14">
        <v>1071</v>
      </c>
      <c r="B955" s="20">
        <v>46082</v>
      </c>
      <c r="C955" s="16"/>
      <c r="D955" s="17" t="s">
        <v>1955</v>
      </c>
      <c r="E955" s="18" t="s">
        <v>1957</v>
      </c>
      <c r="F955" s="26" t="s">
        <v>96</v>
      </c>
      <c r="G955" s="19" t="s">
        <v>1734</v>
      </c>
      <c r="H955" s="16" t="s">
        <v>1735</v>
      </c>
      <c r="I955" s="33">
        <v>4947.84</v>
      </c>
      <c r="J955" s="35">
        <v>4947.84</v>
      </c>
      <c r="K955" s="35"/>
      <c r="L955" s="34">
        <v>46093</v>
      </c>
      <c r="M955" s="16"/>
      <c r="N955" s="34"/>
      <c r="O955" s="16"/>
      <c r="P955" s="34"/>
      <c r="Q955" s="46">
        <f t="shared" si="31"/>
        <v>4947.84</v>
      </c>
      <c r="R955" s="47">
        <f t="shared" si="30"/>
        <v>0</v>
      </c>
      <c r="S955" s="48"/>
    </row>
    <row r="956" s="1" customFormat="1" customHeight="1" spans="1:19">
      <c r="A956" s="14">
        <v>1072</v>
      </c>
      <c r="B956" s="20">
        <v>46082</v>
      </c>
      <c r="C956" s="16"/>
      <c r="D956" s="17" t="s">
        <v>1287</v>
      </c>
      <c r="E956" s="18" t="s">
        <v>1288</v>
      </c>
      <c r="F956" s="26" t="s">
        <v>96</v>
      </c>
      <c r="G956" s="19" t="s">
        <v>1734</v>
      </c>
      <c r="H956" s="16" t="s">
        <v>1735</v>
      </c>
      <c r="I956" s="33">
        <v>9.28</v>
      </c>
      <c r="J956" s="35">
        <v>9.28</v>
      </c>
      <c r="K956" s="35"/>
      <c r="L956" s="34">
        <v>46094</v>
      </c>
      <c r="M956" s="16"/>
      <c r="N956" s="34"/>
      <c r="O956" s="16"/>
      <c r="P956" s="34"/>
      <c r="Q956" s="46">
        <f t="shared" si="31"/>
        <v>9.28</v>
      </c>
      <c r="R956" s="47">
        <f t="shared" si="30"/>
        <v>0</v>
      </c>
      <c r="S956" s="48"/>
    </row>
    <row r="957" s="1" customFormat="1" customHeight="1" spans="1:19">
      <c r="A957" s="14">
        <v>1073</v>
      </c>
      <c r="B957" s="20">
        <v>46082</v>
      </c>
      <c r="C957" s="16"/>
      <c r="D957" s="17" t="s">
        <v>1895</v>
      </c>
      <c r="E957" s="18" t="s">
        <v>1896</v>
      </c>
      <c r="F957" s="26" t="s">
        <v>96</v>
      </c>
      <c r="G957" s="19" t="s">
        <v>1734</v>
      </c>
      <c r="H957" s="16" t="s">
        <v>1735</v>
      </c>
      <c r="I957" s="33">
        <v>3731</v>
      </c>
      <c r="J957" s="35">
        <v>3731</v>
      </c>
      <c r="K957" s="35"/>
      <c r="L957" s="34">
        <v>46105</v>
      </c>
      <c r="M957" s="16"/>
      <c r="N957" s="34"/>
      <c r="O957" s="16"/>
      <c r="P957" s="34"/>
      <c r="Q957" s="46">
        <f t="shared" si="31"/>
        <v>3731</v>
      </c>
      <c r="R957" s="47">
        <f t="shared" si="30"/>
        <v>0</v>
      </c>
      <c r="S957" s="48"/>
    </row>
    <row r="958" s="1" customFormat="1" customHeight="1" spans="1:19">
      <c r="A958" s="14">
        <v>1074</v>
      </c>
      <c r="B958" s="20">
        <v>46082</v>
      </c>
      <c r="C958" s="16"/>
      <c r="D958" s="17" t="s">
        <v>1897</v>
      </c>
      <c r="E958" s="18" t="s">
        <v>1740</v>
      </c>
      <c r="F958" s="26" t="s">
        <v>96</v>
      </c>
      <c r="G958" s="19" t="s">
        <v>1734</v>
      </c>
      <c r="H958" s="16" t="s">
        <v>1735</v>
      </c>
      <c r="I958" s="33">
        <v>214.41</v>
      </c>
      <c r="J958" s="35">
        <v>214.41</v>
      </c>
      <c r="K958" s="35">
        <v>0.63</v>
      </c>
      <c r="L958" s="34">
        <v>46088</v>
      </c>
      <c r="M958" s="16"/>
      <c r="N958" s="34"/>
      <c r="O958" s="35"/>
      <c r="P958" s="34"/>
      <c r="Q958" s="46">
        <f t="shared" si="31"/>
        <v>214.41</v>
      </c>
      <c r="R958" s="47">
        <f t="shared" si="30"/>
        <v>0</v>
      </c>
      <c r="S958" s="48"/>
    </row>
    <row r="959" s="1" customFormat="1" customHeight="1" spans="1:19">
      <c r="A959" s="14">
        <v>1075</v>
      </c>
      <c r="B959" s="20">
        <v>46082</v>
      </c>
      <c r="C959" s="16"/>
      <c r="D959" s="334" t="s">
        <v>1898</v>
      </c>
      <c r="E959" s="18" t="s">
        <v>1899</v>
      </c>
      <c r="F959" s="26" t="s">
        <v>96</v>
      </c>
      <c r="G959" s="19" t="s">
        <v>1734</v>
      </c>
      <c r="H959" s="16" t="s">
        <v>1735</v>
      </c>
      <c r="I959" s="33">
        <v>130.19</v>
      </c>
      <c r="J959" s="35">
        <v>130.19</v>
      </c>
      <c r="K959" s="35">
        <v>0.03</v>
      </c>
      <c r="L959" s="34">
        <v>46088</v>
      </c>
      <c r="M959" s="16"/>
      <c r="N959" s="34"/>
      <c r="O959" s="35"/>
      <c r="P959" s="34"/>
      <c r="Q959" s="46">
        <f t="shared" si="31"/>
        <v>130.19</v>
      </c>
      <c r="R959" s="47">
        <f t="shared" si="30"/>
        <v>0</v>
      </c>
      <c r="S959" s="48"/>
    </row>
    <row r="960" s="1" customFormat="1" customHeight="1" spans="1:19">
      <c r="A960" s="14">
        <v>1076</v>
      </c>
      <c r="B960" s="20">
        <v>46082</v>
      </c>
      <c r="C960" s="16"/>
      <c r="D960" s="334" t="s">
        <v>1900</v>
      </c>
      <c r="E960" s="18" t="s">
        <v>1828</v>
      </c>
      <c r="F960" s="26" t="s">
        <v>96</v>
      </c>
      <c r="G960" s="19" t="s">
        <v>1734</v>
      </c>
      <c r="H960" s="16" t="s">
        <v>1735</v>
      </c>
      <c r="I960" s="33">
        <v>95.86</v>
      </c>
      <c r="J960" s="35">
        <v>95.86</v>
      </c>
      <c r="K960" s="35"/>
      <c r="L960" s="34">
        <v>46088</v>
      </c>
      <c r="M960" s="16"/>
      <c r="N960" s="34"/>
      <c r="O960" s="35"/>
      <c r="P960" s="34"/>
      <c r="Q960" s="46">
        <f t="shared" si="31"/>
        <v>95.86</v>
      </c>
      <c r="R960" s="47">
        <f t="shared" si="30"/>
        <v>0</v>
      </c>
      <c r="S960" s="48"/>
    </row>
    <row r="961" s="1" customFormat="1" customHeight="1" spans="1:19">
      <c r="A961" s="14">
        <v>1077</v>
      </c>
      <c r="B961" s="20">
        <v>46082</v>
      </c>
      <c r="C961" s="16"/>
      <c r="D961" s="334" t="s">
        <v>1761</v>
      </c>
      <c r="E961" s="18" t="s">
        <v>1762</v>
      </c>
      <c r="F961" s="26" t="s">
        <v>96</v>
      </c>
      <c r="G961" s="19" t="s">
        <v>1734</v>
      </c>
      <c r="H961" s="16" t="s">
        <v>1735</v>
      </c>
      <c r="I961" s="33">
        <v>551.48</v>
      </c>
      <c r="J961" s="35">
        <v>551.48</v>
      </c>
      <c r="K961" s="35"/>
      <c r="L961" s="34">
        <v>46088</v>
      </c>
      <c r="M961" s="16"/>
      <c r="N961" s="34"/>
      <c r="O961" s="35"/>
      <c r="P961" s="34"/>
      <c r="Q961" s="46">
        <f t="shared" si="31"/>
        <v>551.48</v>
      </c>
      <c r="R961" s="47">
        <f t="shared" si="30"/>
        <v>0</v>
      </c>
      <c r="S961" s="48"/>
    </row>
    <row r="962" s="1" customFormat="1" customHeight="1" spans="1:19">
      <c r="A962" s="14">
        <v>1078</v>
      </c>
      <c r="B962" s="20">
        <v>46082</v>
      </c>
      <c r="C962" s="16"/>
      <c r="D962" s="334" t="s">
        <v>1901</v>
      </c>
      <c r="E962" s="18" t="s">
        <v>1902</v>
      </c>
      <c r="F962" s="26" t="s">
        <v>96</v>
      </c>
      <c r="G962" s="19" t="s">
        <v>1734</v>
      </c>
      <c r="H962" s="16" t="s">
        <v>1735</v>
      </c>
      <c r="I962" s="33">
        <v>178.33</v>
      </c>
      <c r="J962" s="35">
        <v>178.33</v>
      </c>
      <c r="K962" s="35"/>
      <c r="L962" s="34">
        <v>46088</v>
      </c>
      <c r="M962" s="16"/>
      <c r="N962" s="34"/>
      <c r="O962" s="16"/>
      <c r="P962" s="34"/>
      <c r="Q962" s="46">
        <f t="shared" si="31"/>
        <v>178.33</v>
      </c>
      <c r="R962" s="47">
        <f t="shared" si="30"/>
        <v>0</v>
      </c>
      <c r="S962" s="48"/>
    </row>
    <row r="963" s="1" customFormat="1" customHeight="1" spans="1:19">
      <c r="A963" s="14">
        <v>1079</v>
      </c>
      <c r="B963" s="20">
        <v>46082</v>
      </c>
      <c r="C963" s="16"/>
      <c r="D963" s="334" t="s">
        <v>1821</v>
      </c>
      <c r="E963" s="18" t="s">
        <v>1822</v>
      </c>
      <c r="F963" s="26" t="s">
        <v>96</v>
      </c>
      <c r="G963" s="19" t="s">
        <v>1734</v>
      </c>
      <c r="H963" s="16" t="s">
        <v>1735</v>
      </c>
      <c r="I963" s="33">
        <v>47.42</v>
      </c>
      <c r="J963" s="35">
        <v>47.42</v>
      </c>
      <c r="K963" s="35"/>
      <c r="L963" s="34">
        <v>46088</v>
      </c>
      <c r="M963" s="16"/>
      <c r="N963" s="34"/>
      <c r="O963" s="16"/>
      <c r="P963" s="34"/>
      <c r="Q963" s="46">
        <f t="shared" si="31"/>
        <v>47.42</v>
      </c>
      <c r="R963" s="47">
        <f t="shared" si="30"/>
        <v>0</v>
      </c>
      <c r="S963" s="48"/>
    </row>
    <row r="964" s="1" customFormat="1" customHeight="1" spans="1:19">
      <c r="A964" s="14">
        <v>1080</v>
      </c>
      <c r="B964" s="20">
        <v>46082</v>
      </c>
      <c r="C964" s="16"/>
      <c r="D964" s="334" t="s">
        <v>1764</v>
      </c>
      <c r="E964" s="18" t="s">
        <v>1765</v>
      </c>
      <c r="F964" s="26" t="s">
        <v>96</v>
      </c>
      <c r="G964" s="19" t="s">
        <v>1734</v>
      </c>
      <c r="H964" s="16" t="s">
        <v>1735</v>
      </c>
      <c r="I964" s="33">
        <v>681.36</v>
      </c>
      <c r="J964" s="35">
        <v>681.36</v>
      </c>
      <c r="K964" s="35"/>
      <c r="L964" s="34">
        <v>46088</v>
      </c>
      <c r="M964" s="16"/>
      <c r="N964" s="34"/>
      <c r="O964" s="16"/>
      <c r="P964" s="34"/>
      <c r="Q964" s="46">
        <f t="shared" si="31"/>
        <v>681.36</v>
      </c>
      <c r="R964" s="47">
        <f t="shared" si="30"/>
        <v>0</v>
      </c>
      <c r="S964" s="48"/>
    </row>
    <row r="965" s="1" customFormat="1" customHeight="1" spans="1:19">
      <c r="A965" s="14">
        <v>1081</v>
      </c>
      <c r="B965" s="20">
        <v>46082</v>
      </c>
      <c r="C965" s="16"/>
      <c r="D965" s="334" t="s">
        <v>1842</v>
      </c>
      <c r="E965" s="18" t="s">
        <v>1843</v>
      </c>
      <c r="F965" s="26" t="s">
        <v>96</v>
      </c>
      <c r="G965" s="19" t="s">
        <v>1734</v>
      </c>
      <c r="H965" s="16" t="s">
        <v>1735</v>
      </c>
      <c r="I965" s="33">
        <v>178.33</v>
      </c>
      <c r="J965" s="35">
        <v>11.63</v>
      </c>
      <c r="K965" s="35"/>
      <c r="L965" s="34">
        <v>46088</v>
      </c>
      <c r="M965" s="16">
        <v>166.7</v>
      </c>
      <c r="N965" s="34">
        <v>46090</v>
      </c>
      <c r="O965" s="35"/>
      <c r="P965" s="34"/>
      <c r="Q965" s="46">
        <f t="shared" si="31"/>
        <v>178.33</v>
      </c>
      <c r="R965" s="47">
        <f t="shared" si="30"/>
        <v>0</v>
      </c>
      <c r="S965" s="48"/>
    </row>
    <row r="966" s="1" customFormat="1" customHeight="1" spans="1:19">
      <c r="A966" s="14">
        <v>1082</v>
      </c>
      <c r="B966" s="20">
        <v>46082</v>
      </c>
      <c r="C966" s="16" t="s">
        <v>1737</v>
      </c>
      <c r="D966" s="17">
        <v>10</v>
      </c>
      <c r="E966" s="18" t="s">
        <v>1903</v>
      </c>
      <c r="F966" s="26" t="s">
        <v>96</v>
      </c>
      <c r="G966" s="19" t="s">
        <v>1734</v>
      </c>
      <c r="H966" s="16" t="s">
        <v>1735</v>
      </c>
      <c r="I966" s="33">
        <v>313.36</v>
      </c>
      <c r="J966" s="35">
        <v>313.36</v>
      </c>
      <c r="K966" s="35"/>
      <c r="L966" s="34">
        <v>46088</v>
      </c>
      <c r="M966" s="16"/>
      <c r="N966" s="34"/>
      <c r="O966" s="35"/>
      <c r="P966" s="34"/>
      <c r="Q966" s="46">
        <f t="shared" si="31"/>
        <v>313.36</v>
      </c>
      <c r="R966" s="47">
        <f t="shared" si="30"/>
        <v>0</v>
      </c>
      <c r="S966" s="48"/>
    </row>
    <row r="967" s="1" customFormat="1" customHeight="1" spans="1:19">
      <c r="A967" s="14">
        <v>1083</v>
      </c>
      <c r="B967" s="20">
        <v>46082</v>
      </c>
      <c r="C967" s="16"/>
      <c r="D967" s="17">
        <v>21</v>
      </c>
      <c r="E967" s="18" t="s">
        <v>1739</v>
      </c>
      <c r="F967" s="26" t="s">
        <v>96</v>
      </c>
      <c r="G967" s="19" t="s">
        <v>1734</v>
      </c>
      <c r="H967" s="16" t="s">
        <v>1735</v>
      </c>
      <c r="I967" s="33">
        <v>263.88</v>
      </c>
      <c r="J967" s="35">
        <v>263.88</v>
      </c>
      <c r="K967" s="35">
        <v>0.16</v>
      </c>
      <c r="L967" s="34">
        <v>46088</v>
      </c>
      <c r="M967" s="16"/>
      <c r="N967" s="34"/>
      <c r="O967" s="35"/>
      <c r="P967" s="34"/>
      <c r="Q967" s="46">
        <f t="shared" si="31"/>
        <v>263.88</v>
      </c>
      <c r="R967" s="47">
        <f t="shared" si="30"/>
        <v>0</v>
      </c>
      <c r="S967" s="48"/>
    </row>
    <row r="968" s="1" customFormat="1" customHeight="1" spans="1:19">
      <c r="A968" s="14">
        <v>1084</v>
      </c>
      <c r="B968" s="20">
        <v>46082</v>
      </c>
      <c r="C968" s="16"/>
      <c r="D968" s="17" t="s">
        <v>1904</v>
      </c>
      <c r="E968" s="18" t="s">
        <v>1774</v>
      </c>
      <c r="F968" s="26" t="s">
        <v>96</v>
      </c>
      <c r="G968" s="19" t="s">
        <v>1734</v>
      </c>
      <c r="H968" s="16" t="s">
        <v>1735</v>
      </c>
      <c r="I968" s="33">
        <v>210.28</v>
      </c>
      <c r="J968" s="35">
        <v>210.28</v>
      </c>
      <c r="K968" s="35"/>
      <c r="L968" s="34">
        <v>46090</v>
      </c>
      <c r="M968" s="16"/>
      <c r="N968" s="34"/>
      <c r="O968" s="35"/>
      <c r="P968" s="34"/>
      <c r="Q968" s="46">
        <f t="shared" si="31"/>
        <v>210.28</v>
      </c>
      <c r="R968" s="47">
        <f t="shared" si="30"/>
        <v>0</v>
      </c>
      <c r="S968" s="48"/>
    </row>
    <row r="969" s="1" customFormat="1" customHeight="1" spans="1:19">
      <c r="A969" s="14">
        <v>1085</v>
      </c>
      <c r="B969" s="20">
        <v>46082</v>
      </c>
      <c r="C969" s="16"/>
      <c r="D969" s="334" t="s">
        <v>1838</v>
      </c>
      <c r="E969" s="18" t="s">
        <v>1839</v>
      </c>
      <c r="F969" s="26" t="s">
        <v>96</v>
      </c>
      <c r="G969" s="19" t="s">
        <v>1734</v>
      </c>
      <c r="H969" s="16" t="s">
        <v>1735</v>
      </c>
      <c r="I969" s="33">
        <v>275.22</v>
      </c>
      <c r="J969" s="35">
        <v>275.04</v>
      </c>
      <c r="K969" s="35"/>
      <c r="L969" s="34">
        <v>46088</v>
      </c>
      <c r="M969" s="16">
        <v>0.18</v>
      </c>
      <c r="N969" s="34">
        <v>46090</v>
      </c>
      <c r="O969" s="16"/>
      <c r="P969" s="34"/>
      <c r="Q969" s="46">
        <f t="shared" si="31"/>
        <v>275.22</v>
      </c>
      <c r="R969" s="47">
        <f t="shared" si="30"/>
        <v>0</v>
      </c>
      <c r="S969" s="48"/>
    </row>
    <row r="970" s="1" customFormat="1" customHeight="1" spans="1:19">
      <c r="A970" s="14">
        <v>1086</v>
      </c>
      <c r="B970" s="20">
        <v>46082</v>
      </c>
      <c r="C970" s="16"/>
      <c r="D970" s="17">
        <v>13</v>
      </c>
      <c r="E970" s="18" t="s">
        <v>1763</v>
      </c>
      <c r="F970" s="26" t="s">
        <v>96</v>
      </c>
      <c r="G970" s="19" t="s">
        <v>1734</v>
      </c>
      <c r="H970" s="16" t="s">
        <v>1735</v>
      </c>
      <c r="I970" s="33">
        <v>313.36</v>
      </c>
      <c r="J970" s="35">
        <v>313.36</v>
      </c>
      <c r="K970" s="35"/>
      <c r="L970" s="34">
        <v>46088</v>
      </c>
      <c r="M970" s="16"/>
      <c r="N970" s="34"/>
      <c r="O970" s="16"/>
      <c r="P970" s="34"/>
      <c r="Q970" s="46">
        <f t="shared" si="31"/>
        <v>313.36</v>
      </c>
      <c r="R970" s="47">
        <f t="shared" si="30"/>
        <v>0</v>
      </c>
      <c r="S970" s="48"/>
    </row>
    <row r="971" s="1" customFormat="1" customHeight="1" spans="1:19">
      <c r="A971" s="14">
        <v>1087</v>
      </c>
      <c r="B971" s="20">
        <v>46082</v>
      </c>
      <c r="C971" s="16"/>
      <c r="D971" s="17" t="s">
        <v>1834</v>
      </c>
      <c r="E971" s="18" t="s">
        <v>1835</v>
      </c>
      <c r="F971" s="26" t="s">
        <v>96</v>
      </c>
      <c r="G971" s="19" t="s">
        <v>1734</v>
      </c>
      <c r="H971" s="16" t="s">
        <v>1735</v>
      </c>
      <c r="I971" s="33">
        <v>192.76</v>
      </c>
      <c r="J971" s="35">
        <v>192.76</v>
      </c>
      <c r="K971" s="35"/>
      <c r="L971" s="34">
        <v>46088</v>
      </c>
      <c r="M971" s="16"/>
      <c r="N971" s="34"/>
      <c r="O971" s="16"/>
      <c r="P971" s="34"/>
      <c r="Q971" s="46">
        <f t="shared" si="31"/>
        <v>192.76</v>
      </c>
      <c r="R971" s="47">
        <f t="shared" si="30"/>
        <v>0</v>
      </c>
      <c r="S971" s="48"/>
    </row>
    <row r="972" s="1" customFormat="1" customHeight="1" spans="1:19">
      <c r="A972" s="14">
        <v>1088</v>
      </c>
      <c r="B972" s="20">
        <v>46082</v>
      </c>
      <c r="C972" s="16"/>
      <c r="D972" s="17" t="s">
        <v>1759</v>
      </c>
      <c r="E972" s="18" t="s">
        <v>1760</v>
      </c>
      <c r="F972" s="26" t="s">
        <v>96</v>
      </c>
      <c r="G972" s="19" t="s">
        <v>1734</v>
      </c>
      <c r="H972" s="16" t="s">
        <v>1735</v>
      </c>
      <c r="I972" s="33">
        <v>499.94</v>
      </c>
      <c r="J972" s="35">
        <v>499.94</v>
      </c>
      <c r="K972" s="35"/>
      <c r="L972" s="34">
        <v>46088</v>
      </c>
      <c r="M972" s="16"/>
      <c r="N972" s="34"/>
      <c r="O972" s="35"/>
      <c r="P972" s="34"/>
      <c r="Q972" s="46">
        <f t="shared" si="31"/>
        <v>499.94</v>
      </c>
      <c r="R972" s="47">
        <f t="shared" si="30"/>
        <v>0</v>
      </c>
      <c r="S972" s="48"/>
    </row>
    <row r="973" s="1" customFormat="1" customHeight="1" spans="1:19">
      <c r="A973" s="14">
        <v>1089</v>
      </c>
      <c r="B973" s="20">
        <v>46082</v>
      </c>
      <c r="C973" s="16"/>
      <c r="D973" s="17">
        <v>12</v>
      </c>
      <c r="E973" s="18" t="s">
        <v>1814</v>
      </c>
      <c r="F973" s="26" t="s">
        <v>96</v>
      </c>
      <c r="G973" s="19" t="s">
        <v>1734</v>
      </c>
      <c r="H973" s="16" t="s">
        <v>1735</v>
      </c>
      <c r="I973" s="33">
        <v>10.31</v>
      </c>
      <c r="J973" s="35">
        <v>10.31</v>
      </c>
      <c r="K973" s="35"/>
      <c r="L973" s="34">
        <v>46088</v>
      </c>
      <c r="M973" s="16"/>
      <c r="N973" s="34"/>
      <c r="O973" s="35"/>
      <c r="P973" s="34"/>
      <c r="Q973" s="46">
        <f t="shared" si="31"/>
        <v>10.31</v>
      </c>
      <c r="R973" s="47">
        <f t="shared" ref="R973:R1036" si="32">I973-Q973</f>
        <v>0</v>
      </c>
      <c r="S973" s="48"/>
    </row>
    <row r="974" s="1" customFormat="1" customHeight="1" spans="1:19">
      <c r="A974" s="14">
        <v>1090</v>
      </c>
      <c r="B974" s="20">
        <v>46082</v>
      </c>
      <c r="C974" s="16" t="s">
        <v>1737</v>
      </c>
      <c r="D974" s="17">
        <v>11</v>
      </c>
      <c r="E974" s="18" t="s">
        <v>1829</v>
      </c>
      <c r="F974" s="26" t="s">
        <v>96</v>
      </c>
      <c r="G974" s="19" t="s">
        <v>1734</v>
      </c>
      <c r="H974" s="16" t="s">
        <v>1735</v>
      </c>
      <c r="I974" s="33">
        <v>68.03</v>
      </c>
      <c r="J974" s="35">
        <v>68.03</v>
      </c>
      <c r="K974" s="35"/>
      <c r="L974" s="34">
        <v>46088</v>
      </c>
      <c r="M974" s="16"/>
      <c r="N974" s="34"/>
      <c r="O974" s="35"/>
      <c r="P974" s="34"/>
      <c r="Q974" s="46">
        <f t="shared" si="31"/>
        <v>68.03</v>
      </c>
      <c r="R974" s="47">
        <f t="shared" si="32"/>
        <v>0</v>
      </c>
      <c r="S974" s="48"/>
    </row>
    <row r="975" s="1" customFormat="1" customHeight="1" spans="1:19">
      <c r="A975" s="14">
        <v>1091</v>
      </c>
      <c r="B975" s="20">
        <v>46082</v>
      </c>
      <c r="C975" s="16"/>
      <c r="D975" s="17" t="s">
        <v>1905</v>
      </c>
      <c r="E975" s="18" t="s">
        <v>1906</v>
      </c>
      <c r="F975" s="26" t="s">
        <v>96</v>
      </c>
      <c r="G975" s="19" t="s">
        <v>1734</v>
      </c>
      <c r="H975" s="16" t="s">
        <v>1735</v>
      </c>
      <c r="I975" s="33">
        <v>52.57</v>
      </c>
      <c r="J975" s="35">
        <v>52.57</v>
      </c>
      <c r="K975" s="35"/>
      <c r="L975" s="34">
        <v>46088</v>
      </c>
      <c r="M975" s="16"/>
      <c r="N975" s="34"/>
      <c r="O975" s="35"/>
      <c r="P975" s="34"/>
      <c r="Q975" s="46">
        <f t="shared" si="31"/>
        <v>52.57</v>
      </c>
      <c r="R975" s="47">
        <f t="shared" si="32"/>
        <v>0</v>
      </c>
      <c r="S975" s="48"/>
    </row>
    <row r="976" s="1" customFormat="1" customHeight="1" spans="1:19">
      <c r="A976" s="14">
        <v>1092</v>
      </c>
      <c r="B976" s="20">
        <v>46082</v>
      </c>
      <c r="C976" s="16"/>
      <c r="D976" s="334" t="s">
        <v>1907</v>
      </c>
      <c r="E976" s="18" t="s">
        <v>1815</v>
      </c>
      <c r="F976" s="26" t="s">
        <v>96</v>
      </c>
      <c r="G976" s="19" t="s">
        <v>1734</v>
      </c>
      <c r="H976" s="16" t="s">
        <v>1735</v>
      </c>
      <c r="I976" s="33">
        <v>478.29</v>
      </c>
      <c r="J976" s="35">
        <v>478.29</v>
      </c>
      <c r="K976" s="35"/>
      <c r="L976" s="34">
        <v>46088</v>
      </c>
      <c r="M976" s="16"/>
      <c r="N976" s="34"/>
      <c r="O976" s="16"/>
      <c r="P976" s="34"/>
      <c r="Q976" s="46">
        <f t="shared" si="31"/>
        <v>478.29</v>
      </c>
      <c r="R976" s="47">
        <f t="shared" si="32"/>
        <v>0</v>
      </c>
      <c r="S976" s="48"/>
    </row>
    <row r="977" s="1" customFormat="1" customHeight="1" spans="1:19">
      <c r="A977" s="14">
        <v>1093</v>
      </c>
      <c r="B977" s="20">
        <v>46082</v>
      </c>
      <c r="C977" s="16"/>
      <c r="D977" s="17">
        <v>20</v>
      </c>
      <c r="E977" s="18" t="s">
        <v>1766</v>
      </c>
      <c r="F977" s="26" t="s">
        <v>96</v>
      </c>
      <c r="G977" s="19" t="s">
        <v>1734</v>
      </c>
      <c r="H977" s="16" t="s">
        <v>1735</v>
      </c>
      <c r="I977" s="33">
        <v>209.25</v>
      </c>
      <c r="J977" s="35">
        <v>209.25</v>
      </c>
      <c r="K977" s="35"/>
      <c r="L977" s="34">
        <v>46090</v>
      </c>
      <c r="M977" s="16"/>
      <c r="N977" s="34"/>
      <c r="O977" s="16"/>
      <c r="P977" s="34"/>
      <c r="Q977" s="46">
        <f t="shared" si="31"/>
        <v>209.25</v>
      </c>
      <c r="R977" s="47">
        <f t="shared" si="32"/>
        <v>0</v>
      </c>
      <c r="S977" s="48"/>
    </row>
    <row r="978" s="1" customFormat="1" customHeight="1" spans="1:19">
      <c r="A978" s="14">
        <v>1094</v>
      </c>
      <c r="B978" s="20">
        <v>46082</v>
      </c>
      <c r="C978" s="16"/>
      <c r="D978" s="17">
        <v>14</v>
      </c>
      <c r="E978" s="18" t="s">
        <v>1908</v>
      </c>
      <c r="F978" s="26" t="s">
        <v>96</v>
      </c>
      <c r="G978" s="19" t="s">
        <v>1734</v>
      </c>
      <c r="H978" s="16" t="s">
        <v>1735</v>
      </c>
      <c r="I978" s="33">
        <v>193.79</v>
      </c>
      <c r="J978" s="35">
        <v>193.79</v>
      </c>
      <c r="K978" s="35"/>
      <c r="L978" s="34">
        <v>46088</v>
      </c>
      <c r="M978" s="16"/>
      <c r="N978" s="34"/>
      <c r="O978" s="16"/>
      <c r="P978" s="34"/>
      <c r="Q978" s="46">
        <f t="shared" si="31"/>
        <v>193.79</v>
      </c>
      <c r="R978" s="47">
        <f t="shared" si="32"/>
        <v>0</v>
      </c>
      <c r="S978" s="48"/>
    </row>
    <row r="979" s="1" customFormat="1" customHeight="1" spans="1:19">
      <c r="A979" s="14">
        <v>1095</v>
      </c>
      <c r="B979" s="20">
        <v>46082</v>
      </c>
      <c r="C979" s="16"/>
      <c r="D979" s="17" t="s">
        <v>1909</v>
      </c>
      <c r="E979" s="18" t="s">
        <v>1910</v>
      </c>
      <c r="F979" s="26" t="s">
        <v>96</v>
      </c>
      <c r="G979" s="19" t="s">
        <v>1734</v>
      </c>
      <c r="H979" s="16" t="s">
        <v>1735</v>
      </c>
      <c r="I979" s="33">
        <v>373.15</v>
      </c>
      <c r="J979" s="35">
        <v>373.15</v>
      </c>
      <c r="K979" s="35"/>
      <c r="L979" s="34">
        <v>46088</v>
      </c>
      <c r="M979" s="16"/>
      <c r="N979" s="34"/>
      <c r="O979" s="35"/>
      <c r="P979" s="34"/>
      <c r="Q979" s="46">
        <f t="shared" si="31"/>
        <v>373.15</v>
      </c>
      <c r="R979" s="47">
        <f t="shared" si="32"/>
        <v>0</v>
      </c>
      <c r="S979" s="48"/>
    </row>
    <row r="980" s="1" customFormat="1" customHeight="1" spans="1:19">
      <c r="A980" s="14">
        <v>1096</v>
      </c>
      <c r="B980" s="20">
        <v>46082</v>
      </c>
      <c r="C980" s="16"/>
      <c r="D980" s="17" t="s">
        <v>1944</v>
      </c>
      <c r="E980" s="18" t="s">
        <v>1945</v>
      </c>
      <c r="F980" s="26" t="s">
        <v>96</v>
      </c>
      <c r="G980" s="19" t="s">
        <v>1734</v>
      </c>
      <c r="H980" s="16" t="s">
        <v>1735</v>
      </c>
      <c r="I980" s="33">
        <v>24.7392</v>
      </c>
      <c r="J980" s="35"/>
      <c r="K980" s="35"/>
      <c r="L980" s="34"/>
      <c r="M980" s="16"/>
      <c r="N980" s="34"/>
      <c r="O980" s="35"/>
      <c r="P980" s="34"/>
      <c r="Q980" s="46">
        <f t="shared" si="31"/>
        <v>0</v>
      </c>
      <c r="R980" s="47">
        <f t="shared" si="32"/>
        <v>24.7392</v>
      </c>
      <c r="S980" s="48"/>
    </row>
    <row r="981" s="1" customFormat="1" customHeight="1" spans="1:19">
      <c r="A981" s="14">
        <v>1097</v>
      </c>
      <c r="B981" s="20">
        <v>46082</v>
      </c>
      <c r="C981" s="16"/>
      <c r="D981" s="17"/>
      <c r="E981" s="18" t="s">
        <v>1946</v>
      </c>
      <c r="F981" s="26" t="s">
        <v>96</v>
      </c>
      <c r="G981" s="19" t="s">
        <v>1734</v>
      </c>
      <c r="H981" s="16" t="s">
        <v>1735</v>
      </c>
      <c r="I981" s="33">
        <v>26.8008</v>
      </c>
      <c r="J981" s="35"/>
      <c r="K981" s="35"/>
      <c r="L981" s="34"/>
      <c r="M981" s="16"/>
      <c r="N981" s="34"/>
      <c r="O981" s="35"/>
      <c r="P981" s="34"/>
      <c r="Q981" s="46">
        <f t="shared" ref="Q981:Q1044" si="33">J981+M981+O981</f>
        <v>0</v>
      </c>
      <c r="R981" s="47">
        <f t="shared" si="32"/>
        <v>26.8008</v>
      </c>
      <c r="S981" s="48"/>
    </row>
    <row r="982" s="1" customFormat="1" customHeight="1" spans="1:19">
      <c r="A982" s="14">
        <v>1098</v>
      </c>
      <c r="B982" s="20">
        <v>46082</v>
      </c>
      <c r="C982" s="16" t="s">
        <v>909</v>
      </c>
      <c r="D982" s="17" t="s">
        <v>1003</v>
      </c>
      <c r="E982" s="18" t="s">
        <v>1005</v>
      </c>
      <c r="F982" s="26" t="s">
        <v>1569</v>
      </c>
      <c r="G982" s="19" t="s">
        <v>1734</v>
      </c>
      <c r="H982" s="16" t="s">
        <v>1735</v>
      </c>
      <c r="I982" s="33">
        <v>9.16</v>
      </c>
      <c r="J982" s="35">
        <v>9.16</v>
      </c>
      <c r="K982" s="35"/>
      <c r="L982" s="34">
        <v>46097</v>
      </c>
      <c r="M982" s="16"/>
      <c r="N982" s="34"/>
      <c r="O982" s="35"/>
      <c r="P982" s="34"/>
      <c r="Q982" s="46">
        <f t="shared" si="33"/>
        <v>9.16</v>
      </c>
      <c r="R982" s="47">
        <f t="shared" si="32"/>
        <v>0</v>
      </c>
      <c r="S982" s="48"/>
    </row>
    <row r="983" s="1" customFormat="1" customHeight="1" spans="1:19">
      <c r="A983" s="14">
        <v>1099</v>
      </c>
      <c r="B983" s="20">
        <v>46113</v>
      </c>
      <c r="C983" s="16" t="s">
        <v>16</v>
      </c>
      <c r="D983" s="71">
        <v>1008</v>
      </c>
      <c r="E983" s="18" t="s">
        <v>114</v>
      </c>
      <c r="F983" s="26" t="s">
        <v>1176</v>
      </c>
      <c r="G983" s="19" t="s">
        <v>1734</v>
      </c>
      <c r="H983" s="16" t="s">
        <v>1735</v>
      </c>
      <c r="I983" s="33">
        <v>18176.04</v>
      </c>
      <c r="J983" s="35">
        <v>18176.04</v>
      </c>
      <c r="K983" s="35"/>
      <c r="L983" s="34">
        <v>46128</v>
      </c>
      <c r="M983" s="16"/>
      <c r="N983" s="34"/>
      <c r="O983" s="16"/>
      <c r="P983" s="34"/>
      <c r="Q983" s="46">
        <f t="shared" si="33"/>
        <v>18176.04</v>
      </c>
      <c r="R983" s="47">
        <f t="shared" si="32"/>
        <v>0</v>
      </c>
      <c r="S983" s="48"/>
    </row>
    <row r="984" s="1" customFormat="1" customHeight="1" spans="1:19">
      <c r="A984" s="14">
        <v>1100</v>
      </c>
      <c r="B984" s="20">
        <v>46113</v>
      </c>
      <c r="C984" s="16"/>
      <c r="D984" s="71" t="s">
        <v>1767</v>
      </c>
      <c r="E984" s="18" t="s">
        <v>1768</v>
      </c>
      <c r="F984" s="26" t="s">
        <v>1176</v>
      </c>
      <c r="G984" s="19" t="s">
        <v>1734</v>
      </c>
      <c r="H984" s="16" t="s">
        <v>1735</v>
      </c>
      <c r="I984" s="33">
        <v>15716.99</v>
      </c>
      <c r="J984" s="35">
        <v>15716.99</v>
      </c>
      <c r="K984" s="35"/>
      <c r="L984" s="34">
        <v>46128</v>
      </c>
      <c r="M984" s="16"/>
      <c r="N984" s="34"/>
      <c r="O984" s="16"/>
      <c r="P984" s="34"/>
      <c r="Q984" s="46">
        <f t="shared" si="33"/>
        <v>15716.99</v>
      </c>
      <c r="R984" s="47">
        <f t="shared" si="32"/>
        <v>0</v>
      </c>
      <c r="S984" s="48"/>
    </row>
    <row r="985" s="1" customFormat="1" customHeight="1" spans="1:19">
      <c r="A985" s="14">
        <v>1101</v>
      </c>
      <c r="B985" s="20">
        <v>46113</v>
      </c>
      <c r="C985" s="16"/>
      <c r="D985" s="71">
        <v>5016</v>
      </c>
      <c r="E985" s="18" t="s">
        <v>765</v>
      </c>
      <c r="F985" s="26" t="s">
        <v>1176</v>
      </c>
      <c r="G985" s="19" t="s">
        <v>1734</v>
      </c>
      <c r="H985" s="16" t="s">
        <v>1735</v>
      </c>
      <c r="I985" s="33">
        <v>968.84</v>
      </c>
      <c r="J985" s="35">
        <v>968.84</v>
      </c>
      <c r="K985" s="35"/>
      <c r="L985" s="34">
        <v>46133</v>
      </c>
      <c r="M985" s="16"/>
      <c r="N985" s="34"/>
      <c r="O985" s="16"/>
      <c r="P985" s="34"/>
      <c r="Q985" s="46">
        <f t="shared" si="33"/>
        <v>968.84</v>
      </c>
      <c r="R985" s="47">
        <f t="shared" si="32"/>
        <v>0</v>
      </c>
      <c r="S985" s="48"/>
    </row>
    <row r="986" s="1" customFormat="1" customHeight="1" spans="1:19">
      <c r="A986" s="14">
        <v>1102</v>
      </c>
      <c r="B986" s="20">
        <v>46113</v>
      </c>
      <c r="C986" s="16"/>
      <c r="D986" s="71">
        <v>5016</v>
      </c>
      <c r="E986" s="18" t="s">
        <v>765</v>
      </c>
      <c r="F986" s="26" t="s">
        <v>1176</v>
      </c>
      <c r="G986" s="19" t="s">
        <v>1734</v>
      </c>
      <c r="H986" s="16" t="s">
        <v>1735</v>
      </c>
      <c r="I986" s="33">
        <v>10425.82</v>
      </c>
      <c r="J986" s="35">
        <v>10425.82</v>
      </c>
      <c r="K986" s="35"/>
      <c r="L986" s="34">
        <v>46133</v>
      </c>
      <c r="M986" s="16"/>
      <c r="N986" s="34"/>
      <c r="O986" s="35"/>
      <c r="P986" s="34"/>
      <c r="Q986" s="46">
        <f t="shared" si="33"/>
        <v>10425.82</v>
      </c>
      <c r="R986" s="47">
        <f t="shared" si="32"/>
        <v>0</v>
      </c>
      <c r="S986" s="48"/>
    </row>
    <row r="987" s="1" customFormat="1" customHeight="1" spans="1:19">
      <c r="A987" s="14">
        <v>1103</v>
      </c>
      <c r="B987" s="20">
        <v>46113</v>
      </c>
      <c r="C987" s="16"/>
      <c r="D987" s="71" t="s">
        <v>1925</v>
      </c>
      <c r="E987" s="18" t="s">
        <v>1926</v>
      </c>
      <c r="F987" s="26" t="s">
        <v>1176</v>
      </c>
      <c r="G987" s="19" t="s">
        <v>1734</v>
      </c>
      <c r="H987" s="16" t="s">
        <v>1735</v>
      </c>
      <c r="I987" s="33">
        <v>7691</v>
      </c>
      <c r="J987" s="35">
        <v>7691</v>
      </c>
      <c r="K987" s="35"/>
      <c r="L987" s="34">
        <v>46137</v>
      </c>
      <c r="M987" s="16"/>
      <c r="N987" s="34"/>
      <c r="O987" s="35"/>
      <c r="P987" s="34"/>
      <c r="Q987" s="46">
        <f t="shared" si="33"/>
        <v>7691</v>
      </c>
      <c r="R987" s="47">
        <f t="shared" si="32"/>
        <v>0</v>
      </c>
      <c r="S987" s="48"/>
    </row>
    <row r="988" s="1" customFormat="1" customHeight="1" spans="1:19">
      <c r="A988" s="14">
        <v>1104</v>
      </c>
      <c r="B988" s="20">
        <v>46113</v>
      </c>
      <c r="C988" s="16"/>
      <c r="D988" s="71" t="s">
        <v>1925</v>
      </c>
      <c r="E988" s="18" t="s">
        <v>1926</v>
      </c>
      <c r="F988" s="26" t="s">
        <v>1176</v>
      </c>
      <c r="G988" s="19" t="s">
        <v>1734</v>
      </c>
      <c r="H988" s="16" t="s">
        <v>1735</v>
      </c>
      <c r="I988" s="33">
        <v>4003</v>
      </c>
      <c r="J988" s="35">
        <v>4003</v>
      </c>
      <c r="K988" s="35"/>
      <c r="L988" s="34">
        <v>46137</v>
      </c>
      <c r="M988" s="16"/>
      <c r="N988" s="34"/>
      <c r="O988" s="35"/>
      <c r="P988" s="34"/>
      <c r="Q988" s="46">
        <f t="shared" si="33"/>
        <v>4003</v>
      </c>
      <c r="R988" s="47">
        <f t="shared" si="32"/>
        <v>0</v>
      </c>
      <c r="S988" s="48"/>
    </row>
    <row r="989" s="1" customFormat="1" customHeight="1" spans="1:19">
      <c r="A989" s="14">
        <v>1105</v>
      </c>
      <c r="B989" s="20">
        <v>46113</v>
      </c>
      <c r="C989" s="16"/>
      <c r="D989" s="71" t="s">
        <v>1925</v>
      </c>
      <c r="E989" s="18" t="s">
        <v>1926</v>
      </c>
      <c r="F989" s="26" t="s">
        <v>1176</v>
      </c>
      <c r="G989" s="19" t="s">
        <v>1734</v>
      </c>
      <c r="H989" s="16" t="s">
        <v>1735</v>
      </c>
      <c r="I989" s="33">
        <v>2434</v>
      </c>
      <c r="J989" s="35">
        <v>2434</v>
      </c>
      <c r="K989" s="35"/>
      <c r="L989" s="34">
        <v>46137</v>
      </c>
      <c r="M989" s="16"/>
      <c r="N989" s="34"/>
      <c r="O989" s="35"/>
      <c r="P989" s="34"/>
      <c r="Q989" s="46">
        <f t="shared" si="33"/>
        <v>2434</v>
      </c>
      <c r="R989" s="47">
        <f t="shared" si="32"/>
        <v>0</v>
      </c>
      <c r="S989" s="48"/>
    </row>
    <row r="990" s="1" customFormat="1" customHeight="1" spans="1:19">
      <c r="A990" s="14">
        <v>1106</v>
      </c>
      <c r="B990" s="20">
        <v>46113</v>
      </c>
      <c r="C990" s="16"/>
      <c r="D990" s="71" t="s">
        <v>1925</v>
      </c>
      <c r="E990" s="18" t="s">
        <v>1926</v>
      </c>
      <c r="F990" s="26" t="s">
        <v>1176</v>
      </c>
      <c r="G990" s="19" t="s">
        <v>1734</v>
      </c>
      <c r="H990" s="16" t="s">
        <v>1735</v>
      </c>
      <c r="I990" s="33">
        <v>3.94000000000005</v>
      </c>
      <c r="J990" s="35">
        <v>3.94000000000005</v>
      </c>
      <c r="K990" s="35"/>
      <c r="L990" s="34">
        <v>46137</v>
      </c>
      <c r="M990" s="16"/>
      <c r="N990" s="34"/>
      <c r="O990" s="16"/>
      <c r="P990" s="34"/>
      <c r="Q990" s="46">
        <f t="shared" si="33"/>
        <v>3.94000000000005</v>
      </c>
      <c r="R990" s="47">
        <f t="shared" si="32"/>
        <v>0</v>
      </c>
      <c r="S990" s="48"/>
    </row>
    <row r="991" s="1" customFormat="1" customHeight="1" spans="1:19">
      <c r="A991" s="14">
        <v>1107</v>
      </c>
      <c r="B991" s="20">
        <v>46113</v>
      </c>
      <c r="C991" s="16"/>
      <c r="D991" s="71" t="s">
        <v>1925</v>
      </c>
      <c r="E991" s="18" t="s">
        <v>1926</v>
      </c>
      <c r="F991" s="26" t="s">
        <v>1176</v>
      </c>
      <c r="G991" s="19" t="s">
        <v>1734</v>
      </c>
      <c r="H991" s="16" t="s">
        <v>1735</v>
      </c>
      <c r="I991" s="33">
        <v>8.65999999999985</v>
      </c>
      <c r="J991" s="35">
        <v>8.65999999999985</v>
      </c>
      <c r="K991" s="35"/>
      <c r="L991" s="34">
        <v>46137</v>
      </c>
      <c r="M991" s="16"/>
      <c r="N991" s="34"/>
      <c r="O991" s="16"/>
      <c r="P991" s="34"/>
      <c r="Q991" s="46">
        <f t="shared" si="33"/>
        <v>8.65999999999985</v>
      </c>
      <c r="R991" s="47">
        <f t="shared" si="32"/>
        <v>0</v>
      </c>
      <c r="S991" s="48"/>
    </row>
    <row r="992" s="1" customFormat="1" customHeight="1" spans="1:19">
      <c r="A992" s="14">
        <v>1108</v>
      </c>
      <c r="B992" s="20">
        <v>46113</v>
      </c>
      <c r="C992" s="16"/>
      <c r="D992" s="71" t="s">
        <v>1925</v>
      </c>
      <c r="E992" s="18" t="s">
        <v>1926</v>
      </c>
      <c r="F992" s="26" t="s">
        <v>1176</v>
      </c>
      <c r="G992" s="19" t="s">
        <v>1734</v>
      </c>
      <c r="H992" s="16" t="s">
        <v>1735</v>
      </c>
      <c r="I992" s="33">
        <v>9587</v>
      </c>
      <c r="J992" s="35">
        <v>9587</v>
      </c>
      <c r="K992" s="35"/>
      <c r="L992" s="34">
        <v>46137</v>
      </c>
      <c r="M992" s="16"/>
      <c r="N992" s="34"/>
      <c r="O992" s="16"/>
      <c r="P992" s="34"/>
      <c r="Q992" s="46">
        <f t="shared" si="33"/>
        <v>9587</v>
      </c>
      <c r="R992" s="47">
        <f t="shared" si="32"/>
        <v>0</v>
      </c>
      <c r="S992" s="48"/>
    </row>
    <row r="993" s="1" customFormat="1" customHeight="1" spans="1:19">
      <c r="A993" s="14">
        <v>1109</v>
      </c>
      <c r="B993" s="20">
        <v>46113</v>
      </c>
      <c r="C993" s="16"/>
      <c r="D993" s="71" t="s">
        <v>1925</v>
      </c>
      <c r="E993" s="18" t="s">
        <v>1926</v>
      </c>
      <c r="F993" s="26" t="s">
        <v>1176</v>
      </c>
      <c r="G993" s="19" t="s">
        <v>1734</v>
      </c>
      <c r="H993" s="16" t="s">
        <v>1735</v>
      </c>
      <c r="I993" s="33">
        <v>36.7299999999996</v>
      </c>
      <c r="J993" s="35">
        <v>36.7299999999996</v>
      </c>
      <c r="K993" s="35"/>
      <c r="L993" s="34">
        <v>46137</v>
      </c>
      <c r="M993" s="16"/>
      <c r="N993" s="34"/>
      <c r="O993" s="35"/>
      <c r="P993" s="34"/>
      <c r="Q993" s="46">
        <f t="shared" si="33"/>
        <v>36.7299999999996</v>
      </c>
      <c r="R993" s="47">
        <f t="shared" si="32"/>
        <v>0</v>
      </c>
      <c r="S993" s="48"/>
    </row>
    <row r="994" s="1" customFormat="1" customHeight="1" spans="1:19">
      <c r="A994" s="14">
        <v>1113</v>
      </c>
      <c r="B994" s="20">
        <v>46113</v>
      </c>
      <c r="C994" s="16"/>
      <c r="D994" s="71" t="s">
        <v>1689</v>
      </c>
      <c r="E994" s="18" t="s">
        <v>1940</v>
      </c>
      <c r="F994" s="26" t="s">
        <v>1176</v>
      </c>
      <c r="G994" s="19" t="s">
        <v>1734</v>
      </c>
      <c r="H994" s="16" t="s">
        <v>1735</v>
      </c>
      <c r="I994" s="33">
        <v>825.82</v>
      </c>
      <c r="J994" s="35">
        <v>825.82</v>
      </c>
      <c r="K994" s="35"/>
      <c r="L994" s="34">
        <v>46208</v>
      </c>
      <c r="M994" s="16"/>
      <c r="N994" s="34"/>
      <c r="O994" s="16"/>
      <c r="P994" s="34"/>
      <c r="Q994" s="46">
        <f t="shared" si="33"/>
        <v>825.82</v>
      </c>
      <c r="R994" s="47">
        <f t="shared" si="32"/>
        <v>0</v>
      </c>
      <c r="S994" s="48"/>
    </row>
    <row r="995" s="1" customFormat="1" customHeight="1" spans="1:19">
      <c r="A995" s="14">
        <v>1114</v>
      </c>
      <c r="B995" s="20">
        <v>46113</v>
      </c>
      <c r="C995" s="16"/>
      <c r="D995" s="71" t="s">
        <v>1772</v>
      </c>
      <c r="E995" s="18" t="s">
        <v>1927</v>
      </c>
      <c r="F995" s="26" t="s">
        <v>1176</v>
      </c>
      <c r="G995" s="19" t="s">
        <v>1734</v>
      </c>
      <c r="H995" s="16" t="s">
        <v>1735</v>
      </c>
      <c r="I995" s="33">
        <v>261.12</v>
      </c>
      <c r="J995" s="35">
        <v>260.92</v>
      </c>
      <c r="K995" s="35"/>
      <c r="L995" s="34">
        <v>46140</v>
      </c>
      <c r="M995" s="16"/>
      <c r="N995" s="34"/>
      <c r="O995" s="35">
        <v>0.2</v>
      </c>
      <c r="P995" s="34">
        <v>46140</v>
      </c>
      <c r="Q995" s="46">
        <f t="shared" si="33"/>
        <v>261.12</v>
      </c>
      <c r="R995" s="47">
        <f t="shared" si="32"/>
        <v>0</v>
      </c>
      <c r="S995" s="48"/>
    </row>
    <row r="996" s="1" customFormat="1" customHeight="1" spans="1:19">
      <c r="A996" s="14">
        <v>1115</v>
      </c>
      <c r="B996" s="20">
        <v>46113</v>
      </c>
      <c r="C996" s="16"/>
      <c r="D996" s="71" t="s">
        <v>1758</v>
      </c>
      <c r="E996" s="18" t="s">
        <v>1953</v>
      </c>
      <c r="F996" s="26" t="s">
        <v>1176</v>
      </c>
      <c r="G996" s="19" t="s">
        <v>1734</v>
      </c>
      <c r="H996" s="16" t="s">
        <v>1735</v>
      </c>
      <c r="I996" s="33">
        <v>54.44</v>
      </c>
      <c r="J996" s="35">
        <v>54.44</v>
      </c>
      <c r="K996" s="35"/>
      <c r="L996" s="34">
        <v>46138</v>
      </c>
      <c r="M996" s="16"/>
      <c r="N996" s="34"/>
      <c r="O996" s="35"/>
      <c r="P996" s="34"/>
      <c r="Q996" s="46">
        <f t="shared" si="33"/>
        <v>54.44</v>
      </c>
      <c r="R996" s="47">
        <f t="shared" si="32"/>
        <v>0</v>
      </c>
      <c r="S996" s="48"/>
    </row>
    <row r="997" s="1" customFormat="1" customHeight="1" spans="1:19">
      <c r="A997" s="14">
        <v>1116</v>
      </c>
      <c r="B997" s="20">
        <v>46113</v>
      </c>
      <c r="C997" s="16" t="s">
        <v>1743</v>
      </c>
      <c r="D997" s="71" t="s">
        <v>1831</v>
      </c>
      <c r="E997" s="18" t="s">
        <v>1832</v>
      </c>
      <c r="F997" s="26" t="s">
        <v>1176</v>
      </c>
      <c r="G997" s="19" t="s">
        <v>1734</v>
      </c>
      <c r="H997" s="16" t="s">
        <v>1735</v>
      </c>
      <c r="I997" s="33">
        <v>146.71</v>
      </c>
      <c r="J997" s="35">
        <v>146.71</v>
      </c>
      <c r="K997" s="35"/>
      <c r="L997" s="34">
        <v>46131</v>
      </c>
      <c r="M997" s="16"/>
      <c r="N997" s="34"/>
      <c r="O997" s="35"/>
      <c r="P997" s="34"/>
      <c r="Q997" s="46">
        <f t="shared" si="33"/>
        <v>146.71</v>
      </c>
      <c r="R997" s="47">
        <f t="shared" si="32"/>
        <v>0</v>
      </c>
      <c r="S997" s="48"/>
    </row>
    <row r="998" s="1" customFormat="1" customHeight="1" spans="1:19">
      <c r="A998" s="14">
        <v>1117</v>
      </c>
      <c r="B998" s="20">
        <v>46113</v>
      </c>
      <c r="C998" s="16"/>
      <c r="D998" s="71" t="s">
        <v>1797</v>
      </c>
      <c r="E998" s="18" t="s">
        <v>1798</v>
      </c>
      <c r="F998" s="26" t="s">
        <v>1176</v>
      </c>
      <c r="G998" s="19" t="s">
        <v>1734</v>
      </c>
      <c r="H998" s="16" t="s">
        <v>1735</v>
      </c>
      <c r="I998" s="33">
        <v>88.58</v>
      </c>
      <c r="J998" s="35"/>
      <c r="K998" s="35"/>
      <c r="L998" s="34"/>
      <c r="M998" s="16"/>
      <c r="N998" s="34"/>
      <c r="O998" s="35">
        <v>88.58</v>
      </c>
      <c r="P998" s="34"/>
      <c r="Q998" s="46">
        <f t="shared" si="33"/>
        <v>88.58</v>
      </c>
      <c r="R998" s="47">
        <f t="shared" si="32"/>
        <v>0</v>
      </c>
      <c r="S998" s="48" t="s">
        <v>1799</v>
      </c>
    </row>
    <row r="999" s="1" customFormat="1" customHeight="1" spans="1:19">
      <c r="A999" s="14"/>
      <c r="B999" s="20">
        <v>46113</v>
      </c>
      <c r="C999" s="16" t="s">
        <v>679</v>
      </c>
      <c r="D999" s="71" t="s">
        <v>935</v>
      </c>
      <c r="E999" s="18" t="s">
        <v>936</v>
      </c>
      <c r="F999" s="26" t="s">
        <v>96</v>
      </c>
      <c r="G999" s="19" t="s">
        <v>1734</v>
      </c>
      <c r="H999" s="16" t="s">
        <v>1741</v>
      </c>
      <c r="I999" s="33">
        <v>122</v>
      </c>
      <c r="J999" s="35">
        <v>122</v>
      </c>
      <c r="K999" s="35"/>
      <c r="L999" s="34">
        <v>46090</v>
      </c>
      <c r="M999" s="16"/>
      <c r="N999" s="34"/>
      <c r="O999" s="35"/>
      <c r="P999" s="34"/>
      <c r="Q999" s="46">
        <f t="shared" si="33"/>
        <v>122</v>
      </c>
      <c r="R999" s="47">
        <f t="shared" si="32"/>
        <v>0</v>
      </c>
      <c r="S999" s="48"/>
    </row>
    <row r="1000" s="1" customFormat="1" customHeight="1" spans="1:19">
      <c r="A1000" s="14">
        <v>1119</v>
      </c>
      <c r="B1000" s="20">
        <v>46113</v>
      </c>
      <c r="C1000" s="16"/>
      <c r="D1000" s="71" t="s">
        <v>935</v>
      </c>
      <c r="E1000" s="18" t="s">
        <v>936</v>
      </c>
      <c r="F1000" s="26" t="s">
        <v>1176</v>
      </c>
      <c r="G1000" s="19" t="s">
        <v>1734</v>
      </c>
      <c r="H1000" s="16" t="s">
        <v>1735</v>
      </c>
      <c r="I1000" s="33">
        <v>1098.93</v>
      </c>
      <c r="J1000" s="35">
        <v>1098.93</v>
      </c>
      <c r="K1000" s="35"/>
      <c r="L1000" s="34">
        <v>46120</v>
      </c>
      <c r="M1000" s="16"/>
      <c r="N1000" s="34"/>
      <c r="O1000" s="16"/>
      <c r="P1000" s="34"/>
      <c r="Q1000" s="46">
        <f t="shared" si="33"/>
        <v>1098.93</v>
      </c>
      <c r="R1000" s="47">
        <f t="shared" si="32"/>
        <v>0</v>
      </c>
      <c r="S1000" s="48"/>
    </row>
    <row r="1001" s="1" customFormat="1" customHeight="1" spans="1:19">
      <c r="A1001" s="14">
        <v>1120</v>
      </c>
      <c r="B1001" s="20">
        <v>46113</v>
      </c>
      <c r="C1001" s="16"/>
      <c r="D1001" s="71" t="s">
        <v>943</v>
      </c>
      <c r="E1001" s="18" t="s">
        <v>1836</v>
      </c>
      <c r="F1001" s="26" t="s">
        <v>1176</v>
      </c>
      <c r="G1001" s="19" t="s">
        <v>1734</v>
      </c>
      <c r="H1001" s="16" t="s">
        <v>1735</v>
      </c>
      <c r="I1001" s="33">
        <v>1054.65</v>
      </c>
      <c r="J1001" s="35">
        <v>1054.65</v>
      </c>
      <c r="K1001" s="35"/>
      <c r="L1001" s="34">
        <v>46155</v>
      </c>
      <c r="M1001" s="16"/>
      <c r="N1001" s="34"/>
      <c r="O1001" s="16"/>
      <c r="P1001" s="34"/>
      <c r="Q1001" s="46">
        <f t="shared" si="33"/>
        <v>1054.65</v>
      </c>
      <c r="R1001" s="47">
        <f t="shared" si="32"/>
        <v>0</v>
      </c>
      <c r="S1001" s="48"/>
    </row>
    <row r="1002" s="1" customFormat="1" customHeight="1" spans="1:19">
      <c r="A1002" s="14">
        <v>1121</v>
      </c>
      <c r="B1002" s="20">
        <v>46113</v>
      </c>
      <c r="C1002" s="16"/>
      <c r="D1002" s="71" t="s">
        <v>1861</v>
      </c>
      <c r="E1002" s="18" t="s">
        <v>933</v>
      </c>
      <c r="F1002" s="26" t="s">
        <v>1176</v>
      </c>
      <c r="G1002" s="19" t="s">
        <v>1734</v>
      </c>
      <c r="H1002" s="16" t="s">
        <v>1735</v>
      </c>
      <c r="I1002" s="33">
        <v>195.61</v>
      </c>
      <c r="J1002" s="35">
        <v>195.61</v>
      </c>
      <c r="K1002" s="35"/>
      <c r="L1002" s="34">
        <v>46133</v>
      </c>
      <c r="M1002" s="16"/>
      <c r="N1002" s="34"/>
      <c r="O1002" s="16"/>
      <c r="P1002" s="34"/>
      <c r="Q1002" s="46">
        <f t="shared" si="33"/>
        <v>195.61</v>
      </c>
      <c r="R1002" s="47">
        <f t="shared" si="32"/>
        <v>0</v>
      </c>
      <c r="S1002" s="48"/>
    </row>
    <row r="1003" s="1" customFormat="1" customHeight="1" spans="1:19">
      <c r="A1003" s="14">
        <v>1122</v>
      </c>
      <c r="B1003" s="20">
        <v>46113</v>
      </c>
      <c r="C1003" s="16"/>
      <c r="D1003" s="71" t="s">
        <v>976</v>
      </c>
      <c r="E1003" s="18" t="s">
        <v>978</v>
      </c>
      <c r="F1003" s="26" t="s">
        <v>1176</v>
      </c>
      <c r="G1003" s="19" t="s">
        <v>1734</v>
      </c>
      <c r="H1003" s="16" t="s">
        <v>1735</v>
      </c>
      <c r="I1003" s="33">
        <v>26.76</v>
      </c>
      <c r="J1003" s="35">
        <v>26.76</v>
      </c>
      <c r="K1003" s="35"/>
      <c r="L1003" s="34">
        <v>46134</v>
      </c>
      <c r="M1003" s="16"/>
      <c r="N1003" s="34"/>
      <c r="O1003" s="35"/>
      <c r="P1003" s="34"/>
      <c r="Q1003" s="46">
        <f t="shared" si="33"/>
        <v>26.76</v>
      </c>
      <c r="R1003" s="47">
        <f t="shared" si="32"/>
        <v>0</v>
      </c>
      <c r="S1003" s="48"/>
    </row>
    <row r="1004" s="1" customFormat="1" customHeight="1" spans="1:19">
      <c r="A1004" s="14">
        <v>1123</v>
      </c>
      <c r="B1004" s="20">
        <v>46113</v>
      </c>
      <c r="C1004" s="16" t="s">
        <v>1044</v>
      </c>
      <c r="D1004" s="71" t="s">
        <v>1803</v>
      </c>
      <c r="E1004" s="18" t="s">
        <v>982</v>
      </c>
      <c r="F1004" s="26" t="s">
        <v>1176</v>
      </c>
      <c r="G1004" s="19" t="s">
        <v>1734</v>
      </c>
      <c r="H1004" s="16" t="s">
        <v>1735</v>
      </c>
      <c r="I1004" s="33">
        <v>64.59</v>
      </c>
      <c r="J1004" s="35">
        <v>64.59</v>
      </c>
      <c r="K1004" s="35"/>
      <c r="L1004" s="34">
        <v>46120</v>
      </c>
      <c r="M1004" s="16"/>
      <c r="N1004" s="34"/>
      <c r="O1004" s="35"/>
      <c r="P1004" s="34"/>
      <c r="Q1004" s="46">
        <f t="shared" si="33"/>
        <v>64.59</v>
      </c>
      <c r="R1004" s="47">
        <f t="shared" si="32"/>
        <v>0</v>
      </c>
      <c r="S1004" s="48"/>
    </row>
    <row r="1005" s="1" customFormat="1" customHeight="1" spans="1:19">
      <c r="A1005" s="14">
        <v>1124</v>
      </c>
      <c r="B1005" s="20">
        <v>46113</v>
      </c>
      <c r="C1005" s="16"/>
      <c r="D1005" s="71" t="s">
        <v>1805</v>
      </c>
      <c r="E1005" s="18" t="s">
        <v>985</v>
      </c>
      <c r="F1005" s="26" t="s">
        <v>1176</v>
      </c>
      <c r="G1005" s="19" t="s">
        <v>1734</v>
      </c>
      <c r="H1005" s="16" t="s">
        <v>1735</v>
      </c>
      <c r="I1005" s="33">
        <v>120.87</v>
      </c>
      <c r="J1005" s="35">
        <v>120.87</v>
      </c>
      <c r="K1005" s="35"/>
      <c r="L1005" s="34">
        <v>46120</v>
      </c>
      <c r="M1005" s="16"/>
      <c r="N1005" s="34"/>
      <c r="O1005" s="35"/>
      <c r="P1005" s="34"/>
      <c r="Q1005" s="46">
        <f t="shared" si="33"/>
        <v>120.87</v>
      </c>
      <c r="R1005" s="47">
        <f t="shared" si="32"/>
        <v>0</v>
      </c>
      <c r="S1005" s="48"/>
    </row>
    <row r="1006" s="1" customFormat="1" customHeight="1" spans="1:19">
      <c r="A1006" s="14">
        <v>1125</v>
      </c>
      <c r="B1006" s="20">
        <v>46113</v>
      </c>
      <c r="C1006" s="16"/>
      <c r="D1006" s="71" t="s">
        <v>1816</v>
      </c>
      <c r="E1006" s="18" t="s">
        <v>978</v>
      </c>
      <c r="F1006" s="26" t="s">
        <v>1176</v>
      </c>
      <c r="G1006" s="19" t="s">
        <v>1734</v>
      </c>
      <c r="H1006" s="16" t="s">
        <v>1735</v>
      </c>
      <c r="I1006" s="33">
        <v>73.82</v>
      </c>
      <c r="J1006" s="35">
        <v>73.82</v>
      </c>
      <c r="K1006" s="35">
        <v>0.42</v>
      </c>
      <c r="L1006" s="34">
        <v>46134</v>
      </c>
      <c r="M1006" s="16"/>
      <c r="N1006" s="34"/>
      <c r="O1006" s="35"/>
      <c r="P1006" s="34"/>
      <c r="Q1006" s="46">
        <f t="shared" si="33"/>
        <v>73.82</v>
      </c>
      <c r="R1006" s="47">
        <f t="shared" si="32"/>
        <v>0</v>
      </c>
      <c r="S1006" s="48"/>
    </row>
    <row r="1007" s="1" customFormat="1" customHeight="1" spans="1:19">
      <c r="A1007" s="14">
        <v>1126</v>
      </c>
      <c r="B1007" s="20">
        <v>46113</v>
      </c>
      <c r="C1007" s="16"/>
      <c r="D1007" s="71" t="s">
        <v>873</v>
      </c>
      <c r="E1007" s="18" t="s">
        <v>875</v>
      </c>
      <c r="F1007" s="26" t="s">
        <v>1176</v>
      </c>
      <c r="G1007" s="19" t="s">
        <v>1734</v>
      </c>
      <c r="H1007" s="16" t="s">
        <v>1735</v>
      </c>
      <c r="I1007" s="33">
        <v>712.32</v>
      </c>
      <c r="J1007" s="35">
        <v>712.32</v>
      </c>
      <c r="K1007" s="35"/>
      <c r="L1007" s="34">
        <v>46123</v>
      </c>
      <c r="M1007" s="16"/>
      <c r="N1007" s="34"/>
      <c r="O1007" s="16"/>
      <c r="P1007" s="34"/>
      <c r="Q1007" s="46">
        <f t="shared" si="33"/>
        <v>712.32</v>
      </c>
      <c r="R1007" s="47">
        <f t="shared" si="32"/>
        <v>0</v>
      </c>
      <c r="S1007" s="48"/>
    </row>
    <row r="1008" s="1" customFormat="1" customHeight="1" spans="1:19">
      <c r="A1008" s="14">
        <v>1128</v>
      </c>
      <c r="B1008" s="20">
        <v>46113</v>
      </c>
      <c r="C1008" s="16" t="s">
        <v>1044</v>
      </c>
      <c r="D1008" s="71" t="s">
        <v>890</v>
      </c>
      <c r="E1008" s="18" t="s">
        <v>892</v>
      </c>
      <c r="F1008" s="26" t="s">
        <v>1176</v>
      </c>
      <c r="G1008" s="19" t="s">
        <v>1734</v>
      </c>
      <c r="H1008" s="16" t="s">
        <v>1735</v>
      </c>
      <c r="I1008" s="33">
        <v>651.43</v>
      </c>
      <c r="J1008" s="35">
        <v>651.43</v>
      </c>
      <c r="K1008" s="35"/>
      <c r="L1008" s="34">
        <v>46122</v>
      </c>
      <c r="M1008" s="16"/>
      <c r="N1008" s="34"/>
      <c r="O1008" s="16"/>
      <c r="P1008" s="34"/>
      <c r="Q1008" s="46">
        <f t="shared" si="33"/>
        <v>651.43</v>
      </c>
      <c r="R1008" s="47">
        <f t="shared" si="32"/>
        <v>0</v>
      </c>
      <c r="S1008" s="48"/>
    </row>
    <row r="1009" s="1" customFormat="1" customHeight="1" spans="1:19">
      <c r="A1009" s="14">
        <v>1129</v>
      </c>
      <c r="B1009" s="20">
        <v>46113</v>
      </c>
      <c r="C1009" s="16"/>
      <c r="D1009" s="71" t="s">
        <v>1847</v>
      </c>
      <c r="E1009" s="18" t="s">
        <v>1848</v>
      </c>
      <c r="F1009" s="26" t="s">
        <v>1176</v>
      </c>
      <c r="G1009" s="19" t="s">
        <v>1734</v>
      </c>
      <c r="H1009" s="16" t="s">
        <v>1735</v>
      </c>
      <c r="I1009" s="33">
        <v>2066.85</v>
      </c>
      <c r="J1009" s="35">
        <v>2066.85</v>
      </c>
      <c r="K1009" s="35"/>
      <c r="L1009" s="34">
        <v>46122</v>
      </c>
      <c r="M1009" s="16"/>
      <c r="N1009" s="34"/>
      <c r="O1009" s="35"/>
      <c r="P1009" s="34"/>
      <c r="Q1009" s="46">
        <f t="shared" si="33"/>
        <v>2066.85</v>
      </c>
      <c r="R1009" s="47">
        <f t="shared" si="32"/>
        <v>0</v>
      </c>
      <c r="S1009" s="48"/>
    </row>
    <row r="1010" s="1" customFormat="1" customHeight="1" spans="1:19">
      <c r="A1010" s="14">
        <v>1130</v>
      </c>
      <c r="B1010" s="20">
        <v>46113</v>
      </c>
      <c r="C1010" s="16" t="s">
        <v>1127</v>
      </c>
      <c r="D1010" s="71" t="s">
        <v>835</v>
      </c>
      <c r="E1010" s="18" t="s">
        <v>836</v>
      </c>
      <c r="F1010" s="26" t="s">
        <v>1176</v>
      </c>
      <c r="G1010" s="19" t="s">
        <v>1734</v>
      </c>
      <c r="H1010" s="16" t="s">
        <v>1735</v>
      </c>
      <c r="I1010" s="33">
        <v>304.49</v>
      </c>
      <c r="J1010" s="35">
        <v>304.49</v>
      </c>
      <c r="K1010" s="35"/>
      <c r="L1010" s="34">
        <v>46182</v>
      </c>
      <c r="M1010" s="16"/>
      <c r="N1010" s="34"/>
      <c r="O1010" s="35"/>
      <c r="P1010" s="34"/>
      <c r="Q1010" s="46">
        <f t="shared" si="33"/>
        <v>304.49</v>
      </c>
      <c r="R1010" s="47">
        <f t="shared" si="32"/>
        <v>0</v>
      </c>
      <c r="S1010" s="48"/>
    </row>
    <row r="1011" s="1" customFormat="1" customHeight="1" spans="1:19">
      <c r="A1011" s="14">
        <v>1131</v>
      </c>
      <c r="B1011" s="20">
        <v>46113</v>
      </c>
      <c r="C1011" s="16"/>
      <c r="D1011" s="71" t="s">
        <v>1870</v>
      </c>
      <c r="E1011" s="18" t="s">
        <v>840</v>
      </c>
      <c r="F1011" s="26" t="s">
        <v>1176</v>
      </c>
      <c r="G1011" s="19" t="s">
        <v>1734</v>
      </c>
      <c r="H1011" s="16" t="s">
        <v>1735</v>
      </c>
      <c r="I1011" s="33">
        <v>1.85</v>
      </c>
      <c r="J1011" s="35">
        <v>1.85</v>
      </c>
      <c r="K1011" s="35"/>
      <c r="L1011" s="34">
        <v>46120</v>
      </c>
      <c r="M1011" s="16"/>
      <c r="N1011" s="34"/>
      <c r="O1011" s="35"/>
      <c r="P1011" s="34"/>
      <c r="Q1011" s="46">
        <f t="shared" si="33"/>
        <v>1.85</v>
      </c>
      <c r="R1011" s="47">
        <f t="shared" si="32"/>
        <v>0</v>
      </c>
      <c r="S1011" s="48"/>
    </row>
    <row r="1012" s="1" customFormat="1" customHeight="1" spans="1:19">
      <c r="A1012" s="14">
        <v>1132</v>
      </c>
      <c r="B1012" s="20">
        <v>46113</v>
      </c>
      <c r="C1012" s="16"/>
      <c r="D1012" s="71" t="s">
        <v>842</v>
      </c>
      <c r="E1012" s="18" t="s">
        <v>844</v>
      </c>
      <c r="F1012" s="26" t="s">
        <v>1176</v>
      </c>
      <c r="G1012" s="19" t="s">
        <v>1734</v>
      </c>
      <c r="H1012" s="16" t="s">
        <v>1735</v>
      </c>
      <c r="I1012" s="33">
        <v>1764.2</v>
      </c>
      <c r="J1012" s="35">
        <v>1764.2</v>
      </c>
      <c r="K1012" s="35"/>
      <c r="L1012" s="34">
        <v>46113</v>
      </c>
      <c r="M1012" s="16"/>
      <c r="N1012" s="34"/>
      <c r="O1012" s="35"/>
      <c r="P1012" s="34"/>
      <c r="Q1012" s="46">
        <f t="shared" si="33"/>
        <v>1764.2</v>
      </c>
      <c r="R1012" s="47">
        <f t="shared" si="32"/>
        <v>0</v>
      </c>
      <c r="S1012" s="48"/>
    </row>
    <row r="1013" s="1" customFormat="1" customHeight="1" spans="1:19">
      <c r="A1013" s="14">
        <v>1133</v>
      </c>
      <c r="B1013" s="20">
        <v>46113</v>
      </c>
      <c r="C1013" s="16"/>
      <c r="D1013" s="71" t="s">
        <v>1877</v>
      </c>
      <c r="E1013" s="18" t="s">
        <v>765</v>
      </c>
      <c r="F1013" s="26" t="s">
        <v>1176</v>
      </c>
      <c r="G1013" s="19" t="s">
        <v>1734</v>
      </c>
      <c r="H1013" s="16" t="s">
        <v>1735</v>
      </c>
      <c r="I1013" s="33">
        <v>187.31</v>
      </c>
      <c r="J1013" s="35">
        <v>187.31</v>
      </c>
      <c r="K1013" s="35"/>
      <c r="L1013" s="34">
        <v>46133</v>
      </c>
      <c r="M1013" s="16"/>
      <c r="N1013" s="34"/>
      <c r="O1013" s="16"/>
      <c r="P1013" s="34"/>
      <c r="Q1013" s="46">
        <f t="shared" si="33"/>
        <v>187.31</v>
      </c>
      <c r="R1013" s="47">
        <f t="shared" si="32"/>
        <v>0</v>
      </c>
      <c r="S1013" s="48"/>
    </row>
    <row r="1014" s="1" customFormat="1" customHeight="1" spans="1:19">
      <c r="A1014" s="14">
        <v>1134</v>
      </c>
      <c r="B1014" s="20">
        <v>46113</v>
      </c>
      <c r="C1014" s="16" t="s">
        <v>16</v>
      </c>
      <c r="D1014" s="71" t="s">
        <v>864</v>
      </c>
      <c r="E1014" s="18" t="s">
        <v>866</v>
      </c>
      <c r="F1014" s="26" t="s">
        <v>1176</v>
      </c>
      <c r="G1014" s="19" t="s">
        <v>1734</v>
      </c>
      <c r="H1014" s="16" t="s">
        <v>1735</v>
      </c>
      <c r="I1014" s="33">
        <v>1403.43</v>
      </c>
      <c r="J1014" s="35">
        <v>1403.43</v>
      </c>
      <c r="K1014" s="35">
        <v>96.57</v>
      </c>
      <c r="L1014" s="34">
        <v>46142</v>
      </c>
      <c r="M1014" s="16"/>
      <c r="N1014" s="34"/>
      <c r="O1014" s="16"/>
      <c r="P1014" s="34"/>
      <c r="Q1014" s="46">
        <f t="shared" si="33"/>
        <v>1403.43</v>
      </c>
      <c r="R1014" s="47">
        <f t="shared" si="32"/>
        <v>0</v>
      </c>
      <c r="S1014" s="48"/>
    </row>
    <row r="1015" s="1" customFormat="1" customHeight="1" spans="1:19">
      <c r="A1015" s="14">
        <v>1135</v>
      </c>
      <c r="B1015" s="20">
        <v>46113</v>
      </c>
      <c r="C1015" s="16"/>
      <c r="D1015" s="71" t="s">
        <v>1883</v>
      </c>
      <c r="E1015" s="18" t="s">
        <v>1954</v>
      </c>
      <c r="F1015" s="26" t="s">
        <v>1176</v>
      </c>
      <c r="G1015" s="19" t="s">
        <v>1734</v>
      </c>
      <c r="H1015" s="16" t="s">
        <v>1735</v>
      </c>
      <c r="I1015" s="33">
        <v>382</v>
      </c>
      <c r="J1015" s="35">
        <v>382</v>
      </c>
      <c r="K1015" s="35"/>
      <c r="L1015" s="34">
        <v>46138</v>
      </c>
      <c r="M1015" s="16"/>
      <c r="N1015" s="34"/>
      <c r="O1015" s="16"/>
      <c r="P1015" s="34"/>
      <c r="Q1015" s="46">
        <f t="shared" si="33"/>
        <v>382</v>
      </c>
      <c r="R1015" s="47">
        <f t="shared" si="32"/>
        <v>0</v>
      </c>
      <c r="S1015" s="48"/>
    </row>
    <row r="1016" s="1" customFormat="1" customHeight="1" spans="1:19">
      <c r="A1016" s="14">
        <v>1140</v>
      </c>
      <c r="B1016" s="20">
        <v>46113</v>
      </c>
      <c r="C1016" s="16" t="s">
        <v>1044</v>
      </c>
      <c r="D1016" s="71" t="s">
        <v>858</v>
      </c>
      <c r="E1016" s="18" t="s">
        <v>1941</v>
      </c>
      <c r="F1016" s="26" t="s">
        <v>1176</v>
      </c>
      <c r="G1016" s="19" t="s">
        <v>1734</v>
      </c>
      <c r="H1016" s="16" t="s">
        <v>1735</v>
      </c>
      <c r="I1016" s="33">
        <v>356.16</v>
      </c>
      <c r="J1016" s="35">
        <v>356.16</v>
      </c>
      <c r="K1016" s="35">
        <v>0.84</v>
      </c>
      <c r="L1016" s="34">
        <v>46121</v>
      </c>
      <c r="M1016" s="16"/>
      <c r="N1016" s="34"/>
      <c r="O1016" s="16"/>
      <c r="P1016" s="34"/>
      <c r="Q1016" s="46">
        <f t="shared" si="33"/>
        <v>356.16</v>
      </c>
      <c r="R1016" s="47">
        <f t="shared" si="32"/>
        <v>0</v>
      </c>
      <c r="S1016" s="48"/>
    </row>
    <row r="1017" s="1" customFormat="1" customHeight="1" spans="1:19">
      <c r="A1017" s="14">
        <v>1141</v>
      </c>
      <c r="B1017" s="20">
        <v>46113</v>
      </c>
      <c r="C1017" s="16" t="s">
        <v>909</v>
      </c>
      <c r="D1017" s="71" t="s">
        <v>993</v>
      </c>
      <c r="E1017" s="18" t="s">
        <v>1889</v>
      </c>
      <c r="F1017" s="26" t="s">
        <v>1176</v>
      </c>
      <c r="G1017" s="19" t="s">
        <v>1734</v>
      </c>
      <c r="H1017" s="16" t="s">
        <v>1735</v>
      </c>
      <c r="I1017" s="33">
        <v>403.22</v>
      </c>
      <c r="J1017" s="35">
        <v>403.22</v>
      </c>
      <c r="K1017" s="35"/>
      <c r="L1017" s="34">
        <v>46134</v>
      </c>
      <c r="M1017" s="16"/>
      <c r="N1017" s="34"/>
      <c r="O1017" s="16"/>
      <c r="P1017" s="34"/>
      <c r="Q1017" s="46">
        <f t="shared" si="33"/>
        <v>403.22</v>
      </c>
      <c r="R1017" s="47">
        <f t="shared" si="32"/>
        <v>0</v>
      </c>
      <c r="S1017" s="48"/>
    </row>
    <row r="1018" s="1" customFormat="1" customHeight="1" spans="1:19">
      <c r="A1018" s="14">
        <v>1142</v>
      </c>
      <c r="B1018" s="20">
        <v>46113</v>
      </c>
      <c r="C1018" s="16"/>
      <c r="D1018" s="71" t="s">
        <v>946</v>
      </c>
      <c r="E1018" s="18" t="s">
        <v>948</v>
      </c>
      <c r="F1018" s="26" t="s">
        <v>1176</v>
      </c>
      <c r="G1018" s="19" t="s">
        <v>1734</v>
      </c>
      <c r="H1018" s="16" t="s">
        <v>1735</v>
      </c>
      <c r="I1018" s="33">
        <v>3879.03</v>
      </c>
      <c r="J1018" s="35">
        <v>3879.03</v>
      </c>
      <c r="K1018" s="35"/>
      <c r="L1018" s="34">
        <v>46122</v>
      </c>
      <c r="M1018" s="16"/>
      <c r="N1018" s="34"/>
      <c r="O1018" s="16"/>
      <c r="P1018" s="34"/>
      <c r="Q1018" s="46">
        <f t="shared" si="33"/>
        <v>3879.03</v>
      </c>
      <c r="R1018" s="47">
        <f t="shared" si="32"/>
        <v>0</v>
      </c>
      <c r="S1018" s="48"/>
    </row>
    <row r="1019" s="1" customFormat="1" customHeight="1" spans="1:19">
      <c r="A1019" s="14">
        <v>1143</v>
      </c>
      <c r="B1019" s="20">
        <v>46113</v>
      </c>
      <c r="C1019" s="16" t="s">
        <v>1935</v>
      </c>
      <c r="D1019" s="71" t="s">
        <v>1949</v>
      </c>
      <c r="E1019" s="18" t="s">
        <v>956</v>
      </c>
      <c r="F1019" s="26" t="s">
        <v>1176</v>
      </c>
      <c r="G1019" s="19" t="s">
        <v>1734</v>
      </c>
      <c r="H1019" s="16" t="s">
        <v>1735</v>
      </c>
      <c r="I1019" s="33">
        <v>1551.98</v>
      </c>
      <c r="J1019" s="35">
        <v>1551.98</v>
      </c>
      <c r="K1019" s="35"/>
      <c r="L1019" s="34">
        <v>46123</v>
      </c>
      <c r="M1019" s="16"/>
      <c r="N1019" s="34"/>
      <c r="O1019" s="35"/>
      <c r="P1019" s="34"/>
      <c r="Q1019" s="46">
        <f t="shared" si="33"/>
        <v>1551.98</v>
      </c>
      <c r="R1019" s="47">
        <f t="shared" si="32"/>
        <v>0</v>
      </c>
      <c r="S1019" s="48"/>
    </row>
    <row r="1020" s="1" customFormat="1" customHeight="1" spans="1:19">
      <c r="A1020" s="14">
        <v>1145</v>
      </c>
      <c r="B1020" s="20">
        <v>46113</v>
      </c>
      <c r="C1020" s="16"/>
      <c r="D1020" s="71" t="s">
        <v>885</v>
      </c>
      <c r="E1020" s="18" t="s">
        <v>886</v>
      </c>
      <c r="F1020" s="26" t="s">
        <v>1176</v>
      </c>
      <c r="G1020" s="19" t="s">
        <v>1734</v>
      </c>
      <c r="H1020" s="16" t="s">
        <v>1735</v>
      </c>
      <c r="I1020" s="33">
        <v>1054.65</v>
      </c>
      <c r="J1020" s="35">
        <v>1054.65</v>
      </c>
      <c r="K1020" s="35"/>
      <c r="L1020" s="34">
        <v>46120</v>
      </c>
      <c r="M1020" s="16"/>
      <c r="N1020" s="34"/>
      <c r="O1020" s="35"/>
      <c r="P1020" s="34"/>
      <c r="Q1020" s="46">
        <f t="shared" si="33"/>
        <v>1054.65</v>
      </c>
      <c r="R1020" s="47">
        <f t="shared" si="32"/>
        <v>0</v>
      </c>
      <c r="S1020" s="48"/>
    </row>
    <row r="1021" s="1" customFormat="1" customHeight="1" spans="1:19">
      <c r="A1021" s="14">
        <v>1146</v>
      </c>
      <c r="B1021" s="20">
        <v>46113</v>
      </c>
      <c r="C1021" s="16"/>
      <c r="D1021" s="71" t="s">
        <v>1859</v>
      </c>
      <c r="E1021" s="18" t="s">
        <v>1260</v>
      </c>
      <c r="F1021" s="26" t="s">
        <v>1176</v>
      </c>
      <c r="G1021" s="19" t="s">
        <v>1734</v>
      </c>
      <c r="H1021" s="16" t="s">
        <v>1735</v>
      </c>
      <c r="I1021" s="33">
        <v>1203.2</v>
      </c>
      <c r="J1021" s="35">
        <v>1203.2</v>
      </c>
      <c r="K1021" s="35"/>
      <c r="L1021" s="34">
        <v>46124</v>
      </c>
      <c r="M1021" s="16"/>
      <c r="N1021" s="34"/>
      <c r="O1021" s="35"/>
      <c r="P1021" s="34"/>
      <c r="Q1021" s="46">
        <f t="shared" si="33"/>
        <v>1203.2</v>
      </c>
      <c r="R1021" s="47">
        <f t="shared" si="32"/>
        <v>0</v>
      </c>
      <c r="S1021" s="48"/>
    </row>
    <row r="1022" s="1" customFormat="1" customHeight="1" spans="1:19">
      <c r="A1022" s="14">
        <v>1147</v>
      </c>
      <c r="B1022" s="20">
        <v>46113</v>
      </c>
      <c r="C1022" s="16"/>
      <c r="D1022" s="71" t="s">
        <v>1775</v>
      </c>
      <c r="E1022" s="18" t="s">
        <v>1124</v>
      </c>
      <c r="F1022" s="26" t="s">
        <v>1176</v>
      </c>
      <c r="G1022" s="19" t="s">
        <v>1734</v>
      </c>
      <c r="H1022" s="16" t="s">
        <v>1735</v>
      </c>
      <c r="I1022" s="33">
        <v>2605.7</v>
      </c>
      <c r="J1022" s="35">
        <v>2605.7</v>
      </c>
      <c r="K1022" s="35"/>
      <c r="L1022" s="34">
        <v>46121</v>
      </c>
      <c r="M1022" s="16"/>
      <c r="N1022" s="34"/>
      <c r="O1022" s="16"/>
      <c r="P1022" s="34"/>
      <c r="Q1022" s="46">
        <f t="shared" si="33"/>
        <v>2605.7</v>
      </c>
      <c r="R1022" s="47">
        <f t="shared" si="32"/>
        <v>0</v>
      </c>
      <c r="S1022" s="48"/>
    </row>
    <row r="1023" s="1" customFormat="1" customHeight="1" spans="1:19">
      <c r="A1023" s="14">
        <v>1148</v>
      </c>
      <c r="B1023" s="20">
        <v>46113</v>
      </c>
      <c r="C1023" s="16"/>
      <c r="D1023" s="71" t="s">
        <v>881</v>
      </c>
      <c r="E1023" s="18" t="s">
        <v>1231</v>
      </c>
      <c r="F1023" s="26" t="s">
        <v>1176</v>
      </c>
      <c r="G1023" s="19" t="s">
        <v>1734</v>
      </c>
      <c r="H1023" s="16" t="s">
        <v>1735</v>
      </c>
      <c r="I1023" s="33">
        <v>1176.44</v>
      </c>
      <c r="J1023" s="35">
        <v>1176.44</v>
      </c>
      <c r="K1023" s="35"/>
      <c r="L1023" s="34">
        <v>46139</v>
      </c>
      <c r="M1023" s="16"/>
      <c r="N1023" s="34"/>
      <c r="O1023" s="16"/>
      <c r="P1023" s="34"/>
      <c r="Q1023" s="46">
        <f t="shared" si="33"/>
        <v>1176.44</v>
      </c>
      <c r="R1023" s="47">
        <f t="shared" si="32"/>
        <v>0</v>
      </c>
      <c r="S1023" s="48"/>
    </row>
    <row r="1024" s="1" customFormat="1" customHeight="1" spans="1:19">
      <c r="A1024" s="14">
        <v>1149</v>
      </c>
      <c r="B1024" s="20">
        <v>46113</v>
      </c>
      <c r="C1024" s="16"/>
      <c r="D1024" s="71" t="s">
        <v>1955</v>
      </c>
      <c r="E1024" s="18" t="s">
        <v>1956</v>
      </c>
      <c r="F1024" s="26" t="s">
        <v>1176</v>
      </c>
      <c r="G1024" s="19" t="s">
        <v>1734</v>
      </c>
      <c r="H1024" s="16" t="s">
        <v>1735</v>
      </c>
      <c r="I1024" s="33">
        <v>1203.2</v>
      </c>
      <c r="J1024" s="35">
        <v>1203.2</v>
      </c>
      <c r="K1024" s="35"/>
      <c r="L1024" s="34">
        <v>46120</v>
      </c>
      <c r="M1024" s="16"/>
      <c r="N1024" s="34"/>
      <c r="O1024" s="16"/>
      <c r="P1024" s="34"/>
      <c r="Q1024" s="46">
        <f t="shared" si="33"/>
        <v>1203.2</v>
      </c>
      <c r="R1024" s="47">
        <f t="shared" si="32"/>
        <v>0</v>
      </c>
      <c r="S1024" s="48"/>
    </row>
    <row r="1025" s="1" customFormat="1" customHeight="1" spans="1:19">
      <c r="A1025" s="14">
        <v>1150</v>
      </c>
      <c r="B1025" s="20">
        <v>46113</v>
      </c>
      <c r="C1025" s="16"/>
      <c r="D1025" s="71" t="s">
        <v>1955</v>
      </c>
      <c r="E1025" s="18" t="s">
        <v>1957</v>
      </c>
      <c r="F1025" s="26" t="s">
        <v>1176</v>
      </c>
      <c r="G1025" s="19" t="s">
        <v>1734</v>
      </c>
      <c r="H1025" s="16" t="s">
        <v>1735</v>
      </c>
      <c r="I1025" s="33">
        <v>5680.14</v>
      </c>
      <c r="J1025" s="35">
        <v>5680.14</v>
      </c>
      <c r="K1025" s="35"/>
      <c r="L1025" s="34">
        <v>46120</v>
      </c>
      <c r="M1025" s="16"/>
      <c r="N1025" s="34"/>
      <c r="O1025" s="35"/>
      <c r="P1025" s="34"/>
      <c r="Q1025" s="46">
        <f t="shared" si="33"/>
        <v>5680.14</v>
      </c>
      <c r="R1025" s="47">
        <f t="shared" si="32"/>
        <v>0</v>
      </c>
      <c r="S1025" s="48"/>
    </row>
    <row r="1026" s="1" customFormat="1" customHeight="1" spans="1:19">
      <c r="A1026" s="14">
        <v>1151</v>
      </c>
      <c r="B1026" s="20">
        <v>46113</v>
      </c>
      <c r="C1026" s="16"/>
      <c r="D1026" s="17" t="s">
        <v>1287</v>
      </c>
      <c r="E1026" s="18" t="s">
        <v>1288</v>
      </c>
      <c r="F1026" s="26" t="s">
        <v>1176</v>
      </c>
      <c r="G1026" s="19" t="s">
        <v>1734</v>
      </c>
      <c r="H1026" s="16" t="s">
        <v>1735</v>
      </c>
      <c r="I1026" s="33">
        <v>8.3</v>
      </c>
      <c r="J1026" s="35">
        <v>8.3</v>
      </c>
      <c r="K1026" s="35"/>
      <c r="L1026" s="34">
        <v>46120</v>
      </c>
      <c r="M1026" s="16"/>
      <c r="N1026" s="34"/>
      <c r="O1026" s="35"/>
      <c r="P1026" s="34"/>
      <c r="Q1026" s="46">
        <f t="shared" si="33"/>
        <v>8.3</v>
      </c>
      <c r="R1026" s="47">
        <f t="shared" si="32"/>
        <v>0</v>
      </c>
      <c r="S1026" s="48"/>
    </row>
    <row r="1027" s="1" customFormat="1" customHeight="1" spans="1:19">
      <c r="A1027" s="14">
        <v>1152</v>
      </c>
      <c r="B1027" s="20">
        <v>46113</v>
      </c>
      <c r="C1027" s="16"/>
      <c r="D1027" s="71" t="s">
        <v>1553</v>
      </c>
      <c r="E1027" s="18" t="s">
        <v>1555</v>
      </c>
      <c r="F1027" s="26" t="s">
        <v>1176</v>
      </c>
      <c r="G1027" s="19" t="s">
        <v>1734</v>
      </c>
      <c r="H1027" s="16" t="s">
        <v>1735</v>
      </c>
      <c r="I1027" s="33"/>
      <c r="J1027" s="35"/>
      <c r="K1027" s="35"/>
      <c r="L1027" s="34"/>
      <c r="M1027" s="16"/>
      <c r="N1027" s="34"/>
      <c r="O1027" s="35"/>
      <c r="P1027" s="34"/>
      <c r="Q1027" s="46">
        <f t="shared" si="33"/>
        <v>0</v>
      </c>
      <c r="R1027" s="47">
        <f t="shared" si="32"/>
        <v>0</v>
      </c>
      <c r="S1027" s="48"/>
    </row>
    <row r="1028" s="1" customFormat="1" customHeight="1" spans="1:19">
      <c r="A1028" s="14">
        <v>1153</v>
      </c>
      <c r="B1028" s="20">
        <v>46113</v>
      </c>
      <c r="C1028" s="16"/>
      <c r="D1028" s="71" t="s">
        <v>1895</v>
      </c>
      <c r="E1028" s="18" t="s">
        <v>1896</v>
      </c>
      <c r="F1028" s="26" t="s">
        <v>1176</v>
      </c>
      <c r="G1028" s="19" t="s">
        <v>1734</v>
      </c>
      <c r="H1028" s="16" t="s">
        <v>1735</v>
      </c>
      <c r="I1028" s="33"/>
      <c r="J1028" s="35"/>
      <c r="K1028" s="35"/>
      <c r="L1028" s="34"/>
      <c r="M1028" s="16"/>
      <c r="N1028" s="34"/>
      <c r="O1028" s="35"/>
      <c r="P1028" s="34"/>
      <c r="Q1028" s="46">
        <f t="shared" si="33"/>
        <v>0</v>
      </c>
      <c r="R1028" s="47">
        <f t="shared" si="32"/>
        <v>0</v>
      </c>
      <c r="S1028" s="48"/>
    </row>
    <row r="1029" s="1" customFormat="1" customHeight="1" spans="1:19">
      <c r="A1029" s="14">
        <v>1154</v>
      </c>
      <c r="B1029" s="20">
        <v>46113</v>
      </c>
      <c r="C1029" s="16"/>
      <c r="D1029" s="71" t="s">
        <v>1933</v>
      </c>
      <c r="E1029" s="18" t="s">
        <v>1933</v>
      </c>
      <c r="F1029" s="26" t="s">
        <v>1176</v>
      </c>
      <c r="G1029" s="19" t="s">
        <v>1734</v>
      </c>
      <c r="H1029" s="16" t="s">
        <v>1735</v>
      </c>
      <c r="I1029" s="33"/>
      <c r="J1029" s="35"/>
      <c r="K1029" s="35"/>
      <c r="L1029" s="34"/>
      <c r="M1029" s="16"/>
      <c r="N1029" s="34"/>
      <c r="O1029" s="16"/>
      <c r="P1029" s="34"/>
      <c r="Q1029" s="46">
        <f t="shared" si="33"/>
        <v>0</v>
      </c>
      <c r="R1029" s="47">
        <f t="shared" si="32"/>
        <v>0</v>
      </c>
      <c r="S1029" s="48"/>
    </row>
    <row r="1030" s="1" customFormat="1" customHeight="1" spans="1:19">
      <c r="A1030" s="14">
        <v>1155</v>
      </c>
      <c r="B1030" s="20">
        <v>46113</v>
      </c>
      <c r="C1030" s="16" t="s">
        <v>1737</v>
      </c>
      <c r="D1030" s="17" t="s">
        <v>1897</v>
      </c>
      <c r="E1030" s="18" t="s">
        <v>1740</v>
      </c>
      <c r="F1030" s="26" t="s">
        <v>1176</v>
      </c>
      <c r="G1030" s="19" t="s">
        <v>1734</v>
      </c>
      <c r="H1030" s="16" t="s">
        <v>1735</v>
      </c>
      <c r="I1030" s="33">
        <v>282.35</v>
      </c>
      <c r="J1030" s="35">
        <v>282.35</v>
      </c>
      <c r="K1030" s="35">
        <v>0.16</v>
      </c>
      <c r="L1030" s="34">
        <v>46120</v>
      </c>
      <c r="M1030" s="16"/>
      <c r="N1030" s="34"/>
      <c r="O1030" s="16"/>
      <c r="P1030" s="34"/>
      <c r="Q1030" s="46">
        <f t="shared" si="33"/>
        <v>282.35</v>
      </c>
      <c r="R1030" s="47">
        <f t="shared" si="32"/>
        <v>0</v>
      </c>
      <c r="S1030" s="48"/>
    </row>
    <row r="1031" s="1" customFormat="1" customHeight="1" spans="1:19">
      <c r="A1031" s="14">
        <v>1156</v>
      </c>
      <c r="B1031" s="20">
        <v>46113</v>
      </c>
      <c r="C1031" s="16" t="s">
        <v>1737</v>
      </c>
      <c r="D1031" s="334" t="s">
        <v>1898</v>
      </c>
      <c r="E1031" s="18" t="s">
        <v>1899</v>
      </c>
      <c r="F1031" s="26" t="s">
        <v>1176</v>
      </c>
      <c r="G1031" s="19" t="s">
        <v>1734</v>
      </c>
      <c r="H1031" s="16" t="s">
        <v>1735</v>
      </c>
      <c r="I1031" s="33">
        <v>191</v>
      </c>
      <c r="J1031" s="35">
        <v>191</v>
      </c>
      <c r="K1031" s="35"/>
      <c r="L1031" s="34">
        <v>46120</v>
      </c>
      <c r="M1031" s="16"/>
      <c r="N1031" s="34"/>
      <c r="O1031" s="16"/>
      <c r="P1031" s="34"/>
      <c r="Q1031" s="46">
        <f t="shared" si="33"/>
        <v>191</v>
      </c>
      <c r="R1031" s="47">
        <f t="shared" si="32"/>
        <v>0</v>
      </c>
      <c r="S1031" s="48"/>
    </row>
    <row r="1032" s="1" customFormat="1" customHeight="1" spans="1:19">
      <c r="A1032" s="14">
        <v>1157</v>
      </c>
      <c r="B1032" s="20">
        <v>46113</v>
      </c>
      <c r="C1032" s="16" t="s">
        <v>1737</v>
      </c>
      <c r="D1032" s="334" t="s">
        <v>1900</v>
      </c>
      <c r="E1032" s="18" t="s">
        <v>1828</v>
      </c>
      <c r="F1032" s="26" t="s">
        <v>1176</v>
      </c>
      <c r="G1032" s="19" t="s">
        <v>1734</v>
      </c>
      <c r="H1032" s="16" t="s">
        <v>1735</v>
      </c>
      <c r="I1032" s="33">
        <v>94.12</v>
      </c>
      <c r="J1032" s="35">
        <v>94.12</v>
      </c>
      <c r="K1032" s="35"/>
      <c r="L1032" s="34">
        <v>46120</v>
      </c>
      <c r="M1032" s="16"/>
      <c r="N1032" s="34"/>
      <c r="O1032" s="35"/>
      <c r="P1032" s="34"/>
      <c r="Q1032" s="46">
        <f t="shared" si="33"/>
        <v>94.12</v>
      </c>
      <c r="R1032" s="47">
        <f t="shared" si="32"/>
        <v>0</v>
      </c>
      <c r="S1032" s="48"/>
    </row>
    <row r="1033" s="1" customFormat="1" customHeight="1" spans="1:19">
      <c r="A1033" s="14">
        <v>1158</v>
      </c>
      <c r="B1033" s="20">
        <v>46113</v>
      </c>
      <c r="C1033" s="16" t="s">
        <v>1737</v>
      </c>
      <c r="D1033" s="334" t="s">
        <v>1761</v>
      </c>
      <c r="E1033" s="18" t="s">
        <v>1762</v>
      </c>
      <c r="F1033" s="26" t="s">
        <v>1176</v>
      </c>
      <c r="G1033" s="19" t="s">
        <v>1734</v>
      </c>
      <c r="H1033" s="16" t="s">
        <v>1735</v>
      </c>
      <c r="I1033" s="33">
        <v>329.4</v>
      </c>
      <c r="J1033" s="35">
        <v>329.4</v>
      </c>
      <c r="K1033" s="35"/>
      <c r="L1033" s="34">
        <v>46120</v>
      </c>
      <c r="M1033" s="16"/>
      <c r="N1033" s="34"/>
      <c r="O1033" s="35"/>
      <c r="P1033" s="34"/>
      <c r="Q1033" s="46">
        <f t="shared" si="33"/>
        <v>329.4</v>
      </c>
      <c r="R1033" s="47">
        <f t="shared" si="32"/>
        <v>0</v>
      </c>
      <c r="S1033" s="48"/>
    </row>
    <row r="1034" s="1" customFormat="1" customHeight="1" spans="1:19">
      <c r="A1034" s="14">
        <v>1159</v>
      </c>
      <c r="B1034" s="20">
        <v>46113</v>
      </c>
      <c r="C1034" s="16" t="s">
        <v>1737</v>
      </c>
      <c r="D1034" s="334" t="s">
        <v>1901</v>
      </c>
      <c r="E1034" s="18" t="s">
        <v>1902</v>
      </c>
      <c r="F1034" s="26" t="s">
        <v>1176</v>
      </c>
      <c r="G1034" s="19" t="s">
        <v>1734</v>
      </c>
      <c r="H1034" s="16" t="s">
        <v>1735</v>
      </c>
      <c r="I1034" s="33">
        <v>165.09</v>
      </c>
      <c r="J1034" s="35">
        <v>165.09</v>
      </c>
      <c r="K1034" s="35"/>
      <c r="L1034" s="34">
        <v>46120</v>
      </c>
      <c r="M1034" s="16"/>
      <c r="N1034" s="34"/>
      <c r="O1034" s="35"/>
      <c r="P1034" s="34"/>
      <c r="Q1034" s="46">
        <f t="shared" si="33"/>
        <v>165.09</v>
      </c>
      <c r="R1034" s="47">
        <f t="shared" si="32"/>
        <v>0</v>
      </c>
      <c r="S1034" s="48"/>
    </row>
    <row r="1035" s="1" customFormat="1" customHeight="1" spans="1:19">
      <c r="A1035" s="14">
        <v>1160</v>
      </c>
      <c r="B1035" s="20">
        <v>46113</v>
      </c>
      <c r="C1035" s="16" t="s">
        <v>1737</v>
      </c>
      <c r="D1035" s="334" t="s">
        <v>1821</v>
      </c>
      <c r="E1035" s="18" t="s">
        <v>1822</v>
      </c>
      <c r="F1035" s="26" t="s">
        <v>1176</v>
      </c>
      <c r="G1035" s="19" t="s">
        <v>1734</v>
      </c>
      <c r="H1035" s="16" t="s">
        <v>1735</v>
      </c>
      <c r="I1035" s="33">
        <v>53.52</v>
      </c>
      <c r="J1035" s="35">
        <v>53.52</v>
      </c>
      <c r="K1035" s="35"/>
      <c r="L1035" s="34">
        <v>46120</v>
      </c>
      <c r="M1035" s="16"/>
      <c r="N1035" s="34"/>
      <c r="O1035" s="35"/>
      <c r="P1035" s="34"/>
      <c r="Q1035" s="46">
        <f t="shared" si="33"/>
        <v>53.52</v>
      </c>
      <c r="R1035" s="47">
        <f t="shared" si="32"/>
        <v>0</v>
      </c>
      <c r="S1035" s="48"/>
    </row>
    <row r="1036" s="1" customFormat="1" customHeight="1" spans="1:19">
      <c r="A1036" s="14">
        <v>1161</v>
      </c>
      <c r="B1036" s="20">
        <v>46113</v>
      </c>
      <c r="C1036" s="16" t="s">
        <v>1737</v>
      </c>
      <c r="D1036" s="334" t="s">
        <v>1764</v>
      </c>
      <c r="E1036" s="18" t="s">
        <v>1765</v>
      </c>
      <c r="F1036" s="26" t="s">
        <v>1176</v>
      </c>
      <c r="G1036" s="19" t="s">
        <v>1734</v>
      </c>
      <c r="H1036" s="16" t="s">
        <v>1735</v>
      </c>
      <c r="I1036" s="33">
        <v>553.62</v>
      </c>
      <c r="J1036" s="35">
        <v>553.62</v>
      </c>
      <c r="K1036" s="35"/>
      <c r="L1036" s="34">
        <v>46120</v>
      </c>
      <c r="M1036" s="16"/>
      <c r="N1036" s="34"/>
      <c r="O1036" s="16"/>
      <c r="P1036" s="34"/>
      <c r="Q1036" s="46">
        <f t="shared" si="33"/>
        <v>553.62</v>
      </c>
      <c r="R1036" s="47">
        <f t="shared" si="32"/>
        <v>0</v>
      </c>
      <c r="S1036" s="48"/>
    </row>
    <row r="1037" s="1" customFormat="1" customHeight="1" spans="1:19">
      <c r="A1037" s="14">
        <v>1162</v>
      </c>
      <c r="B1037" s="20">
        <v>46113</v>
      </c>
      <c r="C1037" s="16" t="s">
        <v>1737</v>
      </c>
      <c r="D1037" s="334" t="s">
        <v>1842</v>
      </c>
      <c r="E1037" s="18" t="s">
        <v>1843</v>
      </c>
      <c r="F1037" s="26" t="s">
        <v>1176</v>
      </c>
      <c r="G1037" s="19" t="s">
        <v>1734</v>
      </c>
      <c r="H1037" s="16" t="s">
        <v>1735</v>
      </c>
      <c r="I1037" s="33">
        <v>71.05</v>
      </c>
      <c r="J1037" s="35">
        <v>71.05</v>
      </c>
      <c r="K1037" s="35"/>
      <c r="L1037" s="34">
        <v>46123</v>
      </c>
      <c r="M1037" s="16"/>
      <c r="N1037" s="34"/>
      <c r="O1037" s="16"/>
      <c r="P1037" s="34"/>
      <c r="Q1037" s="46">
        <f t="shared" si="33"/>
        <v>71.05</v>
      </c>
      <c r="R1037" s="47">
        <f t="shared" ref="R1037:R1100" si="34">I1037-Q1037</f>
        <v>0</v>
      </c>
      <c r="S1037" s="48"/>
    </row>
    <row r="1038" s="1" customFormat="1" customHeight="1" spans="1:19">
      <c r="A1038" s="14">
        <v>1163</v>
      </c>
      <c r="B1038" s="20">
        <v>46113</v>
      </c>
      <c r="C1038" s="16" t="s">
        <v>1737</v>
      </c>
      <c r="D1038" s="17">
        <v>10</v>
      </c>
      <c r="E1038" s="18" t="s">
        <v>1903</v>
      </c>
      <c r="F1038" s="26" t="s">
        <v>1176</v>
      </c>
      <c r="G1038" s="19" t="s">
        <v>1734</v>
      </c>
      <c r="H1038" s="16" t="s">
        <v>1735</v>
      </c>
      <c r="I1038" s="33">
        <v>203.92</v>
      </c>
      <c r="J1038" s="35">
        <v>203.92</v>
      </c>
      <c r="K1038" s="35"/>
      <c r="L1038" s="34">
        <v>46120</v>
      </c>
      <c r="M1038" s="16"/>
      <c r="N1038" s="34"/>
      <c r="O1038" s="16"/>
      <c r="P1038" s="34"/>
      <c r="Q1038" s="46">
        <f t="shared" si="33"/>
        <v>203.92</v>
      </c>
      <c r="R1038" s="47">
        <f t="shared" si="34"/>
        <v>0</v>
      </c>
      <c r="S1038" s="48"/>
    </row>
    <row r="1039" s="1" customFormat="1" customHeight="1" spans="1:19">
      <c r="A1039" s="14">
        <v>1164</v>
      </c>
      <c r="B1039" s="20">
        <v>46113</v>
      </c>
      <c r="C1039" s="16" t="s">
        <v>1737</v>
      </c>
      <c r="D1039" s="17">
        <v>21</v>
      </c>
      <c r="E1039" s="18" t="s">
        <v>1739</v>
      </c>
      <c r="F1039" s="26" t="s">
        <v>1176</v>
      </c>
      <c r="G1039" s="19" t="s">
        <v>1734</v>
      </c>
      <c r="H1039" s="16" t="s">
        <v>1735</v>
      </c>
      <c r="I1039" s="33">
        <v>215.91</v>
      </c>
      <c r="J1039" s="35">
        <v>215.91</v>
      </c>
      <c r="K1039" s="35">
        <v>0.1</v>
      </c>
      <c r="L1039" s="34">
        <v>46120</v>
      </c>
      <c r="M1039" s="16"/>
      <c r="N1039" s="34"/>
      <c r="O1039" s="35"/>
      <c r="P1039" s="34"/>
      <c r="Q1039" s="46">
        <f t="shared" si="33"/>
        <v>215.91</v>
      </c>
      <c r="R1039" s="47">
        <f t="shared" si="34"/>
        <v>0</v>
      </c>
      <c r="S1039" s="48"/>
    </row>
    <row r="1040" s="1" customFormat="1" customHeight="1" spans="1:19">
      <c r="A1040" s="14">
        <v>1165</v>
      </c>
      <c r="B1040" s="20">
        <v>46113</v>
      </c>
      <c r="C1040" s="16" t="s">
        <v>1737</v>
      </c>
      <c r="D1040" s="17" t="s">
        <v>1904</v>
      </c>
      <c r="E1040" s="18" t="s">
        <v>1774</v>
      </c>
      <c r="F1040" s="26" t="s">
        <v>1176</v>
      </c>
      <c r="G1040" s="19" t="s">
        <v>1734</v>
      </c>
      <c r="H1040" s="16" t="s">
        <v>1735</v>
      </c>
      <c r="I1040" s="33">
        <v>138.41</v>
      </c>
      <c r="J1040" s="35">
        <v>138.41</v>
      </c>
      <c r="K1040" s="35"/>
      <c r="L1040" s="34">
        <v>46121</v>
      </c>
      <c r="M1040" s="16"/>
      <c r="N1040" s="34"/>
      <c r="O1040" s="35"/>
      <c r="P1040" s="34"/>
      <c r="Q1040" s="46">
        <f t="shared" si="33"/>
        <v>138.41</v>
      </c>
      <c r="R1040" s="47">
        <f t="shared" si="34"/>
        <v>0</v>
      </c>
      <c r="S1040" s="48"/>
    </row>
    <row r="1041" s="1" customFormat="1" customHeight="1" spans="1:19">
      <c r="A1041" s="14">
        <v>1166</v>
      </c>
      <c r="B1041" s="20">
        <v>46113</v>
      </c>
      <c r="C1041" s="16" t="s">
        <v>1737</v>
      </c>
      <c r="D1041" s="334" t="s">
        <v>1838</v>
      </c>
      <c r="E1041" s="18" t="s">
        <v>1839</v>
      </c>
      <c r="F1041" s="26" t="s">
        <v>1176</v>
      </c>
      <c r="G1041" s="19" t="s">
        <v>1734</v>
      </c>
      <c r="H1041" s="16" t="s">
        <v>1735</v>
      </c>
      <c r="I1041" s="33">
        <v>234.37</v>
      </c>
      <c r="J1041" s="35">
        <v>234.37</v>
      </c>
      <c r="K1041" s="35"/>
      <c r="L1041" s="34">
        <v>46120</v>
      </c>
      <c r="M1041" s="16"/>
      <c r="N1041" s="34"/>
      <c r="O1041" s="35"/>
      <c r="P1041" s="34"/>
      <c r="Q1041" s="46">
        <f t="shared" si="33"/>
        <v>234.37</v>
      </c>
      <c r="R1041" s="47">
        <f t="shared" si="34"/>
        <v>0</v>
      </c>
      <c r="S1041" s="48"/>
    </row>
    <row r="1042" s="1" customFormat="1" customHeight="1" spans="1:19">
      <c r="A1042" s="14">
        <v>1167</v>
      </c>
      <c r="B1042" s="20">
        <v>46113</v>
      </c>
      <c r="C1042" s="16" t="s">
        <v>1737</v>
      </c>
      <c r="D1042" s="17">
        <v>13</v>
      </c>
      <c r="E1042" s="18" t="s">
        <v>1763</v>
      </c>
      <c r="F1042" s="26" t="s">
        <v>1176</v>
      </c>
      <c r="G1042" s="19" t="s">
        <v>1734</v>
      </c>
      <c r="H1042" s="16" t="s">
        <v>1735</v>
      </c>
      <c r="I1042" s="33">
        <v>255.59</v>
      </c>
      <c r="J1042" s="35">
        <v>255.59</v>
      </c>
      <c r="K1042" s="35"/>
      <c r="L1042" s="34">
        <v>46120</v>
      </c>
      <c r="M1042" s="16"/>
      <c r="N1042" s="34"/>
      <c r="O1042" s="35"/>
      <c r="P1042" s="34"/>
      <c r="Q1042" s="46">
        <f t="shared" si="33"/>
        <v>255.59</v>
      </c>
      <c r="R1042" s="47">
        <f t="shared" si="34"/>
        <v>0</v>
      </c>
      <c r="S1042" s="48"/>
    </row>
    <row r="1043" s="1" customFormat="1" customHeight="1" spans="1:19">
      <c r="A1043" s="14">
        <v>1168</v>
      </c>
      <c r="B1043" s="20">
        <v>46113</v>
      </c>
      <c r="C1043" s="16" t="s">
        <v>1737</v>
      </c>
      <c r="D1043" s="17" t="s">
        <v>1834</v>
      </c>
      <c r="E1043" s="18" t="s">
        <v>1835</v>
      </c>
      <c r="F1043" s="26" t="s">
        <v>1176</v>
      </c>
      <c r="G1043" s="19" t="s">
        <v>1734</v>
      </c>
      <c r="H1043" s="16" t="s">
        <v>1735</v>
      </c>
      <c r="I1043" s="33">
        <v>179</v>
      </c>
      <c r="J1043" s="35">
        <v>179</v>
      </c>
      <c r="K1043" s="35"/>
      <c r="L1043" s="34">
        <v>46120</v>
      </c>
      <c r="M1043" s="16"/>
      <c r="N1043" s="34"/>
      <c r="O1043" s="16"/>
      <c r="P1043" s="34"/>
      <c r="Q1043" s="46">
        <f t="shared" si="33"/>
        <v>179</v>
      </c>
      <c r="R1043" s="47">
        <f t="shared" si="34"/>
        <v>0</v>
      </c>
      <c r="S1043" s="48"/>
    </row>
    <row r="1044" s="1" customFormat="1" customHeight="1" spans="1:19">
      <c r="A1044" s="14">
        <v>1169</v>
      </c>
      <c r="B1044" s="20">
        <v>46113</v>
      </c>
      <c r="C1044" s="16" t="s">
        <v>1737</v>
      </c>
      <c r="D1044" s="17" t="s">
        <v>1759</v>
      </c>
      <c r="E1044" s="18" t="s">
        <v>1760</v>
      </c>
      <c r="F1044" s="26" t="s">
        <v>1176</v>
      </c>
      <c r="G1044" s="19" t="s">
        <v>1734</v>
      </c>
      <c r="H1044" s="16" t="s">
        <v>1735</v>
      </c>
      <c r="I1044" s="33">
        <v>392.15</v>
      </c>
      <c r="J1044" s="35">
        <v>392.15</v>
      </c>
      <c r="K1044" s="35"/>
      <c r="L1044" s="34">
        <v>46120</v>
      </c>
      <c r="M1044" s="16"/>
      <c r="N1044" s="34"/>
      <c r="O1044" s="16"/>
      <c r="P1044" s="34"/>
      <c r="Q1044" s="46">
        <f t="shared" si="33"/>
        <v>392.15</v>
      </c>
      <c r="R1044" s="47">
        <f t="shared" si="34"/>
        <v>0</v>
      </c>
      <c r="S1044" s="48"/>
    </row>
    <row r="1045" s="1" customFormat="1" customHeight="1" spans="1:19">
      <c r="A1045" s="14">
        <v>1170</v>
      </c>
      <c r="B1045" s="20">
        <v>46113</v>
      </c>
      <c r="C1045" s="16" t="s">
        <v>1737</v>
      </c>
      <c r="D1045" s="17">
        <v>12</v>
      </c>
      <c r="E1045" s="18" t="s">
        <v>1814</v>
      </c>
      <c r="F1045" s="26" t="s">
        <v>1176</v>
      </c>
      <c r="G1045" s="19" t="s">
        <v>1734</v>
      </c>
      <c r="H1045" s="16" t="s">
        <v>1735</v>
      </c>
      <c r="I1045" s="33">
        <v>2.77</v>
      </c>
      <c r="J1045" s="35">
        <v>2.77</v>
      </c>
      <c r="K1045" s="35"/>
      <c r="L1045" s="34">
        <v>46120</v>
      </c>
      <c r="M1045" s="16"/>
      <c r="N1045" s="34"/>
      <c r="O1045" s="16"/>
      <c r="P1045" s="34"/>
      <c r="Q1045" s="46">
        <f t="shared" ref="Q1045:Q1108" si="35">J1045+M1045+O1045</f>
        <v>2.77</v>
      </c>
      <c r="R1045" s="47">
        <f t="shared" si="34"/>
        <v>0</v>
      </c>
      <c r="S1045" s="48"/>
    </row>
    <row r="1046" s="1" customFormat="1" customHeight="1" spans="1:19">
      <c r="A1046" s="14">
        <v>1171</v>
      </c>
      <c r="B1046" s="20">
        <v>46113</v>
      </c>
      <c r="C1046" s="16" t="s">
        <v>1737</v>
      </c>
      <c r="D1046" s="17">
        <v>11</v>
      </c>
      <c r="E1046" s="18" t="s">
        <v>1829</v>
      </c>
      <c r="F1046" s="26" t="s">
        <v>1176</v>
      </c>
      <c r="G1046" s="19" t="s">
        <v>1734</v>
      </c>
      <c r="H1046" s="16" t="s">
        <v>1735</v>
      </c>
      <c r="I1046" s="33">
        <v>32.29</v>
      </c>
      <c r="J1046" s="35">
        <v>32.29</v>
      </c>
      <c r="K1046" s="35"/>
      <c r="L1046" s="34">
        <v>46120</v>
      </c>
      <c r="M1046" s="16"/>
      <c r="N1046" s="34"/>
      <c r="O1046" s="35"/>
      <c r="P1046" s="34"/>
      <c r="Q1046" s="46">
        <f t="shared" si="35"/>
        <v>32.29</v>
      </c>
      <c r="R1046" s="47">
        <f t="shared" si="34"/>
        <v>0</v>
      </c>
      <c r="S1046" s="48"/>
    </row>
    <row r="1047" s="1" customFormat="1" customHeight="1" spans="1:19">
      <c r="A1047" s="14">
        <v>1172</v>
      </c>
      <c r="B1047" s="20">
        <v>46113</v>
      </c>
      <c r="C1047" s="16" t="s">
        <v>1737</v>
      </c>
      <c r="D1047" s="17" t="s">
        <v>1905</v>
      </c>
      <c r="E1047" s="18" t="s">
        <v>1906</v>
      </c>
      <c r="F1047" s="26" t="s">
        <v>1176</v>
      </c>
      <c r="G1047" s="19" t="s">
        <v>1734</v>
      </c>
      <c r="H1047" s="16" t="s">
        <v>1735</v>
      </c>
      <c r="I1047" s="33">
        <v>51.67</v>
      </c>
      <c r="J1047" s="35">
        <v>51.67</v>
      </c>
      <c r="K1047" s="35"/>
      <c r="L1047" s="34">
        <v>46121</v>
      </c>
      <c r="M1047" s="16"/>
      <c r="N1047" s="34"/>
      <c r="O1047" s="35"/>
      <c r="P1047" s="34"/>
      <c r="Q1047" s="46">
        <f t="shared" si="35"/>
        <v>51.67</v>
      </c>
      <c r="R1047" s="47">
        <f t="shared" si="34"/>
        <v>0</v>
      </c>
      <c r="S1047" s="48"/>
    </row>
    <row r="1048" s="1" customFormat="1" customHeight="1" spans="1:19">
      <c r="A1048" s="14">
        <v>1173</v>
      </c>
      <c r="B1048" s="20">
        <v>46113</v>
      </c>
      <c r="C1048" s="16" t="s">
        <v>1737</v>
      </c>
      <c r="D1048" s="334" t="s">
        <v>1907</v>
      </c>
      <c r="E1048" s="18" t="s">
        <v>1815</v>
      </c>
      <c r="F1048" s="26" t="s">
        <v>1176</v>
      </c>
      <c r="G1048" s="19" t="s">
        <v>1734</v>
      </c>
      <c r="H1048" s="16" t="s">
        <v>1735</v>
      </c>
      <c r="I1048" s="33">
        <v>370.93</v>
      </c>
      <c r="J1048" s="35">
        <v>370.93</v>
      </c>
      <c r="K1048" s="35"/>
      <c r="L1048" s="34">
        <v>46120</v>
      </c>
      <c r="M1048" s="16"/>
      <c r="N1048" s="34"/>
      <c r="O1048" s="35"/>
      <c r="P1048" s="34"/>
      <c r="Q1048" s="46">
        <f t="shared" si="35"/>
        <v>370.93</v>
      </c>
      <c r="R1048" s="47">
        <f t="shared" si="34"/>
        <v>0</v>
      </c>
      <c r="S1048" s="48"/>
    </row>
    <row r="1049" s="1" customFormat="1" customHeight="1" spans="1:19">
      <c r="A1049" s="14">
        <v>1174</v>
      </c>
      <c r="B1049" s="20">
        <v>46113</v>
      </c>
      <c r="C1049" s="16" t="s">
        <v>1737</v>
      </c>
      <c r="D1049" s="17">
        <v>20</v>
      </c>
      <c r="E1049" s="18" t="s">
        <v>1766</v>
      </c>
      <c r="F1049" s="26" t="s">
        <v>1176</v>
      </c>
      <c r="G1049" s="19" t="s">
        <v>1734</v>
      </c>
      <c r="H1049" s="16" t="s">
        <v>1735</v>
      </c>
      <c r="I1049" s="33">
        <v>264.81</v>
      </c>
      <c r="J1049" s="35">
        <v>264.81</v>
      </c>
      <c r="K1049" s="35"/>
      <c r="L1049" s="34">
        <v>46120</v>
      </c>
      <c r="M1049" s="16"/>
      <c r="N1049" s="34"/>
      <c r="O1049" s="35"/>
      <c r="P1049" s="34"/>
      <c r="Q1049" s="46">
        <f t="shared" si="35"/>
        <v>264.81</v>
      </c>
      <c r="R1049" s="47">
        <f t="shared" si="34"/>
        <v>0</v>
      </c>
      <c r="S1049" s="48"/>
    </row>
    <row r="1050" s="1" customFormat="1" customHeight="1" spans="1:19">
      <c r="A1050" s="14">
        <v>1175</v>
      </c>
      <c r="B1050" s="20">
        <v>46113</v>
      </c>
      <c r="C1050" s="16" t="s">
        <v>1737</v>
      </c>
      <c r="D1050" s="17">
        <v>14</v>
      </c>
      <c r="E1050" s="18" t="s">
        <v>1908</v>
      </c>
      <c r="F1050" s="26" t="s">
        <v>1176</v>
      </c>
      <c r="G1050" s="19" t="s">
        <v>1734</v>
      </c>
      <c r="H1050" s="16" t="s">
        <v>1735</v>
      </c>
      <c r="I1050" s="33">
        <v>158.7</v>
      </c>
      <c r="J1050" s="35">
        <v>158.7</v>
      </c>
      <c r="K1050" s="35"/>
      <c r="L1050" s="34">
        <v>46120</v>
      </c>
      <c r="M1050" s="16"/>
      <c r="N1050" s="34"/>
      <c r="O1050" s="16"/>
      <c r="P1050" s="34"/>
      <c r="Q1050" s="46">
        <f t="shared" si="35"/>
        <v>158.7</v>
      </c>
      <c r="R1050" s="47">
        <f t="shared" si="34"/>
        <v>0</v>
      </c>
      <c r="S1050" s="48"/>
    </row>
    <row r="1051" s="1" customFormat="1" customHeight="1" spans="1:19">
      <c r="A1051" s="14">
        <v>1176</v>
      </c>
      <c r="B1051" s="20">
        <v>46113</v>
      </c>
      <c r="C1051" s="16" t="s">
        <v>1737</v>
      </c>
      <c r="D1051" s="17" t="s">
        <v>1909</v>
      </c>
      <c r="E1051" s="18" t="s">
        <v>1910</v>
      </c>
      <c r="F1051" s="26" t="s">
        <v>1176</v>
      </c>
      <c r="G1051" s="19" t="s">
        <v>1734</v>
      </c>
      <c r="H1051" s="16" t="s">
        <v>1735</v>
      </c>
      <c r="I1051" s="33">
        <v>283.27</v>
      </c>
      <c r="J1051" s="35">
        <v>283.27</v>
      </c>
      <c r="K1051" s="35"/>
      <c r="L1051" s="34">
        <v>46121</v>
      </c>
      <c r="M1051" s="16"/>
      <c r="N1051" s="34"/>
      <c r="O1051" s="16"/>
      <c r="P1051" s="34"/>
      <c r="Q1051" s="46">
        <f t="shared" si="35"/>
        <v>283.27</v>
      </c>
      <c r="R1051" s="47">
        <f t="shared" si="34"/>
        <v>0</v>
      </c>
      <c r="S1051" s="48"/>
    </row>
    <row r="1052" s="1" customFormat="1" customHeight="1" spans="1:19">
      <c r="A1052" s="14">
        <v>1177</v>
      </c>
      <c r="B1052" s="20">
        <v>46113</v>
      </c>
      <c r="C1052" s="16" t="s">
        <v>1737</v>
      </c>
      <c r="D1052" s="17" t="s">
        <v>1944</v>
      </c>
      <c r="E1052" s="18" t="s">
        <v>1945</v>
      </c>
      <c r="F1052" s="26" t="s">
        <v>1176</v>
      </c>
      <c r="G1052" s="19" t="s">
        <v>1734</v>
      </c>
      <c r="H1052" s="16" t="s">
        <v>1735</v>
      </c>
      <c r="I1052" s="33">
        <v>2.7681</v>
      </c>
      <c r="J1052" s="35"/>
      <c r="K1052" s="35"/>
      <c r="L1052" s="34"/>
      <c r="M1052" s="16"/>
      <c r="N1052" s="34"/>
      <c r="O1052" s="16"/>
      <c r="P1052" s="34"/>
      <c r="Q1052" s="46">
        <f t="shared" si="35"/>
        <v>0</v>
      </c>
      <c r="R1052" s="47">
        <f t="shared" si="34"/>
        <v>2.7681</v>
      </c>
      <c r="S1052" s="48"/>
    </row>
    <row r="1053" s="1" customFormat="1" customHeight="1" spans="1:19">
      <c r="A1053" s="14">
        <v>1178</v>
      </c>
      <c r="B1053" s="20">
        <v>46113</v>
      </c>
      <c r="C1053" s="16" t="s">
        <v>1737</v>
      </c>
      <c r="D1053" s="17"/>
      <c r="E1053" s="18" t="s">
        <v>1946</v>
      </c>
      <c r="F1053" s="26" t="s">
        <v>1176</v>
      </c>
      <c r="G1053" s="19" t="s">
        <v>1734</v>
      </c>
      <c r="H1053" s="16" t="s">
        <v>1735</v>
      </c>
      <c r="I1053" s="33">
        <v>46.135</v>
      </c>
      <c r="J1053" s="35"/>
      <c r="K1053" s="35"/>
      <c r="L1053" s="34"/>
      <c r="M1053" s="16"/>
      <c r="N1053" s="34"/>
      <c r="O1053" s="35"/>
      <c r="P1053" s="34"/>
      <c r="Q1053" s="46">
        <f t="shared" si="35"/>
        <v>0</v>
      </c>
      <c r="R1053" s="47">
        <f t="shared" si="34"/>
        <v>46.135</v>
      </c>
      <c r="S1053" s="48"/>
    </row>
    <row r="1054" s="1" customFormat="1" customHeight="1" spans="1:19">
      <c r="A1054" s="14">
        <v>1181</v>
      </c>
      <c r="B1054" s="20">
        <v>46113</v>
      </c>
      <c r="C1054" s="72" t="s">
        <v>953</v>
      </c>
      <c r="D1054" s="73" t="s">
        <v>1925</v>
      </c>
      <c r="E1054" s="74" t="s">
        <v>1926</v>
      </c>
      <c r="F1054" s="26" t="s">
        <v>1176</v>
      </c>
      <c r="G1054" s="19" t="s">
        <v>1734</v>
      </c>
      <c r="H1054" s="16" t="s">
        <v>1741</v>
      </c>
      <c r="I1054" s="33">
        <v>72.96</v>
      </c>
      <c r="J1054" s="35">
        <v>72.96</v>
      </c>
      <c r="K1054" s="35"/>
      <c r="L1054" s="34">
        <v>46137</v>
      </c>
      <c r="M1054" s="16"/>
      <c r="N1054" s="34"/>
      <c r="O1054" s="16"/>
      <c r="P1054" s="34"/>
      <c r="Q1054" s="46">
        <f t="shared" si="35"/>
        <v>72.96</v>
      </c>
      <c r="R1054" s="47">
        <f t="shared" si="34"/>
        <v>0</v>
      </c>
      <c r="S1054" s="48"/>
    </row>
    <row r="1055" s="1" customFormat="1" customHeight="1" spans="1:19">
      <c r="A1055" s="14">
        <v>1182</v>
      </c>
      <c r="B1055" s="20">
        <v>46113</v>
      </c>
      <c r="C1055" s="16" t="s">
        <v>1935</v>
      </c>
      <c r="D1055" s="71" t="s">
        <v>1949</v>
      </c>
      <c r="E1055" s="75" t="s">
        <v>956</v>
      </c>
      <c r="F1055" s="26" t="s">
        <v>1176</v>
      </c>
      <c r="G1055" s="19" t="s">
        <v>1734</v>
      </c>
      <c r="H1055" s="16" t="s">
        <v>1741</v>
      </c>
      <c r="I1055" s="33">
        <v>385.02</v>
      </c>
      <c r="J1055" s="35">
        <v>385.02</v>
      </c>
      <c r="K1055" s="35"/>
      <c r="L1055" s="34">
        <v>46123</v>
      </c>
      <c r="M1055" s="16"/>
      <c r="N1055" s="34"/>
      <c r="O1055" s="16"/>
      <c r="P1055" s="34"/>
      <c r="Q1055" s="46">
        <f t="shared" si="35"/>
        <v>385.02</v>
      </c>
      <c r="R1055" s="47">
        <f t="shared" si="34"/>
        <v>0</v>
      </c>
      <c r="S1055" s="48"/>
    </row>
    <row r="1056" s="1" customFormat="1" customHeight="1" spans="1:19">
      <c r="A1056" s="14">
        <v>1183</v>
      </c>
      <c r="B1056" s="20">
        <v>46113</v>
      </c>
      <c r="C1056" s="16" t="s">
        <v>1935</v>
      </c>
      <c r="D1056" s="71" t="s">
        <v>1949</v>
      </c>
      <c r="E1056" s="75" t="s">
        <v>956</v>
      </c>
      <c r="F1056" s="26" t="s">
        <v>1176</v>
      </c>
      <c r="G1056" s="19" t="s">
        <v>1734</v>
      </c>
      <c r="H1056" s="16" t="s">
        <v>1741</v>
      </c>
      <c r="I1056" s="33">
        <v>583.74</v>
      </c>
      <c r="J1056" s="35">
        <v>583.74</v>
      </c>
      <c r="K1056" s="35"/>
      <c r="L1056" s="34">
        <v>46123</v>
      </c>
      <c r="M1056" s="16"/>
      <c r="N1056" s="34"/>
      <c r="O1056" s="16"/>
      <c r="P1056" s="34"/>
      <c r="Q1056" s="46">
        <f t="shared" si="35"/>
        <v>583.74</v>
      </c>
      <c r="R1056" s="47">
        <f t="shared" si="34"/>
        <v>0</v>
      </c>
      <c r="S1056" s="48"/>
    </row>
    <row r="1057" s="1" customFormat="1" customHeight="1" spans="1:19">
      <c r="A1057" s="14">
        <v>1184</v>
      </c>
      <c r="B1057" s="20">
        <v>46113</v>
      </c>
      <c r="C1057" s="76" t="s">
        <v>16</v>
      </c>
      <c r="D1057" s="77" t="s">
        <v>1847</v>
      </c>
      <c r="E1057" s="75" t="s">
        <v>1936</v>
      </c>
      <c r="F1057" s="26" t="s">
        <v>1176</v>
      </c>
      <c r="G1057" s="19" t="s">
        <v>1734</v>
      </c>
      <c r="H1057" s="16" t="s">
        <v>1741</v>
      </c>
      <c r="I1057" s="33">
        <v>0</v>
      </c>
      <c r="J1057" s="35"/>
      <c r="K1057" s="35"/>
      <c r="L1057" s="34"/>
      <c r="M1057" s="16"/>
      <c r="N1057" s="34"/>
      <c r="O1057" s="35"/>
      <c r="P1057" s="34"/>
      <c r="Q1057" s="46">
        <f t="shared" si="35"/>
        <v>0</v>
      </c>
      <c r="R1057" s="47">
        <f t="shared" si="34"/>
        <v>0</v>
      </c>
      <c r="S1057" s="48"/>
    </row>
    <row r="1058" s="1" customFormat="1" customHeight="1" spans="1:19">
      <c r="A1058" s="14">
        <v>1185</v>
      </c>
      <c r="B1058" s="20">
        <v>46113</v>
      </c>
      <c r="C1058" s="76" t="s">
        <v>16</v>
      </c>
      <c r="D1058" s="77" t="s">
        <v>1847</v>
      </c>
      <c r="E1058" s="75" t="s">
        <v>1848</v>
      </c>
      <c r="F1058" s="26" t="s">
        <v>1176</v>
      </c>
      <c r="G1058" s="19" t="s">
        <v>1734</v>
      </c>
      <c r="H1058" s="16" t="s">
        <v>1741</v>
      </c>
      <c r="I1058" s="33">
        <v>66.88</v>
      </c>
      <c r="J1058" s="35">
        <v>66.88</v>
      </c>
      <c r="K1058" s="35"/>
      <c r="L1058" s="34">
        <v>46122</v>
      </c>
      <c r="M1058" s="16"/>
      <c r="N1058" s="34"/>
      <c r="O1058" s="35"/>
      <c r="P1058" s="34"/>
      <c r="Q1058" s="46">
        <f t="shared" si="35"/>
        <v>66.88</v>
      </c>
      <c r="R1058" s="47">
        <f t="shared" si="34"/>
        <v>0</v>
      </c>
      <c r="S1058" s="48"/>
    </row>
    <row r="1059" s="1" customFormat="1" customHeight="1" spans="1:19">
      <c r="A1059" s="14">
        <v>1186</v>
      </c>
      <c r="B1059" s="20">
        <v>46113</v>
      </c>
      <c r="C1059" s="76" t="s">
        <v>16</v>
      </c>
      <c r="D1059" s="77" t="s">
        <v>946</v>
      </c>
      <c r="E1059" s="75" t="s">
        <v>948</v>
      </c>
      <c r="F1059" s="26" t="s">
        <v>1176</v>
      </c>
      <c r="G1059" s="19" t="s">
        <v>1734</v>
      </c>
      <c r="H1059" s="16" t="s">
        <v>1741</v>
      </c>
      <c r="I1059" s="33">
        <v>24.32</v>
      </c>
      <c r="J1059" s="35">
        <v>24.32</v>
      </c>
      <c r="K1059" s="35"/>
      <c r="L1059" s="34">
        <v>46122</v>
      </c>
      <c r="M1059" s="16"/>
      <c r="N1059" s="34"/>
      <c r="O1059" s="35"/>
      <c r="P1059" s="34"/>
      <c r="Q1059" s="46">
        <f t="shared" si="35"/>
        <v>24.32</v>
      </c>
      <c r="R1059" s="47">
        <f t="shared" si="34"/>
        <v>0</v>
      </c>
      <c r="S1059" s="48"/>
    </row>
    <row r="1060" s="1" customFormat="1" customHeight="1" spans="1:19">
      <c r="A1060" s="14">
        <v>1187</v>
      </c>
      <c r="B1060" s="20">
        <v>46113</v>
      </c>
      <c r="C1060" s="76" t="s">
        <v>16</v>
      </c>
      <c r="D1060" s="77" t="s">
        <v>1847</v>
      </c>
      <c r="E1060" s="75" t="s">
        <v>1912</v>
      </c>
      <c r="F1060" s="26" t="s">
        <v>1176</v>
      </c>
      <c r="G1060" s="19" t="s">
        <v>1734</v>
      </c>
      <c r="H1060" s="16" t="s">
        <v>1741</v>
      </c>
      <c r="I1060" s="33">
        <v>0</v>
      </c>
      <c r="J1060" s="35"/>
      <c r="K1060" s="35"/>
      <c r="L1060" s="34"/>
      <c r="M1060" s="16"/>
      <c r="N1060" s="34"/>
      <c r="O1060" s="35"/>
      <c r="P1060" s="34"/>
      <c r="Q1060" s="46">
        <f t="shared" si="35"/>
        <v>0</v>
      </c>
      <c r="R1060" s="47">
        <f t="shared" si="34"/>
        <v>0</v>
      </c>
      <c r="S1060" s="48"/>
    </row>
    <row r="1061" s="1" customFormat="1" customHeight="1" spans="1:19">
      <c r="A1061" s="14">
        <v>1188</v>
      </c>
      <c r="B1061" s="20">
        <v>46113</v>
      </c>
      <c r="C1061" s="76" t="s">
        <v>16</v>
      </c>
      <c r="D1061" s="77" t="s">
        <v>1847</v>
      </c>
      <c r="E1061" s="75" t="s">
        <v>1836</v>
      </c>
      <c r="F1061" s="26" t="s">
        <v>1176</v>
      </c>
      <c r="G1061" s="19" t="s">
        <v>1734</v>
      </c>
      <c r="H1061" s="16" t="s">
        <v>1741</v>
      </c>
      <c r="I1061" s="33">
        <v>6.08</v>
      </c>
      <c r="J1061" s="35">
        <v>6.08</v>
      </c>
      <c r="K1061" s="35"/>
      <c r="L1061" s="34">
        <v>46155</v>
      </c>
      <c r="M1061" s="16"/>
      <c r="N1061" s="34"/>
      <c r="O1061" s="16"/>
      <c r="P1061" s="34"/>
      <c r="Q1061" s="46">
        <f t="shared" si="35"/>
        <v>6.08</v>
      </c>
      <c r="R1061" s="47">
        <f t="shared" si="34"/>
        <v>0</v>
      </c>
      <c r="S1061" s="48"/>
    </row>
    <row r="1062" s="1" customFormat="1" customHeight="1" spans="1:19">
      <c r="A1062" s="14">
        <v>1190</v>
      </c>
      <c r="B1062" s="20">
        <v>46113</v>
      </c>
      <c r="C1062" s="76" t="s">
        <v>16</v>
      </c>
      <c r="D1062" s="78" t="s">
        <v>43</v>
      </c>
      <c r="E1062" s="75" t="s">
        <v>45</v>
      </c>
      <c r="F1062" s="26" t="s">
        <v>1176</v>
      </c>
      <c r="G1062" s="19" t="s">
        <v>1734</v>
      </c>
      <c r="H1062" s="16" t="s">
        <v>1741</v>
      </c>
      <c r="I1062" s="33">
        <v>12.16</v>
      </c>
      <c r="J1062" s="35">
        <v>12.16</v>
      </c>
      <c r="K1062" s="35"/>
      <c r="L1062" s="34">
        <v>46135</v>
      </c>
      <c r="M1062" s="16"/>
      <c r="N1062" s="34"/>
      <c r="O1062" s="16"/>
      <c r="P1062" s="34"/>
      <c r="Q1062" s="46">
        <f t="shared" si="35"/>
        <v>12.16</v>
      </c>
      <c r="R1062" s="47">
        <f t="shared" si="34"/>
        <v>0</v>
      </c>
      <c r="S1062" s="48"/>
    </row>
    <row r="1063" s="1" customFormat="1" customHeight="1" spans="1:19">
      <c r="A1063" s="14">
        <v>1191</v>
      </c>
      <c r="B1063" s="20">
        <v>46113</v>
      </c>
      <c r="C1063" s="24" t="s">
        <v>16</v>
      </c>
      <c r="D1063" s="77">
        <v>1003</v>
      </c>
      <c r="E1063" s="75" t="s">
        <v>79</v>
      </c>
      <c r="F1063" s="26" t="s">
        <v>1176</v>
      </c>
      <c r="G1063" s="19" t="s">
        <v>1734</v>
      </c>
      <c r="H1063" s="16" t="s">
        <v>1741</v>
      </c>
      <c r="I1063" s="33">
        <v>6.08</v>
      </c>
      <c r="J1063" s="35">
        <v>6.08</v>
      </c>
      <c r="K1063" s="35"/>
      <c r="L1063" s="34">
        <v>46119</v>
      </c>
      <c r="M1063" s="16"/>
      <c r="N1063" s="34"/>
      <c r="O1063" s="35"/>
      <c r="P1063" s="34"/>
      <c r="Q1063" s="46">
        <f t="shared" si="35"/>
        <v>6.08</v>
      </c>
      <c r="R1063" s="47">
        <f t="shared" si="34"/>
        <v>0</v>
      </c>
      <c r="S1063" s="48"/>
    </row>
    <row r="1064" s="1" customFormat="1" customHeight="1" spans="1:19">
      <c r="A1064" s="14">
        <v>1192</v>
      </c>
      <c r="B1064" s="20">
        <v>46113</v>
      </c>
      <c r="C1064" s="16" t="s">
        <v>16</v>
      </c>
      <c r="D1064" s="77">
        <v>1008</v>
      </c>
      <c r="E1064" s="75" t="s">
        <v>114</v>
      </c>
      <c r="F1064" s="26" t="s">
        <v>1176</v>
      </c>
      <c r="G1064" s="19" t="s">
        <v>1734</v>
      </c>
      <c r="H1064" s="16" t="s">
        <v>1741</v>
      </c>
      <c r="I1064" s="33">
        <v>589.76</v>
      </c>
      <c r="J1064" s="35">
        <v>589.76</v>
      </c>
      <c r="K1064" s="35"/>
      <c r="L1064" s="34">
        <v>46128</v>
      </c>
      <c r="M1064" s="16"/>
      <c r="N1064" s="34"/>
      <c r="O1064" s="35"/>
      <c r="P1064" s="34"/>
      <c r="Q1064" s="46">
        <f t="shared" si="35"/>
        <v>589.76</v>
      </c>
      <c r="R1064" s="47">
        <f t="shared" si="34"/>
        <v>0</v>
      </c>
      <c r="S1064" s="48"/>
    </row>
    <row r="1065" s="1" customFormat="1" customHeight="1" spans="1:19">
      <c r="A1065" s="14">
        <v>1193</v>
      </c>
      <c r="B1065" s="20">
        <v>46113</v>
      </c>
      <c r="C1065" s="76" t="s">
        <v>16</v>
      </c>
      <c r="D1065" s="77" t="s">
        <v>1937</v>
      </c>
      <c r="E1065" s="75" t="s">
        <v>120</v>
      </c>
      <c r="F1065" s="26" t="s">
        <v>1176</v>
      </c>
      <c r="G1065" s="19" t="s">
        <v>1734</v>
      </c>
      <c r="H1065" s="16" t="s">
        <v>1741</v>
      </c>
      <c r="I1065" s="33">
        <v>717.44</v>
      </c>
      <c r="J1065" s="35">
        <v>717.44</v>
      </c>
      <c r="K1065" s="35"/>
      <c r="L1065" s="34">
        <v>46122</v>
      </c>
      <c r="M1065" s="16"/>
      <c r="N1065" s="34"/>
      <c r="O1065" s="35"/>
      <c r="P1065" s="34"/>
      <c r="Q1065" s="46">
        <f t="shared" si="35"/>
        <v>717.44</v>
      </c>
      <c r="R1065" s="47">
        <f t="shared" si="34"/>
        <v>0</v>
      </c>
      <c r="S1065" s="48"/>
    </row>
    <row r="1066" s="1" customFormat="1" customHeight="1" spans="1:19">
      <c r="A1066" s="14">
        <v>1194</v>
      </c>
      <c r="B1066" s="20">
        <v>46113</v>
      </c>
      <c r="C1066" s="76" t="s">
        <v>16</v>
      </c>
      <c r="D1066" s="77" t="s">
        <v>1800</v>
      </c>
      <c r="E1066" s="75" t="s">
        <v>126</v>
      </c>
      <c r="F1066" s="26" t="s">
        <v>1176</v>
      </c>
      <c r="G1066" s="19" t="s">
        <v>1734</v>
      </c>
      <c r="H1066" s="16" t="s">
        <v>1741</v>
      </c>
      <c r="I1066" s="33">
        <v>322.24</v>
      </c>
      <c r="J1066" s="35">
        <v>322.24</v>
      </c>
      <c r="K1066" s="35"/>
      <c r="L1066" s="34">
        <v>46120</v>
      </c>
      <c r="M1066" s="16"/>
      <c r="N1066" s="34"/>
      <c r="O1066" s="35"/>
      <c r="P1066" s="34"/>
      <c r="Q1066" s="46">
        <f t="shared" si="35"/>
        <v>322.24</v>
      </c>
      <c r="R1066" s="47">
        <f t="shared" si="34"/>
        <v>0</v>
      </c>
      <c r="S1066" s="48"/>
    </row>
    <row r="1067" s="1" customFormat="1" customHeight="1" spans="1:19">
      <c r="A1067" s="14">
        <v>1195</v>
      </c>
      <c r="B1067" s="20">
        <v>46113</v>
      </c>
      <c r="C1067" s="76" t="s">
        <v>16</v>
      </c>
      <c r="D1067" s="77" t="s">
        <v>1025</v>
      </c>
      <c r="E1067" s="75" t="s">
        <v>1317</v>
      </c>
      <c r="F1067" s="26" t="s">
        <v>1176</v>
      </c>
      <c r="G1067" s="19" t="s">
        <v>1734</v>
      </c>
      <c r="H1067" s="16" t="s">
        <v>1741</v>
      </c>
      <c r="I1067" s="33">
        <v>273.6</v>
      </c>
      <c r="J1067" s="35">
        <v>273.6</v>
      </c>
      <c r="K1067" s="35"/>
      <c r="L1067" s="34">
        <v>46120</v>
      </c>
      <c r="M1067" s="16"/>
      <c r="N1067" s="34"/>
      <c r="O1067" s="16"/>
      <c r="P1067" s="34"/>
      <c r="Q1067" s="46">
        <f t="shared" si="35"/>
        <v>273.6</v>
      </c>
      <c r="R1067" s="47">
        <f t="shared" si="34"/>
        <v>0</v>
      </c>
      <c r="S1067" s="48"/>
    </row>
    <row r="1068" s="1" customFormat="1" customHeight="1" spans="1:19">
      <c r="A1068" s="14">
        <v>1196</v>
      </c>
      <c r="B1068" s="20">
        <v>46113</v>
      </c>
      <c r="C1068" s="76" t="s">
        <v>16</v>
      </c>
      <c r="D1068" s="77" t="s">
        <v>1767</v>
      </c>
      <c r="E1068" s="75" t="s">
        <v>1768</v>
      </c>
      <c r="F1068" s="26" t="s">
        <v>1176</v>
      </c>
      <c r="G1068" s="19" t="s">
        <v>1734</v>
      </c>
      <c r="H1068" s="16" t="s">
        <v>1741</v>
      </c>
      <c r="I1068" s="33">
        <v>997.12</v>
      </c>
      <c r="J1068" s="35">
        <v>997.12</v>
      </c>
      <c r="K1068" s="35"/>
      <c r="L1068" s="34">
        <v>46128</v>
      </c>
      <c r="M1068" s="16"/>
      <c r="N1068" s="34"/>
      <c r="O1068" s="16"/>
      <c r="P1068" s="34"/>
      <c r="Q1068" s="46">
        <f t="shared" si="35"/>
        <v>997.12</v>
      </c>
      <c r="R1068" s="47">
        <f t="shared" si="34"/>
        <v>0</v>
      </c>
      <c r="S1068" s="48"/>
    </row>
    <row r="1069" s="1" customFormat="1" customHeight="1" spans="1:19">
      <c r="A1069" s="14">
        <v>1197</v>
      </c>
      <c r="B1069" s="20">
        <v>46113</v>
      </c>
      <c r="C1069" s="76" t="s">
        <v>285</v>
      </c>
      <c r="D1069" s="77">
        <v>2001</v>
      </c>
      <c r="E1069" s="75" t="s">
        <v>288</v>
      </c>
      <c r="F1069" s="26" t="s">
        <v>1176</v>
      </c>
      <c r="G1069" s="19" t="s">
        <v>1734</v>
      </c>
      <c r="H1069" s="16" t="s">
        <v>1741</v>
      </c>
      <c r="I1069" s="33">
        <v>1276.8</v>
      </c>
      <c r="J1069" s="35">
        <v>1276.8</v>
      </c>
      <c r="K1069" s="35"/>
      <c r="L1069" s="34">
        <v>46122</v>
      </c>
      <c r="M1069" s="16"/>
      <c r="N1069" s="34"/>
      <c r="O1069" s="16"/>
      <c r="P1069" s="34"/>
      <c r="Q1069" s="46">
        <f t="shared" si="35"/>
        <v>1276.8</v>
      </c>
      <c r="R1069" s="47">
        <f t="shared" si="34"/>
        <v>0</v>
      </c>
      <c r="S1069" s="48"/>
    </row>
    <row r="1070" s="1" customFormat="1" customHeight="1" spans="1:19">
      <c r="A1070" s="14">
        <v>1198</v>
      </c>
      <c r="B1070" s="20">
        <v>46113</v>
      </c>
      <c r="C1070" s="76" t="s">
        <v>285</v>
      </c>
      <c r="D1070" s="77" t="s">
        <v>1756</v>
      </c>
      <c r="E1070" s="75" t="s">
        <v>338</v>
      </c>
      <c r="F1070" s="26" t="s">
        <v>1176</v>
      </c>
      <c r="G1070" s="19" t="s">
        <v>1734</v>
      </c>
      <c r="H1070" s="16" t="s">
        <v>1741</v>
      </c>
      <c r="I1070" s="33">
        <v>42.56</v>
      </c>
      <c r="J1070" s="35">
        <v>42.56</v>
      </c>
      <c r="K1070" s="35">
        <v>57.44</v>
      </c>
      <c r="L1070" s="34">
        <v>46141</v>
      </c>
      <c r="M1070" s="16"/>
      <c r="N1070" s="34"/>
      <c r="O1070" s="35"/>
      <c r="P1070" s="34"/>
      <c r="Q1070" s="46">
        <f t="shared" si="35"/>
        <v>42.56</v>
      </c>
      <c r="R1070" s="47">
        <f t="shared" si="34"/>
        <v>0</v>
      </c>
      <c r="S1070" s="48"/>
    </row>
    <row r="1071" s="1" customFormat="1" customHeight="1" spans="1:19">
      <c r="A1071" s="14">
        <v>1199</v>
      </c>
      <c r="B1071" s="20">
        <v>46113</v>
      </c>
      <c r="C1071" s="76" t="s">
        <v>285</v>
      </c>
      <c r="D1071" s="77">
        <v>2027</v>
      </c>
      <c r="E1071" s="75" t="s">
        <v>452</v>
      </c>
      <c r="F1071" s="26" t="s">
        <v>1176</v>
      </c>
      <c r="G1071" s="19" t="s">
        <v>1734</v>
      </c>
      <c r="H1071" s="16" t="s">
        <v>1741</v>
      </c>
      <c r="I1071" s="33">
        <v>18.24</v>
      </c>
      <c r="J1071" s="35">
        <v>18.24</v>
      </c>
      <c r="K1071" s="35"/>
      <c r="L1071" s="34">
        <v>46228</v>
      </c>
      <c r="M1071" s="16"/>
      <c r="N1071" s="34"/>
      <c r="O1071" s="35"/>
      <c r="P1071" s="34"/>
      <c r="Q1071" s="46">
        <f t="shared" si="35"/>
        <v>18.24</v>
      </c>
      <c r="R1071" s="47">
        <f t="shared" si="34"/>
        <v>0</v>
      </c>
      <c r="S1071" s="48"/>
    </row>
    <row r="1072" s="1" customFormat="1" customHeight="1" spans="1:19">
      <c r="A1072" s="14">
        <v>1200</v>
      </c>
      <c r="B1072" s="20">
        <v>46113</v>
      </c>
      <c r="C1072" s="76" t="s">
        <v>285</v>
      </c>
      <c r="D1072" s="77">
        <v>2036</v>
      </c>
      <c r="E1072" s="75" t="s">
        <v>479</v>
      </c>
      <c r="F1072" s="26" t="s">
        <v>1176</v>
      </c>
      <c r="G1072" s="19" t="s">
        <v>1734</v>
      </c>
      <c r="H1072" s="16" t="s">
        <v>1741</v>
      </c>
      <c r="I1072" s="33">
        <v>18.24</v>
      </c>
      <c r="J1072" s="35">
        <v>18.24</v>
      </c>
      <c r="K1072" s="35"/>
      <c r="L1072" s="34">
        <v>46203</v>
      </c>
      <c r="M1072" s="16"/>
      <c r="N1072" s="34"/>
      <c r="O1072" s="35"/>
      <c r="P1072" s="34"/>
      <c r="Q1072" s="46">
        <f t="shared" si="35"/>
        <v>18.24</v>
      </c>
      <c r="R1072" s="47">
        <f t="shared" si="34"/>
        <v>0</v>
      </c>
      <c r="S1072" s="48"/>
    </row>
    <row r="1073" s="1" customFormat="1" customHeight="1" spans="1:19">
      <c r="A1073" s="14">
        <v>1201</v>
      </c>
      <c r="B1073" s="20">
        <v>46113</v>
      </c>
      <c r="C1073" s="76" t="s">
        <v>491</v>
      </c>
      <c r="D1073" s="77">
        <v>3001</v>
      </c>
      <c r="E1073" s="75" t="s">
        <v>494</v>
      </c>
      <c r="F1073" s="26" t="s">
        <v>1176</v>
      </c>
      <c r="G1073" s="19" t="s">
        <v>1734</v>
      </c>
      <c r="H1073" s="16" t="s">
        <v>1741</v>
      </c>
      <c r="I1073" s="33">
        <v>79.04</v>
      </c>
      <c r="J1073" s="35">
        <v>79.04</v>
      </c>
      <c r="K1073" s="35"/>
      <c r="L1073" s="34">
        <v>46135</v>
      </c>
      <c r="M1073" s="16"/>
      <c r="N1073" s="34"/>
      <c r="O1073" s="35"/>
      <c r="P1073" s="34"/>
      <c r="Q1073" s="46">
        <f t="shared" si="35"/>
        <v>79.04</v>
      </c>
      <c r="R1073" s="47">
        <f t="shared" si="34"/>
        <v>0</v>
      </c>
      <c r="S1073" s="48"/>
    </row>
    <row r="1074" s="1" customFormat="1" customHeight="1" spans="1:19">
      <c r="A1074" s="14">
        <v>1202</v>
      </c>
      <c r="B1074" s="20">
        <v>46113</v>
      </c>
      <c r="C1074" s="76" t="s">
        <v>491</v>
      </c>
      <c r="D1074" s="77">
        <v>3001</v>
      </c>
      <c r="E1074" s="75" t="s">
        <v>1913</v>
      </c>
      <c r="F1074" s="26" t="s">
        <v>1176</v>
      </c>
      <c r="G1074" s="19" t="s">
        <v>1734</v>
      </c>
      <c r="H1074" s="16" t="s">
        <v>1741</v>
      </c>
      <c r="I1074" s="33">
        <v>0</v>
      </c>
      <c r="J1074" s="35"/>
      <c r="K1074" s="35"/>
      <c r="L1074" s="34"/>
      <c r="M1074" s="16"/>
      <c r="N1074" s="34"/>
      <c r="O1074" s="16"/>
      <c r="P1074" s="34"/>
      <c r="Q1074" s="46">
        <f t="shared" si="35"/>
        <v>0</v>
      </c>
      <c r="R1074" s="47">
        <f t="shared" si="34"/>
        <v>0</v>
      </c>
      <c r="S1074" s="48"/>
    </row>
    <row r="1075" s="1" customFormat="1" customHeight="1" spans="1:19">
      <c r="A1075" s="14">
        <v>1203</v>
      </c>
      <c r="B1075" s="20">
        <v>46113</v>
      </c>
      <c r="C1075" s="76" t="s">
        <v>491</v>
      </c>
      <c r="D1075" s="77">
        <v>3011</v>
      </c>
      <c r="E1075" s="75" t="s">
        <v>1911</v>
      </c>
      <c r="F1075" s="26" t="s">
        <v>1176</v>
      </c>
      <c r="G1075" s="19" t="s">
        <v>1734</v>
      </c>
      <c r="H1075" s="16" t="s">
        <v>1741</v>
      </c>
      <c r="I1075" s="33">
        <v>0</v>
      </c>
      <c r="J1075" s="35"/>
      <c r="K1075" s="35"/>
      <c r="L1075" s="34"/>
      <c r="M1075" s="16"/>
      <c r="N1075" s="34"/>
      <c r="O1075" s="16"/>
      <c r="P1075" s="34"/>
      <c r="Q1075" s="46">
        <f t="shared" si="35"/>
        <v>0</v>
      </c>
      <c r="R1075" s="47">
        <f t="shared" si="34"/>
        <v>0</v>
      </c>
      <c r="S1075" s="48"/>
    </row>
    <row r="1076" s="1" customFormat="1" customHeight="1" spans="1:19">
      <c r="A1076" s="14">
        <v>1204</v>
      </c>
      <c r="B1076" s="20">
        <v>46113</v>
      </c>
      <c r="C1076" s="76" t="s">
        <v>491</v>
      </c>
      <c r="D1076" s="77">
        <v>3012</v>
      </c>
      <c r="E1076" s="75" t="s">
        <v>1914</v>
      </c>
      <c r="F1076" s="26" t="s">
        <v>1176</v>
      </c>
      <c r="G1076" s="19" t="s">
        <v>1734</v>
      </c>
      <c r="H1076" s="16" t="s">
        <v>1741</v>
      </c>
      <c r="I1076" s="33">
        <v>0</v>
      </c>
      <c r="J1076" s="35"/>
      <c r="K1076" s="35"/>
      <c r="L1076" s="34"/>
      <c r="M1076" s="16"/>
      <c r="N1076" s="34"/>
      <c r="O1076" s="16"/>
      <c r="P1076" s="34"/>
      <c r="Q1076" s="46">
        <f t="shared" si="35"/>
        <v>0</v>
      </c>
      <c r="R1076" s="47">
        <f t="shared" si="34"/>
        <v>0</v>
      </c>
      <c r="S1076" s="48"/>
    </row>
    <row r="1077" s="1" customFormat="1" customHeight="1" spans="1:19">
      <c r="A1077" s="14">
        <v>1205</v>
      </c>
      <c r="B1077" s="20">
        <v>46113</v>
      </c>
      <c r="C1077" s="76" t="s">
        <v>491</v>
      </c>
      <c r="D1077" s="77" t="s">
        <v>1915</v>
      </c>
      <c r="E1077" s="75" t="s">
        <v>565</v>
      </c>
      <c r="F1077" s="26" t="s">
        <v>1176</v>
      </c>
      <c r="G1077" s="19" t="s">
        <v>1734</v>
      </c>
      <c r="H1077" s="16" t="s">
        <v>1741</v>
      </c>
      <c r="I1077" s="33">
        <v>30.4</v>
      </c>
      <c r="J1077" s="35">
        <v>30.4</v>
      </c>
      <c r="K1077" s="35"/>
      <c r="L1077" s="34">
        <v>46130</v>
      </c>
      <c r="M1077" s="16"/>
      <c r="N1077" s="34"/>
      <c r="O1077" s="35"/>
      <c r="P1077" s="34"/>
      <c r="Q1077" s="46">
        <f t="shared" si="35"/>
        <v>30.4</v>
      </c>
      <c r="R1077" s="47">
        <f t="shared" si="34"/>
        <v>0</v>
      </c>
      <c r="S1077" s="48"/>
    </row>
    <row r="1078" s="1" customFormat="1" customHeight="1" spans="1:19">
      <c r="A1078" s="14">
        <v>1206</v>
      </c>
      <c r="B1078" s="20">
        <v>46113</v>
      </c>
      <c r="C1078" s="76" t="s">
        <v>491</v>
      </c>
      <c r="D1078" s="77">
        <v>3023</v>
      </c>
      <c r="E1078" s="75" t="s">
        <v>577</v>
      </c>
      <c r="F1078" s="26" t="s">
        <v>1176</v>
      </c>
      <c r="G1078" s="19" t="s">
        <v>1734</v>
      </c>
      <c r="H1078" s="16" t="s">
        <v>1741</v>
      </c>
      <c r="I1078" s="33">
        <v>6.08</v>
      </c>
      <c r="J1078" s="35">
        <v>6.08</v>
      </c>
      <c r="K1078" s="35">
        <v>0.31</v>
      </c>
      <c r="L1078" s="34">
        <v>46201</v>
      </c>
      <c r="M1078" s="16"/>
      <c r="N1078" s="34"/>
      <c r="O1078" s="35"/>
      <c r="P1078" s="34"/>
      <c r="Q1078" s="46">
        <f t="shared" si="35"/>
        <v>6.08</v>
      </c>
      <c r="R1078" s="47">
        <f t="shared" si="34"/>
        <v>0</v>
      </c>
      <c r="S1078" s="48"/>
    </row>
    <row r="1079" s="1" customFormat="1" customHeight="1" spans="1:19">
      <c r="A1079" s="14">
        <v>1207</v>
      </c>
      <c r="B1079" s="20">
        <v>46113</v>
      </c>
      <c r="C1079" s="76" t="s">
        <v>491</v>
      </c>
      <c r="D1079" s="77" t="s">
        <v>1794</v>
      </c>
      <c r="E1079" s="75" t="s">
        <v>1795</v>
      </c>
      <c r="F1079" s="26" t="s">
        <v>1176</v>
      </c>
      <c r="G1079" s="19" t="s">
        <v>1734</v>
      </c>
      <c r="H1079" s="16" t="s">
        <v>1741</v>
      </c>
      <c r="I1079" s="33">
        <v>0</v>
      </c>
      <c r="J1079" s="35"/>
      <c r="K1079" s="35"/>
      <c r="L1079" s="34"/>
      <c r="M1079" s="16"/>
      <c r="N1079" s="34"/>
      <c r="O1079" s="35"/>
      <c r="P1079" s="34"/>
      <c r="Q1079" s="46">
        <f t="shared" si="35"/>
        <v>0</v>
      </c>
      <c r="R1079" s="47">
        <f t="shared" si="34"/>
        <v>0</v>
      </c>
      <c r="S1079" s="48"/>
    </row>
    <row r="1080" s="1" customFormat="1" customHeight="1" spans="1:19">
      <c r="A1080" s="14">
        <v>1208</v>
      </c>
      <c r="B1080" s="20">
        <v>46113</v>
      </c>
      <c r="C1080" s="76" t="s">
        <v>491</v>
      </c>
      <c r="D1080" s="77">
        <v>3020</v>
      </c>
      <c r="E1080" s="75" t="s">
        <v>1916</v>
      </c>
      <c r="F1080" s="26" t="s">
        <v>1176</v>
      </c>
      <c r="G1080" s="19" t="s">
        <v>1734</v>
      </c>
      <c r="H1080" s="16" t="s">
        <v>1741</v>
      </c>
      <c r="I1080" s="33">
        <v>0</v>
      </c>
      <c r="J1080" s="35"/>
      <c r="K1080" s="35"/>
      <c r="L1080" s="34"/>
      <c r="M1080" s="16"/>
      <c r="N1080" s="34"/>
      <c r="O1080" s="35"/>
      <c r="P1080" s="34"/>
      <c r="Q1080" s="46">
        <f t="shared" si="35"/>
        <v>0</v>
      </c>
      <c r="R1080" s="47">
        <f t="shared" si="34"/>
        <v>0</v>
      </c>
      <c r="S1080" s="48"/>
    </row>
    <row r="1081" s="1" customFormat="1" customHeight="1" spans="1:19">
      <c r="A1081" s="14">
        <v>1209</v>
      </c>
      <c r="B1081" s="20">
        <v>46113</v>
      </c>
      <c r="C1081" s="16" t="s">
        <v>491</v>
      </c>
      <c r="D1081" s="77">
        <v>3033</v>
      </c>
      <c r="E1081" s="75" t="s">
        <v>617</v>
      </c>
      <c r="F1081" s="26" t="s">
        <v>1176</v>
      </c>
      <c r="G1081" s="19" t="s">
        <v>1734</v>
      </c>
      <c r="H1081" s="16" t="s">
        <v>1741</v>
      </c>
      <c r="I1081" s="33">
        <v>24.32</v>
      </c>
      <c r="J1081" s="35">
        <v>24.32</v>
      </c>
      <c r="K1081" s="35"/>
      <c r="L1081" s="34">
        <v>46139</v>
      </c>
      <c r="M1081" s="16"/>
      <c r="N1081" s="34"/>
      <c r="O1081" s="16"/>
      <c r="P1081" s="34"/>
      <c r="Q1081" s="46">
        <f t="shared" si="35"/>
        <v>24.32</v>
      </c>
      <c r="R1081" s="47">
        <f t="shared" si="34"/>
        <v>0</v>
      </c>
      <c r="S1081" s="48"/>
    </row>
    <row r="1082" s="1" customFormat="1" customHeight="1" spans="1:19">
      <c r="A1082" s="14">
        <v>1210</v>
      </c>
      <c r="B1082" s="20">
        <v>46113</v>
      </c>
      <c r="C1082" s="76" t="s">
        <v>630</v>
      </c>
      <c r="D1082" s="79">
        <v>4002</v>
      </c>
      <c r="E1082" s="80" t="s">
        <v>633</v>
      </c>
      <c r="F1082" s="26" t="s">
        <v>1176</v>
      </c>
      <c r="G1082" s="19" t="s">
        <v>1734</v>
      </c>
      <c r="H1082" s="16" t="s">
        <v>1741</v>
      </c>
      <c r="I1082" s="33">
        <v>1018.44</v>
      </c>
      <c r="J1082" s="35">
        <v>1018.44</v>
      </c>
      <c r="K1082" s="35"/>
      <c r="L1082" s="34">
        <v>46120</v>
      </c>
      <c r="M1082" s="16"/>
      <c r="N1082" s="34"/>
      <c r="O1082" s="16"/>
      <c r="P1082" s="34"/>
      <c r="Q1082" s="46">
        <f t="shared" si="35"/>
        <v>1018.44</v>
      </c>
      <c r="R1082" s="47">
        <f t="shared" si="34"/>
        <v>0</v>
      </c>
      <c r="S1082" s="48"/>
    </row>
    <row r="1083" s="1" customFormat="1" customHeight="1" spans="1:19">
      <c r="A1083" s="14">
        <v>1211</v>
      </c>
      <c r="B1083" s="20">
        <v>46113</v>
      </c>
      <c r="C1083" s="76" t="s">
        <v>630</v>
      </c>
      <c r="D1083" s="79" t="s">
        <v>1105</v>
      </c>
      <c r="E1083" s="80" t="s">
        <v>1106</v>
      </c>
      <c r="F1083" s="26" t="s">
        <v>1176</v>
      </c>
      <c r="G1083" s="19" t="s">
        <v>1734</v>
      </c>
      <c r="H1083" s="16" t="s">
        <v>1741</v>
      </c>
      <c r="I1083" s="33">
        <v>235.98</v>
      </c>
      <c r="J1083" s="35">
        <v>235.98</v>
      </c>
      <c r="K1083" s="35"/>
      <c r="L1083" s="34">
        <v>46138</v>
      </c>
      <c r="M1083" s="16"/>
      <c r="N1083" s="34"/>
      <c r="O1083" s="16"/>
      <c r="P1083" s="34"/>
      <c r="Q1083" s="46">
        <f t="shared" si="35"/>
        <v>235.98</v>
      </c>
      <c r="R1083" s="47">
        <f t="shared" si="34"/>
        <v>0</v>
      </c>
      <c r="S1083" s="48"/>
    </row>
    <row r="1084" s="1" customFormat="1" customHeight="1" spans="1:19">
      <c r="A1084" s="14">
        <v>1212</v>
      </c>
      <c r="B1084" s="20">
        <v>46113</v>
      </c>
      <c r="C1084" s="76" t="s">
        <v>630</v>
      </c>
      <c r="D1084" s="79" t="s">
        <v>1105</v>
      </c>
      <c r="E1084" s="80" t="s">
        <v>1106</v>
      </c>
      <c r="F1084" s="26" t="s">
        <v>1176</v>
      </c>
      <c r="G1084" s="19" t="s">
        <v>1734</v>
      </c>
      <c r="H1084" s="16" t="s">
        <v>1741</v>
      </c>
      <c r="I1084" s="33">
        <v>0</v>
      </c>
      <c r="J1084" s="35"/>
      <c r="K1084" s="35"/>
      <c r="L1084" s="34"/>
      <c r="M1084" s="16"/>
      <c r="N1084" s="34"/>
      <c r="O1084" s="35"/>
      <c r="P1084" s="34"/>
      <c r="Q1084" s="46">
        <f t="shared" si="35"/>
        <v>0</v>
      </c>
      <c r="R1084" s="47">
        <f t="shared" si="34"/>
        <v>0</v>
      </c>
      <c r="S1084" s="48"/>
    </row>
    <row r="1085" s="1" customFormat="1" customHeight="1" spans="1:19">
      <c r="A1085" s="14">
        <v>1213</v>
      </c>
      <c r="B1085" s="20">
        <v>46113</v>
      </c>
      <c r="C1085" s="76" t="s">
        <v>630</v>
      </c>
      <c r="D1085" s="77">
        <v>4012</v>
      </c>
      <c r="E1085" s="75" t="s">
        <v>647</v>
      </c>
      <c r="F1085" s="26" t="s">
        <v>1176</v>
      </c>
      <c r="G1085" s="19" t="s">
        <v>1734</v>
      </c>
      <c r="H1085" s="16" t="s">
        <v>1741</v>
      </c>
      <c r="I1085" s="33">
        <v>72.96</v>
      </c>
      <c r="J1085" s="35">
        <v>72.96</v>
      </c>
      <c r="K1085" s="35"/>
      <c r="L1085" s="34">
        <v>46124</v>
      </c>
      <c r="M1085" s="16"/>
      <c r="N1085" s="34"/>
      <c r="O1085" s="35"/>
      <c r="P1085" s="34"/>
      <c r="Q1085" s="46">
        <f t="shared" si="35"/>
        <v>72.96</v>
      </c>
      <c r="R1085" s="47">
        <f t="shared" si="34"/>
        <v>0</v>
      </c>
      <c r="S1085" s="48"/>
    </row>
    <row r="1086" s="1" customFormat="1" customHeight="1" spans="1:19">
      <c r="A1086" s="14">
        <v>1214</v>
      </c>
      <c r="B1086" s="20">
        <v>46113</v>
      </c>
      <c r="C1086" s="76" t="s">
        <v>630</v>
      </c>
      <c r="D1086" s="77">
        <v>4025</v>
      </c>
      <c r="E1086" s="75" t="s">
        <v>1855</v>
      </c>
      <c r="F1086" s="26" t="s">
        <v>1176</v>
      </c>
      <c r="G1086" s="19" t="s">
        <v>1734</v>
      </c>
      <c r="H1086" s="16" t="s">
        <v>1741</v>
      </c>
      <c r="I1086" s="33">
        <v>6.08</v>
      </c>
      <c r="J1086" s="35">
        <v>6.08</v>
      </c>
      <c r="K1086" s="35"/>
      <c r="L1086" s="34">
        <v>46120</v>
      </c>
      <c r="M1086" s="16"/>
      <c r="N1086" s="34"/>
      <c r="O1086" s="35"/>
      <c r="P1086" s="34"/>
      <c r="Q1086" s="46">
        <f t="shared" si="35"/>
        <v>6.08</v>
      </c>
      <c r="R1086" s="47">
        <f t="shared" si="34"/>
        <v>0</v>
      </c>
      <c r="S1086" s="48"/>
    </row>
    <row r="1087" s="1" customFormat="1" customHeight="1" spans="1:19">
      <c r="A1087" s="14">
        <v>1215</v>
      </c>
      <c r="B1087" s="20">
        <v>46113</v>
      </c>
      <c r="C1087" s="76" t="s">
        <v>630</v>
      </c>
      <c r="D1087" s="77">
        <v>4027</v>
      </c>
      <c r="E1087" s="75" t="s">
        <v>1757</v>
      </c>
      <c r="F1087" s="26" t="s">
        <v>1176</v>
      </c>
      <c r="G1087" s="19" t="s">
        <v>1734</v>
      </c>
      <c r="H1087" s="16" t="s">
        <v>1741</v>
      </c>
      <c r="I1087" s="33">
        <v>0</v>
      </c>
      <c r="J1087" s="35"/>
      <c r="K1087" s="35"/>
      <c r="L1087" s="34"/>
      <c r="M1087" s="16"/>
      <c r="N1087" s="34"/>
      <c r="O1087" s="35"/>
      <c r="P1087" s="34"/>
      <c r="Q1087" s="46">
        <f t="shared" si="35"/>
        <v>0</v>
      </c>
      <c r="R1087" s="47">
        <f t="shared" si="34"/>
        <v>0</v>
      </c>
      <c r="S1087" s="48"/>
    </row>
    <row r="1088" s="1" customFormat="1" customHeight="1" spans="1:19">
      <c r="A1088" s="14">
        <v>1216</v>
      </c>
      <c r="B1088" s="20">
        <v>46113</v>
      </c>
      <c r="C1088" s="76" t="s">
        <v>679</v>
      </c>
      <c r="D1088" s="77">
        <v>5001</v>
      </c>
      <c r="E1088" s="75" t="s">
        <v>682</v>
      </c>
      <c r="F1088" s="26" t="s">
        <v>1176</v>
      </c>
      <c r="G1088" s="19" t="s">
        <v>1734</v>
      </c>
      <c r="H1088" s="16" t="s">
        <v>1741</v>
      </c>
      <c r="I1088" s="33">
        <v>1556.48</v>
      </c>
      <c r="J1088" s="35">
        <v>1200</v>
      </c>
      <c r="K1088" s="35"/>
      <c r="L1088" s="34">
        <v>46113</v>
      </c>
      <c r="M1088" s="16"/>
      <c r="N1088" s="34"/>
      <c r="O1088" s="16">
        <v>356.48</v>
      </c>
      <c r="P1088" s="34">
        <v>46174</v>
      </c>
      <c r="Q1088" s="46">
        <f t="shared" si="35"/>
        <v>1556.48</v>
      </c>
      <c r="R1088" s="47">
        <f t="shared" si="34"/>
        <v>0</v>
      </c>
      <c r="S1088" s="48"/>
    </row>
    <row r="1089" s="1" customFormat="1" customHeight="1" spans="1:19">
      <c r="A1089" s="14">
        <v>1217</v>
      </c>
      <c r="B1089" s="20">
        <v>46113</v>
      </c>
      <c r="C1089" s="76" t="s">
        <v>679</v>
      </c>
      <c r="D1089" s="77" t="s">
        <v>1917</v>
      </c>
      <c r="E1089" s="75" t="s">
        <v>1918</v>
      </c>
      <c r="F1089" s="26" t="s">
        <v>1176</v>
      </c>
      <c r="G1089" s="19" t="s">
        <v>1734</v>
      </c>
      <c r="H1089" s="16" t="s">
        <v>1741</v>
      </c>
      <c r="I1089" s="33">
        <v>346.56</v>
      </c>
      <c r="J1089" s="35">
        <v>346.56</v>
      </c>
      <c r="K1089" s="35"/>
      <c r="L1089" s="34">
        <v>46122</v>
      </c>
      <c r="M1089" s="16"/>
      <c r="N1089" s="34"/>
      <c r="O1089" s="16"/>
      <c r="P1089" s="34"/>
      <c r="Q1089" s="46">
        <f t="shared" si="35"/>
        <v>346.56</v>
      </c>
      <c r="R1089" s="47">
        <f t="shared" si="34"/>
        <v>0</v>
      </c>
      <c r="S1089" s="48"/>
    </row>
    <row r="1090" s="1" customFormat="1" customHeight="1" spans="1:19">
      <c r="A1090" s="14">
        <v>1218</v>
      </c>
      <c r="B1090" s="20">
        <v>46113</v>
      </c>
      <c r="C1090" s="76" t="s">
        <v>679</v>
      </c>
      <c r="D1090" s="77">
        <v>5003</v>
      </c>
      <c r="E1090" s="75" t="s">
        <v>696</v>
      </c>
      <c r="F1090" s="26" t="s">
        <v>1176</v>
      </c>
      <c r="G1090" s="19" t="s">
        <v>1734</v>
      </c>
      <c r="H1090" s="16" t="s">
        <v>1741</v>
      </c>
      <c r="I1090" s="33">
        <v>498.56</v>
      </c>
      <c r="J1090" s="35">
        <v>498.56</v>
      </c>
      <c r="K1090" s="35"/>
      <c r="L1090" s="34">
        <v>46121</v>
      </c>
      <c r="M1090" s="16"/>
      <c r="N1090" s="34"/>
      <c r="O1090" s="16"/>
      <c r="P1090" s="34"/>
      <c r="Q1090" s="46">
        <f t="shared" si="35"/>
        <v>498.56</v>
      </c>
      <c r="R1090" s="47">
        <f t="shared" si="34"/>
        <v>0</v>
      </c>
      <c r="S1090" s="48"/>
    </row>
    <row r="1091" s="1" customFormat="1" customHeight="1" spans="1:19">
      <c r="A1091" s="14">
        <v>1219</v>
      </c>
      <c r="B1091" s="20">
        <v>46113</v>
      </c>
      <c r="C1091" s="76" t="s">
        <v>679</v>
      </c>
      <c r="D1091" s="77">
        <v>5005</v>
      </c>
      <c r="E1091" s="75" t="s">
        <v>702</v>
      </c>
      <c r="F1091" s="26" t="s">
        <v>1176</v>
      </c>
      <c r="G1091" s="19" t="s">
        <v>1734</v>
      </c>
      <c r="H1091" s="16" t="s">
        <v>1741</v>
      </c>
      <c r="I1091" s="33">
        <v>103.36</v>
      </c>
      <c r="J1091" s="35">
        <v>103.36</v>
      </c>
      <c r="K1091" s="35"/>
      <c r="L1091" s="34">
        <v>46119</v>
      </c>
      <c r="M1091" s="16"/>
      <c r="N1091" s="34"/>
      <c r="O1091" s="35"/>
      <c r="P1091" s="34"/>
      <c r="Q1091" s="46">
        <f t="shared" si="35"/>
        <v>103.36</v>
      </c>
      <c r="R1091" s="47">
        <f t="shared" si="34"/>
        <v>0</v>
      </c>
      <c r="S1091" s="48"/>
    </row>
    <row r="1092" s="1" customFormat="1" customHeight="1" spans="1:19">
      <c r="A1092" s="14">
        <v>1220</v>
      </c>
      <c r="B1092" s="20">
        <v>46113</v>
      </c>
      <c r="C1092" s="76" t="s">
        <v>679</v>
      </c>
      <c r="D1092" s="77">
        <v>5006</v>
      </c>
      <c r="E1092" s="75" t="s">
        <v>706</v>
      </c>
      <c r="F1092" s="26" t="s">
        <v>1176</v>
      </c>
      <c r="G1092" s="19" t="s">
        <v>1734</v>
      </c>
      <c r="H1092" s="16" t="s">
        <v>1741</v>
      </c>
      <c r="I1092" s="33">
        <v>170.24</v>
      </c>
      <c r="J1092" s="35">
        <v>170.24</v>
      </c>
      <c r="K1092" s="35"/>
      <c r="L1092" s="34">
        <v>46182</v>
      </c>
      <c r="M1092" s="16"/>
      <c r="N1092" s="34"/>
      <c r="O1092" s="35"/>
      <c r="P1092" s="34"/>
      <c r="Q1092" s="46">
        <f t="shared" si="35"/>
        <v>170.24</v>
      </c>
      <c r="R1092" s="47">
        <f t="shared" si="34"/>
        <v>0</v>
      </c>
      <c r="S1092" s="48"/>
    </row>
    <row r="1093" s="1" customFormat="1" customHeight="1" spans="1:19">
      <c r="A1093" s="14">
        <v>1221</v>
      </c>
      <c r="B1093" s="20">
        <v>46113</v>
      </c>
      <c r="C1093" s="66" t="s">
        <v>679</v>
      </c>
      <c r="D1093" s="81">
        <v>5008</v>
      </c>
      <c r="E1093" s="81" t="s">
        <v>713</v>
      </c>
      <c r="F1093" s="26" t="s">
        <v>1176</v>
      </c>
      <c r="G1093" s="19" t="s">
        <v>1734</v>
      </c>
      <c r="H1093" s="16" t="s">
        <v>1741</v>
      </c>
      <c r="I1093" s="33">
        <v>2474.56</v>
      </c>
      <c r="J1093" s="35">
        <v>2473.29</v>
      </c>
      <c r="K1093" s="35"/>
      <c r="L1093" s="34">
        <v>46131</v>
      </c>
      <c r="M1093" s="16"/>
      <c r="N1093" s="34"/>
      <c r="O1093" s="35"/>
      <c r="P1093" s="34"/>
      <c r="Q1093" s="46">
        <f t="shared" si="35"/>
        <v>2473.29</v>
      </c>
      <c r="R1093" s="47">
        <f t="shared" si="34"/>
        <v>1.26999999999998</v>
      </c>
      <c r="S1093" s="48"/>
    </row>
    <row r="1094" s="1" customFormat="1" customHeight="1" spans="1:19">
      <c r="A1094" s="14">
        <v>1222</v>
      </c>
      <c r="B1094" s="20">
        <v>46113</v>
      </c>
      <c r="C1094" s="16" t="s">
        <v>679</v>
      </c>
      <c r="D1094" s="17" t="s">
        <v>1819</v>
      </c>
      <c r="E1094" s="75" t="s">
        <v>720</v>
      </c>
      <c r="F1094" s="26" t="s">
        <v>1176</v>
      </c>
      <c r="G1094" s="19" t="s">
        <v>1734</v>
      </c>
      <c r="H1094" s="16" t="s">
        <v>1741</v>
      </c>
      <c r="I1094" s="33">
        <v>115.52</v>
      </c>
      <c r="J1094" s="35">
        <v>115.52</v>
      </c>
      <c r="K1094" s="35"/>
      <c r="L1094" s="34">
        <v>46159</v>
      </c>
      <c r="M1094" s="16"/>
      <c r="N1094" s="34"/>
      <c r="O1094" s="16"/>
      <c r="P1094" s="34"/>
      <c r="Q1094" s="46">
        <f t="shared" si="35"/>
        <v>115.52</v>
      </c>
      <c r="R1094" s="47">
        <f t="shared" si="34"/>
        <v>0</v>
      </c>
      <c r="S1094" s="48"/>
    </row>
    <row r="1095" s="1" customFormat="1" customHeight="1" spans="1:19">
      <c r="A1095" s="14">
        <v>1223</v>
      </c>
      <c r="B1095" s="20">
        <v>46113</v>
      </c>
      <c r="C1095" s="76" t="s">
        <v>679</v>
      </c>
      <c r="D1095" s="77">
        <v>5010</v>
      </c>
      <c r="E1095" s="75" t="s">
        <v>729</v>
      </c>
      <c r="F1095" s="26" t="s">
        <v>1176</v>
      </c>
      <c r="G1095" s="19" t="s">
        <v>1734</v>
      </c>
      <c r="H1095" s="16" t="s">
        <v>1741</v>
      </c>
      <c r="I1095" s="33">
        <v>462.08</v>
      </c>
      <c r="J1095" s="35">
        <v>462.08</v>
      </c>
      <c r="K1095" s="35"/>
      <c r="L1095" s="34">
        <v>46120</v>
      </c>
      <c r="M1095" s="16"/>
      <c r="N1095" s="34"/>
      <c r="O1095" s="16"/>
      <c r="P1095" s="34"/>
      <c r="Q1095" s="46">
        <f t="shared" si="35"/>
        <v>462.08</v>
      </c>
      <c r="R1095" s="47">
        <f t="shared" si="34"/>
        <v>0</v>
      </c>
      <c r="S1095" s="48"/>
    </row>
    <row r="1096" s="1" customFormat="1" customHeight="1" spans="1:19">
      <c r="A1096" s="14">
        <v>1224</v>
      </c>
      <c r="B1096" s="20">
        <v>46113</v>
      </c>
      <c r="C1096" s="76" t="s">
        <v>679</v>
      </c>
      <c r="D1096" s="77">
        <v>5011</v>
      </c>
      <c r="E1096" s="75" t="s">
        <v>1837</v>
      </c>
      <c r="F1096" s="26" t="s">
        <v>1176</v>
      </c>
      <c r="G1096" s="19" t="s">
        <v>1734</v>
      </c>
      <c r="H1096" s="16" t="s">
        <v>1741</v>
      </c>
      <c r="I1096" s="33">
        <v>224.96</v>
      </c>
      <c r="J1096" s="35">
        <v>224.96</v>
      </c>
      <c r="K1096" s="35"/>
      <c r="L1096" s="34">
        <v>46133</v>
      </c>
      <c r="M1096" s="16"/>
      <c r="N1096" s="34"/>
      <c r="O1096" s="16"/>
      <c r="P1096" s="34"/>
      <c r="Q1096" s="46">
        <f t="shared" si="35"/>
        <v>224.96</v>
      </c>
      <c r="R1096" s="47">
        <f t="shared" si="34"/>
        <v>0</v>
      </c>
      <c r="S1096" s="48"/>
    </row>
    <row r="1097" s="1" customFormat="1" customHeight="1" spans="1:19">
      <c r="A1097" s="14">
        <v>1225</v>
      </c>
      <c r="B1097" s="20">
        <v>46113</v>
      </c>
      <c r="C1097" s="76" t="s">
        <v>679</v>
      </c>
      <c r="D1097" s="77">
        <v>5012</v>
      </c>
      <c r="E1097" s="75" t="s">
        <v>1951</v>
      </c>
      <c r="F1097" s="26" t="s">
        <v>1176</v>
      </c>
      <c r="G1097" s="19" t="s">
        <v>1734</v>
      </c>
      <c r="H1097" s="16" t="s">
        <v>1741</v>
      </c>
      <c r="I1097" s="33">
        <v>115.52</v>
      </c>
      <c r="J1097" s="35"/>
      <c r="K1097" s="35"/>
      <c r="L1097" s="34"/>
      <c r="M1097" s="16"/>
      <c r="N1097" s="34"/>
      <c r="O1097" s="35">
        <v>115.52</v>
      </c>
      <c r="P1097" s="34"/>
      <c r="Q1097" s="46">
        <f t="shared" si="35"/>
        <v>115.52</v>
      </c>
      <c r="R1097" s="47">
        <f t="shared" si="34"/>
        <v>0</v>
      </c>
      <c r="S1097" s="48" t="s">
        <v>1799</v>
      </c>
    </row>
    <row r="1098" s="1" customFormat="1" customHeight="1" spans="1:19">
      <c r="A1098" s="14">
        <v>1226</v>
      </c>
      <c r="B1098" s="20">
        <v>46113</v>
      </c>
      <c r="C1098" s="76" t="s">
        <v>679</v>
      </c>
      <c r="D1098" s="77">
        <v>5015</v>
      </c>
      <c r="E1098" s="75" t="s">
        <v>765</v>
      </c>
      <c r="F1098" s="26" t="s">
        <v>1176</v>
      </c>
      <c r="G1098" s="19" t="s">
        <v>1734</v>
      </c>
      <c r="H1098" s="16" t="s">
        <v>1741</v>
      </c>
      <c r="I1098" s="33">
        <v>0</v>
      </c>
      <c r="J1098" s="35"/>
      <c r="K1098" s="35"/>
      <c r="L1098" s="34"/>
      <c r="M1098" s="16"/>
      <c r="N1098" s="34"/>
      <c r="O1098" s="35"/>
      <c r="P1098" s="34"/>
      <c r="Q1098" s="46">
        <f t="shared" si="35"/>
        <v>0</v>
      </c>
      <c r="R1098" s="47">
        <f t="shared" si="34"/>
        <v>0</v>
      </c>
      <c r="S1098" s="48"/>
    </row>
    <row r="1099" s="1" customFormat="1" customHeight="1" spans="1:19">
      <c r="A1099" s="14">
        <v>1227</v>
      </c>
      <c r="B1099" s="20">
        <v>46113</v>
      </c>
      <c r="C1099" s="76" t="s">
        <v>679</v>
      </c>
      <c r="D1099" s="77">
        <v>5015</v>
      </c>
      <c r="E1099" s="75" t="s">
        <v>765</v>
      </c>
      <c r="F1099" s="26" t="s">
        <v>1176</v>
      </c>
      <c r="G1099" s="19" t="s">
        <v>1734</v>
      </c>
      <c r="H1099" s="16" t="s">
        <v>1741</v>
      </c>
      <c r="I1099" s="33">
        <v>0</v>
      </c>
      <c r="J1099" s="35"/>
      <c r="K1099" s="35"/>
      <c r="L1099" s="34"/>
      <c r="M1099" s="16"/>
      <c r="N1099" s="34"/>
      <c r="O1099" s="35"/>
      <c r="P1099" s="34"/>
      <c r="Q1099" s="46">
        <f t="shared" si="35"/>
        <v>0</v>
      </c>
      <c r="R1099" s="47">
        <f t="shared" si="34"/>
        <v>0</v>
      </c>
      <c r="S1099" s="48"/>
    </row>
    <row r="1100" s="1" customFormat="1" customHeight="1" spans="1:19">
      <c r="A1100" s="14">
        <v>1228</v>
      </c>
      <c r="B1100" s="20">
        <v>46113</v>
      </c>
      <c r="C1100" s="76" t="s">
        <v>679</v>
      </c>
      <c r="D1100" s="77">
        <v>5015</v>
      </c>
      <c r="E1100" s="75" t="s">
        <v>765</v>
      </c>
      <c r="F1100" s="26" t="s">
        <v>1176</v>
      </c>
      <c r="G1100" s="19" t="s">
        <v>1734</v>
      </c>
      <c r="H1100" s="16" t="s">
        <v>1741</v>
      </c>
      <c r="I1100" s="33">
        <v>705.28</v>
      </c>
      <c r="J1100" s="35">
        <v>705.28</v>
      </c>
      <c r="K1100" s="35"/>
      <c r="L1100" s="34">
        <v>46133</v>
      </c>
      <c r="M1100" s="16"/>
      <c r="N1100" s="34"/>
      <c r="O1100" s="35"/>
      <c r="P1100" s="34"/>
      <c r="Q1100" s="46">
        <f t="shared" si="35"/>
        <v>705.28</v>
      </c>
      <c r="R1100" s="47">
        <f t="shared" si="34"/>
        <v>0</v>
      </c>
      <c r="S1100" s="48"/>
    </row>
    <row r="1101" s="1" customFormat="1" customHeight="1" spans="1:19">
      <c r="A1101" s="14">
        <v>1229</v>
      </c>
      <c r="B1101" s="20">
        <v>46113</v>
      </c>
      <c r="C1101" s="76" t="s">
        <v>679</v>
      </c>
      <c r="D1101" s="77">
        <v>5017</v>
      </c>
      <c r="E1101" s="75" t="s">
        <v>1802</v>
      </c>
      <c r="F1101" s="26" t="s">
        <v>1176</v>
      </c>
      <c r="G1101" s="19" t="s">
        <v>1734</v>
      </c>
      <c r="H1101" s="16" t="s">
        <v>1741</v>
      </c>
      <c r="I1101" s="33">
        <v>224.96</v>
      </c>
      <c r="J1101" s="35">
        <v>224.96</v>
      </c>
      <c r="K1101" s="35"/>
      <c r="L1101" s="34">
        <v>46120</v>
      </c>
      <c r="M1101" s="16"/>
      <c r="N1101" s="34"/>
      <c r="O1101" s="16"/>
      <c r="P1101" s="34"/>
      <c r="Q1101" s="46">
        <f t="shared" si="35"/>
        <v>224.96</v>
      </c>
      <c r="R1101" s="47">
        <f t="shared" ref="R1101:R1164" si="36">I1101-Q1101</f>
        <v>0</v>
      </c>
      <c r="S1101" s="48"/>
    </row>
    <row r="1102" s="1" customFormat="1" customHeight="1" spans="1:19">
      <c r="A1102" s="14">
        <v>1230</v>
      </c>
      <c r="B1102" s="20">
        <v>46113</v>
      </c>
      <c r="C1102" s="76" t="s">
        <v>679</v>
      </c>
      <c r="D1102" s="77">
        <v>5018</v>
      </c>
      <c r="E1102" s="75" t="s">
        <v>780</v>
      </c>
      <c r="F1102" s="26" t="s">
        <v>1176</v>
      </c>
      <c r="G1102" s="19" t="s">
        <v>1734</v>
      </c>
      <c r="H1102" s="16" t="s">
        <v>1741</v>
      </c>
      <c r="I1102" s="33">
        <v>48.64</v>
      </c>
      <c r="J1102" s="35">
        <v>48.64</v>
      </c>
      <c r="K1102" s="35"/>
      <c r="L1102" s="34">
        <v>46119</v>
      </c>
      <c r="M1102" s="16"/>
      <c r="N1102" s="34"/>
      <c r="O1102" s="16"/>
      <c r="P1102" s="34"/>
      <c r="Q1102" s="46">
        <f t="shared" si="35"/>
        <v>48.64</v>
      </c>
      <c r="R1102" s="47">
        <f t="shared" si="36"/>
        <v>0</v>
      </c>
      <c r="S1102" s="48"/>
    </row>
    <row r="1103" s="1" customFormat="1" customHeight="1" spans="1:19">
      <c r="A1103" s="14">
        <v>1231</v>
      </c>
      <c r="B1103" s="20">
        <v>46113</v>
      </c>
      <c r="C1103" s="76" t="s">
        <v>679</v>
      </c>
      <c r="D1103" s="77">
        <v>5019</v>
      </c>
      <c r="E1103" s="75" t="s">
        <v>785</v>
      </c>
      <c r="F1103" s="26" t="s">
        <v>1176</v>
      </c>
      <c r="G1103" s="19" t="s">
        <v>1734</v>
      </c>
      <c r="H1103" s="16" t="s">
        <v>1741</v>
      </c>
      <c r="I1103" s="33">
        <v>66.88</v>
      </c>
      <c r="J1103" s="35"/>
      <c r="K1103" s="35"/>
      <c r="L1103" s="34"/>
      <c r="M1103" s="16"/>
      <c r="N1103" s="34"/>
      <c r="O1103" s="16">
        <v>66.88</v>
      </c>
      <c r="P1103" s="34"/>
      <c r="Q1103" s="46">
        <f t="shared" si="35"/>
        <v>66.88</v>
      </c>
      <c r="R1103" s="47">
        <f t="shared" si="36"/>
        <v>0</v>
      </c>
      <c r="S1103" s="48" t="s">
        <v>1919</v>
      </c>
    </row>
    <row r="1104" s="1" customFormat="1" customHeight="1" spans="1:19">
      <c r="A1104" s="14">
        <v>1232</v>
      </c>
      <c r="B1104" s="20">
        <v>46113</v>
      </c>
      <c r="C1104" s="76" t="s">
        <v>679</v>
      </c>
      <c r="D1104" s="77">
        <v>5020</v>
      </c>
      <c r="E1104" s="75" t="s">
        <v>791</v>
      </c>
      <c r="F1104" s="26" t="s">
        <v>1176</v>
      </c>
      <c r="G1104" s="19" t="s">
        <v>1734</v>
      </c>
      <c r="H1104" s="16" t="s">
        <v>1741</v>
      </c>
      <c r="I1104" s="33">
        <v>218.88</v>
      </c>
      <c r="J1104" s="35">
        <v>218.88</v>
      </c>
      <c r="K1104" s="35"/>
      <c r="L1104" s="34">
        <v>46124</v>
      </c>
      <c r="M1104" s="16"/>
      <c r="N1104" s="34"/>
      <c r="O1104" s="35"/>
      <c r="P1104" s="34"/>
      <c r="Q1104" s="46">
        <f t="shared" si="35"/>
        <v>218.88</v>
      </c>
      <c r="R1104" s="47">
        <f t="shared" si="36"/>
        <v>0</v>
      </c>
      <c r="S1104" s="48"/>
    </row>
    <row r="1105" s="1" customFormat="1" customHeight="1" spans="1:19">
      <c r="A1105" s="14">
        <v>1233</v>
      </c>
      <c r="B1105" s="20">
        <v>46113</v>
      </c>
      <c r="C1105" s="76" t="s">
        <v>679</v>
      </c>
      <c r="D1105" s="77" t="s">
        <v>1920</v>
      </c>
      <c r="E1105" s="75" t="s">
        <v>799</v>
      </c>
      <c r="F1105" s="26" t="s">
        <v>1176</v>
      </c>
      <c r="G1105" s="19" t="s">
        <v>1734</v>
      </c>
      <c r="H1105" s="16" t="s">
        <v>1741</v>
      </c>
      <c r="I1105" s="33">
        <v>601.92</v>
      </c>
      <c r="J1105" s="35">
        <v>601.92</v>
      </c>
      <c r="K1105" s="35"/>
      <c r="L1105" s="34">
        <v>46119</v>
      </c>
      <c r="M1105" s="16"/>
      <c r="N1105" s="34"/>
      <c r="O1105" s="35"/>
      <c r="P1105" s="34"/>
      <c r="Q1105" s="46">
        <f t="shared" si="35"/>
        <v>601.92</v>
      </c>
      <c r="R1105" s="47">
        <f t="shared" si="36"/>
        <v>0</v>
      </c>
      <c r="S1105" s="48"/>
    </row>
    <row r="1106" s="1" customFormat="1" customHeight="1" spans="1:19">
      <c r="A1106" s="14">
        <v>1234</v>
      </c>
      <c r="B1106" s="20">
        <v>46113</v>
      </c>
      <c r="C1106" s="76" t="s">
        <v>679</v>
      </c>
      <c r="D1106" s="77" t="s">
        <v>1939</v>
      </c>
      <c r="E1106" s="75" t="s">
        <v>1145</v>
      </c>
      <c r="F1106" s="26" t="s">
        <v>1176</v>
      </c>
      <c r="G1106" s="19" t="s">
        <v>1734</v>
      </c>
      <c r="H1106" s="16" t="s">
        <v>1741</v>
      </c>
      <c r="I1106" s="33">
        <v>1070.08</v>
      </c>
      <c r="J1106" s="35">
        <v>1070.08</v>
      </c>
      <c r="K1106" s="35"/>
      <c r="L1106" s="34">
        <v>46119</v>
      </c>
      <c r="M1106" s="16"/>
      <c r="N1106" s="34"/>
      <c r="O1106" s="35"/>
      <c r="P1106" s="34"/>
      <c r="Q1106" s="46">
        <f t="shared" si="35"/>
        <v>1070.08</v>
      </c>
      <c r="R1106" s="47">
        <f t="shared" si="36"/>
        <v>0</v>
      </c>
      <c r="S1106" s="48"/>
    </row>
    <row r="1107" s="1" customFormat="1" customHeight="1" spans="1:19">
      <c r="A1107" s="14">
        <v>1235</v>
      </c>
      <c r="B1107" s="20">
        <v>46113</v>
      </c>
      <c r="C1107" s="76" t="s">
        <v>679</v>
      </c>
      <c r="D1107" s="77">
        <v>5022</v>
      </c>
      <c r="E1107" s="75" t="s">
        <v>809</v>
      </c>
      <c r="F1107" s="26" t="s">
        <v>1176</v>
      </c>
      <c r="G1107" s="19" t="s">
        <v>1734</v>
      </c>
      <c r="H1107" s="16" t="s">
        <v>1741</v>
      </c>
      <c r="I1107" s="33">
        <v>310.08</v>
      </c>
      <c r="J1107" s="35">
        <v>310.08</v>
      </c>
      <c r="K1107" s="35"/>
      <c r="L1107" s="34">
        <v>46119</v>
      </c>
      <c r="M1107" s="16"/>
      <c r="N1107" s="34"/>
      <c r="O1107" s="35"/>
      <c r="P1107" s="34"/>
      <c r="Q1107" s="46">
        <f t="shared" si="35"/>
        <v>310.08</v>
      </c>
      <c r="R1107" s="47">
        <f t="shared" si="36"/>
        <v>0</v>
      </c>
      <c r="S1107" s="48"/>
    </row>
    <row r="1108" s="1" customFormat="1" customHeight="1" spans="1:19">
      <c r="A1108" s="14">
        <v>1236</v>
      </c>
      <c r="B1108" s="20">
        <v>46113</v>
      </c>
      <c r="C1108" s="76" t="s">
        <v>679</v>
      </c>
      <c r="D1108" s="77">
        <v>5023</v>
      </c>
      <c r="E1108" s="75" t="s">
        <v>813</v>
      </c>
      <c r="F1108" s="26" t="s">
        <v>1176</v>
      </c>
      <c r="G1108" s="19" t="s">
        <v>1734</v>
      </c>
      <c r="H1108" s="16" t="s">
        <v>1741</v>
      </c>
      <c r="I1108" s="33">
        <v>407.36</v>
      </c>
      <c r="J1108" s="35"/>
      <c r="K1108" s="35"/>
      <c r="L1108" s="34"/>
      <c r="M1108" s="16"/>
      <c r="N1108" s="34"/>
      <c r="O1108" s="16">
        <v>407.36</v>
      </c>
      <c r="P1108" s="34">
        <v>46114</v>
      </c>
      <c r="Q1108" s="46">
        <f t="shared" si="35"/>
        <v>407.36</v>
      </c>
      <c r="R1108" s="47">
        <f t="shared" si="36"/>
        <v>0</v>
      </c>
      <c r="S1108" s="48"/>
    </row>
    <row r="1109" s="1" customFormat="1" customHeight="1" spans="1:19">
      <c r="A1109" s="14">
        <v>1237</v>
      </c>
      <c r="B1109" s="20">
        <v>46113</v>
      </c>
      <c r="C1109" s="76" t="s">
        <v>679</v>
      </c>
      <c r="D1109" s="77" t="s">
        <v>1775</v>
      </c>
      <c r="E1109" s="75" t="s">
        <v>1124</v>
      </c>
      <c r="F1109" s="26" t="s">
        <v>1176</v>
      </c>
      <c r="G1109" s="19" t="s">
        <v>1734</v>
      </c>
      <c r="H1109" s="16" t="s">
        <v>1741</v>
      </c>
      <c r="I1109" s="33">
        <v>334.4</v>
      </c>
      <c r="J1109" s="35">
        <v>334.4</v>
      </c>
      <c r="K1109" s="35"/>
      <c r="L1109" s="34">
        <v>46121</v>
      </c>
      <c r="M1109" s="16"/>
      <c r="N1109" s="34"/>
      <c r="O1109" s="16"/>
      <c r="P1109" s="34"/>
      <c r="Q1109" s="46">
        <f t="shared" ref="Q1109:Q1172" si="37">J1109+M1109+O1109</f>
        <v>334.4</v>
      </c>
      <c r="R1109" s="47">
        <f t="shared" si="36"/>
        <v>0</v>
      </c>
      <c r="S1109" s="48"/>
    </row>
    <row r="1110" s="1" customFormat="1" customHeight="1" spans="1:19">
      <c r="A1110" s="14">
        <v>1238</v>
      </c>
      <c r="B1110" s="20">
        <v>46113</v>
      </c>
      <c r="C1110" s="76" t="s">
        <v>679</v>
      </c>
      <c r="D1110" s="77" t="s">
        <v>935</v>
      </c>
      <c r="E1110" s="75" t="s">
        <v>936</v>
      </c>
      <c r="F1110" s="26" t="s">
        <v>1176</v>
      </c>
      <c r="G1110" s="19" t="s">
        <v>1734</v>
      </c>
      <c r="H1110" s="16" t="s">
        <v>1741</v>
      </c>
      <c r="I1110" s="33">
        <v>109.44</v>
      </c>
      <c r="J1110" s="35">
        <v>109.44</v>
      </c>
      <c r="K1110" s="35"/>
      <c r="L1110" s="34">
        <v>46120</v>
      </c>
      <c r="M1110" s="16"/>
      <c r="N1110" s="34"/>
      <c r="O1110" s="16"/>
      <c r="P1110" s="34"/>
      <c r="Q1110" s="46">
        <f t="shared" si="37"/>
        <v>109.44</v>
      </c>
      <c r="R1110" s="47">
        <f t="shared" si="36"/>
        <v>0</v>
      </c>
      <c r="S1110" s="48"/>
    </row>
    <row r="1111" s="1" customFormat="1" customHeight="1" spans="1:19">
      <c r="A1111" s="14">
        <v>1239</v>
      </c>
      <c r="B1111" s="20">
        <v>46113</v>
      </c>
      <c r="C1111" s="76" t="s">
        <v>679</v>
      </c>
      <c r="D1111" s="77" t="s">
        <v>1922</v>
      </c>
      <c r="E1111" s="75" t="s">
        <v>1923</v>
      </c>
      <c r="F1111" s="26" t="s">
        <v>1176</v>
      </c>
      <c r="G1111" s="19" t="s">
        <v>1734</v>
      </c>
      <c r="H1111" s="16" t="s">
        <v>1741</v>
      </c>
      <c r="I1111" s="33">
        <v>0</v>
      </c>
      <c r="J1111" s="35"/>
      <c r="K1111" s="35"/>
      <c r="L1111" s="34"/>
      <c r="M1111" s="16"/>
      <c r="N1111" s="34"/>
      <c r="O1111" s="35"/>
      <c r="P1111" s="34"/>
      <c r="Q1111" s="46">
        <f t="shared" si="37"/>
        <v>0</v>
      </c>
      <c r="R1111" s="47">
        <f t="shared" si="36"/>
        <v>0</v>
      </c>
      <c r="S1111" s="48"/>
    </row>
    <row r="1112" s="1" customFormat="1" customHeight="1" spans="1:19">
      <c r="A1112" s="14">
        <v>1240</v>
      </c>
      <c r="B1112" s="20">
        <v>46113</v>
      </c>
      <c r="C1112" s="76" t="s">
        <v>816</v>
      </c>
      <c r="D1112" s="77" t="s">
        <v>1771</v>
      </c>
      <c r="E1112" s="75" t="s">
        <v>819</v>
      </c>
      <c r="F1112" s="26" t="s">
        <v>1176</v>
      </c>
      <c r="G1112" s="19" t="s">
        <v>1734</v>
      </c>
      <c r="H1112" s="16" t="s">
        <v>1741</v>
      </c>
      <c r="I1112" s="33">
        <v>614.08</v>
      </c>
      <c r="J1112" s="35">
        <v>614.08</v>
      </c>
      <c r="K1112" s="35"/>
      <c r="L1112" s="34">
        <v>46140</v>
      </c>
      <c r="M1112" s="16"/>
      <c r="N1112" s="34"/>
      <c r="O1112" s="35"/>
      <c r="P1112" s="34"/>
      <c r="Q1112" s="46">
        <f t="shared" si="37"/>
        <v>614.08</v>
      </c>
      <c r="R1112" s="47">
        <f t="shared" si="36"/>
        <v>0</v>
      </c>
      <c r="S1112" s="48"/>
    </row>
    <row r="1113" s="1" customFormat="1" customHeight="1" spans="1:19">
      <c r="A1113" s="14">
        <v>1241</v>
      </c>
      <c r="B1113" s="20">
        <v>46113</v>
      </c>
      <c r="C1113" s="76" t="s">
        <v>816</v>
      </c>
      <c r="D1113" s="77">
        <v>6008</v>
      </c>
      <c r="E1113" s="75" t="s">
        <v>1871</v>
      </c>
      <c r="F1113" s="26" t="s">
        <v>1176</v>
      </c>
      <c r="G1113" s="19" t="s">
        <v>1734</v>
      </c>
      <c r="H1113" s="16" t="s">
        <v>1741</v>
      </c>
      <c r="I1113" s="33">
        <v>0</v>
      </c>
      <c r="J1113" s="35"/>
      <c r="K1113" s="35"/>
      <c r="L1113" s="34"/>
      <c r="M1113" s="16"/>
      <c r="N1113" s="34"/>
      <c r="O1113" s="35"/>
      <c r="P1113" s="34"/>
      <c r="Q1113" s="46">
        <f t="shared" si="37"/>
        <v>0</v>
      </c>
      <c r="R1113" s="47">
        <f t="shared" si="36"/>
        <v>0</v>
      </c>
      <c r="S1113" s="48"/>
    </row>
    <row r="1114" s="1" customFormat="1" customHeight="1" spans="1:19">
      <c r="A1114" s="14">
        <v>1244</v>
      </c>
      <c r="B1114" s="20">
        <v>46113</v>
      </c>
      <c r="C1114" s="76" t="s">
        <v>679</v>
      </c>
      <c r="D1114" s="77">
        <v>5013</v>
      </c>
      <c r="E1114" s="77" t="s">
        <v>760</v>
      </c>
      <c r="F1114" s="26" t="s">
        <v>1176</v>
      </c>
      <c r="G1114" s="19" t="s">
        <v>1734</v>
      </c>
      <c r="H1114" s="16" t="s">
        <v>1741</v>
      </c>
      <c r="I1114" s="33">
        <v>918.08</v>
      </c>
      <c r="J1114" s="35">
        <v>918.08</v>
      </c>
      <c r="K1114" s="35"/>
      <c r="L1114" s="34">
        <v>46125</v>
      </c>
      <c r="M1114" s="16"/>
      <c r="N1114" s="34"/>
      <c r="O1114" s="16"/>
      <c r="P1114" s="34"/>
      <c r="Q1114" s="46">
        <f t="shared" si="37"/>
        <v>918.08</v>
      </c>
      <c r="R1114" s="47">
        <f t="shared" si="36"/>
        <v>0</v>
      </c>
      <c r="S1114" s="48"/>
    </row>
    <row r="1115" s="1" customFormat="1" customHeight="1" spans="1:19">
      <c r="A1115" s="14">
        <v>1245</v>
      </c>
      <c r="B1115" s="20">
        <v>46113</v>
      </c>
      <c r="C1115" s="76" t="s">
        <v>679</v>
      </c>
      <c r="D1115" s="77" t="s">
        <v>1859</v>
      </c>
      <c r="E1115" s="77" t="s">
        <v>1260</v>
      </c>
      <c r="F1115" s="26" t="s">
        <v>1176</v>
      </c>
      <c r="G1115" s="19" t="s">
        <v>1734</v>
      </c>
      <c r="H1115" s="16" t="s">
        <v>1741</v>
      </c>
      <c r="I1115" s="33">
        <v>164.16</v>
      </c>
      <c r="J1115" s="35">
        <v>164.16</v>
      </c>
      <c r="K1115" s="35"/>
      <c r="L1115" s="34">
        <v>46124</v>
      </c>
      <c r="M1115" s="16"/>
      <c r="N1115" s="34"/>
      <c r="O1115" s="35"/>
      <c r="P1115" s="34"/>
      <c r="Q1115" s="46">
        <f t="shared" si="37"/>
        <v>164.16</v>
      </c>
      <c r="R1115" s="47">
        <f t="shared" si="36"/>
        <v>0</v>
      </c>
      <c r="S1115" s="48"/>
    </row>
    <row r="1116" s="1" customFormat="1" customHeight="1" spans="1:19">
      <c r="A1116" s="14">
        <v>1246</v>
      </c>
      <c r="B1116" s="20">
        <v>46113</v>
      </c>
      <c r="C1116" s="76" t="s">
        <v>630</v>
      </c>
      <c r="D1116" s="77">
        <v>4001</v>
      </c>
      <c r="E1116" s="77" t="s">
        <v>1952</v>
      </c>
      <c r="F1116" s="26" t="s">
        <v>1176</v>
      </c>
      <c r="G1116" s="19" t="s">
        <v>1734</v>
      </c>
      <c r="H1116" s="16" t="s">
        <v>1741</v>
      </c>
      <c r="I1116" s="33">
        <v>249.28</v>
      </c>
      <c r="J1116" s="35">
        <v>249.28</v>
      </c>
      <c r="K1116" s="35"/>
      <c r="L1116" s="34">
        <v>46121</v>
      </c>
      <c r="M1116" s="16"/>
      <c r="N1116" s="34"/>
      <c r="O1116" s="35"/>
      <c r="P1116" s="34"/>
      <c r="Q1116" s="46">
        <f t="shared" si="37"/>
        <v>249.28</v>
      </c>
      <c r="R1116" s="47">
        <f t="shared" si="36"/>
        <v>0</v>
      </c>
      <c r="S1116" s="48"/>
    </row>
    <row r="1117" s="1" customFormat="1" customHeight="1" spans="1:19">
      <c r="A1117" s="14">
        <v>1247</v>
      </c>
      <c r="B1117" s="20">
        <v>46113</v>
      </c>
      <c r="C1117" s="82" t="s">
        <v>1737</v>
      </c>
      <c r="D1117" s="77" t="s">
        <v>1897</v>
      </c>
      <c r="E1117" s="77" t="s">
        <v>1740</v>
      </c>
      <c r="F1117" s="26" t="s">
        <v>1176</v>
      </c>
      <c r="G1117" s="19" t="s">
        <v>1734</v>
      </c>
      <c r="H1117" s="16" t="s">
        <v>1741</v>
      </c>
      <c r="I1117" s="33">
        <v>8.99</v>
      </c>
      <c r="J1117" s="35">
        <v>8.99</v>
      </c>
      <c r="K1117" s="35"/>
      <c r="L1117" s="34">
        <v>46120</v>
      </c>
      <c r="M1117" s="16"/>
      <c r="N1117" s="34"/>
      <c r="O1117" s="35"/>
      <c r="P1117" s="34"/>
      <c r="Q1117" s="46">
        <f t="shared" si="37"/>
        <v>8.99</v>
      </c>
      <c r="R1117" s="47">
        <f t="shared" si="36"/>
        <v>0</v>
      </c>
      <c r="S1117" s="48"/>
    </row>
    <row r="1118" s="1" customFormat="1" customHeight="1" spans="1:19">
      <c r="A1118" s="14">
        <v>1248</v>
      </c>
      <c r="B1118" s="20">
        <v>46113</v>
      </c>
      <c r="C1118" s="83" t="s">
        <v>1737</v>
      </c>
      <c r="D1118" s="335" t="s">
        <v>1898</v>
      </c>
      <c r="E1118" s="77" t="s">
        <v>1899</v>
      </c>
      <c r="F1118" s="26" t="s">
        <v>1176</v>
      </c>
      <c r="G1118" s="19" t="s">
        <v>1734</v>
      </c>
      <c r="H1118" s="16" t="s">
        <v>1741</v>
      </c>
      <c r="I1118" s="33">
        <v>8.99</v>
      </c>
      <c r="J1118" s="35">
        <v>8.99</v>
      </c>
      <c r="K1118" s="35"/>
      <c r="L1118" s="34">
        <v>46120</v>
      </c>
      <c r="M1118" s="16"/>
      <c r="N1118" s="34"/>
      <c r="O1118" s="35"/>
      <c r="P1118" s="34"/>
      <c r="Q1118" s="46">
        <f t="shared" si="37"/>
        <v>8.99</v>
      </c>
      <c r="R1118" s="47">
        <f t="shared" si="36"/>
        <v>0</v>
      </c>
      <c r="S1118" s="48"/>
    </row>
    <row r="1119" s="1" customFormat="1" customHeight="1" spans="1:19">
      <c r="A1119" s="14">
        <v>1249</v>
      </c>
      <c r="B1119" s="20">
        <v>46113</v>
      </c>
      <c r="C1119" s="83" t="s">
        <v>1737</v>
      </c>
      <c r="D1119" s="335" t="s">
        <v>1900</v>
      </c>
      <c r="E1119" s="77" t="s">
        <v>1828</v>
      </c>
      <c r="F1119" s="26" t="s">
        <v>1176</v>
      </c>
      <c r="G1119" s="19" t="s">
        <v>1734</v>
      </c>
      <c r="H1119" s="16" t="s">
        <v>1741</v>
      </c>
      <c r="I1119" s="33">
        <v>8.99</v>
      </c>
      <c r="J1119" s="35">
        <v>8.99</v>
      </c>
      <c r="K1119" s="35">
        <v>0.01</v>
      </c>
      <c r="L1119" s="34">
        <v>46120</v>
      </c>
      <c r="M1119" s="16"/>
      <c r="N1119" s="34"/>
      <c r="O1119" s="16"/>
      <c r="P1119" s="34"/>
      <c r="Q1119" s="46">
        <f t="shared" si="37"/>
        <v>8.99</v>
      </c>
      <c r="R1119" s="47">
        <f t="shared" si="36"/>
        <v>0</v>
      </c>
      <c r="S1119" s="48"/>
    </row>
    <row r="1120" s="1" customFormat="1" customHeight="1" spans="1:19">
      <c r="A1120" s="14">
        <v>1250</v>
      </c>
      <c r="B1120" s="20">
        <v>46113</v>
      </c>
      <c r="C1120" s="83" t="s">
        <v>1737</v>
      </c>
      <c r="D1120" s="335" t="s">
        <v>1761</v>
      </c>
      <c r="E1120" s="77" t="s">
        <v>1762</v>
      </c>
      <c r="F1120" s="26" t="s">
        <v>1176</v>
      </c>
      <c r="G1120" s="19" t="s">
        <v>1734</v>
      </c>
      <c r="H1120" s="16" t="s">
        <v>1741</v>
      </c>
      <c r="I1120" s="33">
        <v>8.99</v>
      </c>
      <c r="J1120" s="35">
        <v>8.99</v>
      </c>
      <c r="K1120" s="35"/>
      <c r="L1120" s="34">
        <v>46120</v>
      </c>
      <c r="M1120" s="16"/>
      <c r="N1120" s="34"/>
      <c r="O1120" s="16"/>
      <c r="P1120" s="34"/>
      <c r="Q1120" s="46">
        <f t="shared" si="37"/>
        <v>8.99</v>
      </c>
      <c r="R1120" s="47">
        <f t="shared" si="36"/>
        <v>0</v>
      </c>
      <c r="S1120" s="48"/>
    </row>
    <row r="1121" s="1" customFormat="1" customHeight="1" spans="1:19">
      <c r="A1121" s="14">
        <v>1251</v>
      </c>
      <c r="B1121" s="20">
        <v>46113</v>
      </c>
      <c r="C1121" s="83" t="s">
        <v>1737</v>
      </c>
      <c r="D1121" s="335" t="s">
        <v>1901</v>
      </c>
      <c r="E1121" s="77" t="s">
        <v>1902</v>
      </c>
      <c r="F1121" s="26" t="s">
        <v>1176</v>
      </c>
      <c r="G1121" s="19" t="s">
        <v>1734</v>
      </c>
      <c r="H1121" s="16" t="s">
        <v>1741</v>
      </c>
      <c r="I1121" s="33">
        <v>8.99</v>
      </c>
      <c r="J1121" s="35">
        <v>8.99</v>
      </c>
      <c r="K1121" s="35"/>
      <c r="L1121" s="34">
        <v>46120</v>
      </c>
      <c r="M1121" s="16"/>
      <c r="N1121" s="34"/>
      <c r="O1121" s="16"/>
      <c r="P1121" s="34"/>
      <c r="Q1121" s="46">
        <f t="shared" si="37"/>
        <v>8.99</v>
      </c>
      <c r="R1121" s="47">
        <f t="shared" si="36"/>
        <v>0</v>
      </c>
      <c r="S1121" s="48"/>
    </row>
    <row r="1122" s="1" customFormat="1" customHeight="1" spans="1:19">
      <c r="A1122" s="14">
        <v>1252</v>
      </c>
      <c r="B1122" s="20">
        <v>46113</v>
      </c>
      <c r="C1122" s="83" t="s">
        <v>1737</v>
      </c>
      <c r="D1122" s="335" t="s">
        <v>1821</v>
      </c>
      <c r="E1122" s="77" t="s">
        <v>1822</v>
      </c>
      <c r="F1122" s="26" t="s">
        <v>1176</v>
      </c>
      <c r="G1122" s="19" t="s">
        <v>1734</v>
      </c>
      <c r="H1122" s="16" t="s">
        <v>1741</v>
      </c>
      <c r="I1122" s="33">
        <v>8.99</v>
      </c>
      <c r="J1122" s="35">
        <v>8.99</v>
      </c>
      <c r="K1122" s="35"/>
      <c r="L1122" s="34">
        <v>46120</v>
      </c>
      <c r="M1122" s="16"/>
      <c r="N1122" s="34"/>
      <c r="O1122" s="35"/>
      <c r="P1122" s="34"/>
      <c r="Q1122" s="46">
        <f t="shared" si="37"/>
        <v>8.99</v>
      </c>
      <c r="R1122" s="47">
        <f t="shared" si="36"/>
        <v>0</v>
      </c>
      <c r="S1122" s="48"/>
    </row>
    <row r="1123" s="1" customFormat="1" customHeight="1" spans="1:19">
      <c r="A1123" s="14">
        <v>1253</v>
      </c>
      <c r="B1123" s="20">
        <v>46113</v>
      </c>
      <c r="C1123" s="83" t="s">
        <v>1737</v>
      </c>
      <c r="D1123" s="335" t="s">
        <v>1764</v>
      </c>
      <c r="E1123" s="77" t="s">
        <v>1765</v>
      </c>
      <c r="F1123" s="26" t="s">
        <v>1176</v>
      </c>
      <c r="G1123" s="19" t="s">
        <v>1734</v>
      </c>
      <c r="H1123" s="16" t="s">
        <v>1741</v>
      </c>
      <c r="I1123" s="33">
        <v>8.99</v>
      </c>
      <c r="J1123" s="35">
        <v>8.99</v>
      </c>
      <c r="K1123" s="35"/>
      <c r="L1123" s="34">
        <v>46120</v>
      </c>
      <c r="M1123" s="16"/>
      <c r="N1123" s="34"/>
      <c r="O1123" s="35"/>
      <c r="P1123" s="34"/>
      <c r="Q1123" s="46">
        <f t="shared" si="37"/>
        <v>8.99</v>
      </c>
      <c r="R1123" s="47">
        <f t="shared" si="36"/>
        <v>0</v>
      </c>
      <c r="S1123" s="48"/>
    </row>
    <row r="1124" s="1" customFormat="1" customHeight="1" spans="1:19">
      <c r="A1124" s="14">
        <v>1254</v>
      </c>
      <c r="B1124" s="20">
        <v>46113</v>
      </c>
      <c r="C1124" s="83" t="s">
        <v>1737</v>
      </c>
      <c r="D1124" s="335" t="s">
        <v>1842</v>
      </c>
      <c r="E1124" s="77" t="s">
        <v>1843</v>
      </c>
      <c r="F1124" s="26" t="s">
        <v>1176</v>
      </c>
      <c r="G1124" s="19" t="s">
        <v>1734</v>
      </c>
      <c r="H1124" s="16" t="s">
        <v>1741</v>
      </c>
      <c r="I1124" s="33">
        <v>8.99</v>
      </c>
      <c r="J1124" s="35">
        <v>8.99</v>
      </c>
      <c r="K1124" s="35"/>
      <c r="L1124" s="34">
        <v>46123</v>
      </c>
      <c r="M1124" s="16"/>
      <c r="N1124" s="34"/>
      <c r="O1124" s="35"/>
      <c r="P1124" s="34"/>
      <c r="Q1124" s="46">
        <f t="shared" si="37"/>
        <v>8.99</v>
      </c>
      <c r="R1124" s="47">
        <f t="shared" si="36"/>
        <v>0</v>
      </c>
      <c r="S1124" s="48"/>
    </row>
    <row r="1125" s="1" customFormat="1" customHeight="1" spans="1:19">
      <c r="A1125" s="14">
        <v>1255</v>
      </c>
      <c r="B1125" s="20">
        <v>46113</v>
      </c>
      <c r="C1125" s="83" t="s">
        <v>1737</v>
      </c>
      <c r="D1125" s="17">
        <v>10</v>
      </c>
      <c r="E1125" s="18" t="s">
        <v>1903</v>
      </c>
      <c r="F1125" s="26" t="s">
        <v>1176</v>
      </c>
      <c r="G1125" s="19" t="s">
        <v>1734</v>
      </c>
      <c r="H1125" s="16" t="s">
        <v>1741</v>
      </c>
      <c r="I1125" s="33">
        <v>8.99</v>
      </c>
      <c r="J1125" s="35">
        <v>8.99</v>
      </c>
      <c r="K1125" s="35"/>
      <c r="L1125" s="34">
        <v>46120</v>
      </c>
      <c r="M1125" s="16"/>
      <c r="N1125" s="34"/>
      <c r="O1125" s="35"/>
      <c r="P1125" s="34"/>
      <c r="Q1125" s="46">
        <f t="shared" si="37"/>
        <v>8.99</v>
      </c>
      <c r="R1125" s="47">
        <f t="shared" si="36"/>
        <v>0</v>
      </c>
      <c r="S1125" s="48"/>
    </row>
    <row r="1126" s="1" customFormat="1" customHeight="1" spans="1:19">
      <c r="A1126" s="14">
        <v>1256</v>
      </c>
      <c r="B1126" s="20">
        <v>46113</v>
      </c>
      <c r="C1126" s="83" t="s">
        <v>1737</v>
      </c>
      <c r="D1126" s="17">
        <v>21</v>
      </c>
      <c r="E1126" s="18" t="s">
        <v>1739</v>
      </c>
      <c r="F1126" s="26" t="s">
        <v>1176</v>
      </c>
      <c r="G1126" s="19" t="s">
        <v>1734</v>
      </c>
      <c r="H1126" s="16" t="s">
        <v>1741</v>
      </c>
      <c r="I1126" s="33">
        <v>8.99</v>
      </c>
      <c r="J1126" s="35">
        <v>8.99</v>
      </c>
      <c r="K1126" s="35"/>
      <c r="L1126" s="34">
        <v>46120</v>
      </c>
      <c r="M1126" s="16"/>
      <c r="N1126" s="34"/>
      <c r="O1126" s="16"/>
      <c r="P1126" s="34"/>
      <c r="Q1126" s="46">
        <f t="shared" si="37"/>
        <v>8.99</v>
      </c>
      <c r="R1126" s="47">
        <f t="shared" si="36"/>
        <v>0</v>
      </c>
      <c r="S1126" s="48"/>
    </row>
    <row r="1127" s="1" customFormat="1" customHeight="1" spans="1:19">
      <c r="A1127" s="14">
        <v>1257</v>
      </c>
      <c r="B1127" s="20">
        <v>46113</v>
      </c>
      <c r="C1127" s="83" t="s">
        <v>1737</v>
      </c>
      <c r="D1127" s="17" t="s">
        <v>1904</v>
      </c>
      <c r="E1127" s="18" t="s">
        <v>1774</v>
      </c>
      <c r="F1127" s="26" t="s">
        <v>1176</v>
      </c>
      <c r="G1127" s="19" t="s">
        <v>1734</v>
      </c>
      <c r="H1127" s="16" t="s">
        <v>1741</v>
      </c>
      <c r="I1127" s="33">
        <v>8.99</v>
      </c>
      <c r="J1127" s="35">
        <v>8.99</v>
      </c>
      <c r="K1127" s="35"/>
      <c r="L1127" s="34">
        <v>46121</v>
      </c>
      <c r="M1127" s="16"/>
      <c r="N1127" s="34"/>
      <c r="O1127" s="16"/>
      <c r="P1127" s="34"/>
      <c r="Q1127" s="46">
        <f t="shared" si="37"/>
        <v>8.99</v>
      </c>
      <c r="R1127" s="47">
        <f t="shared" si="36"/>
        <v>0</v>
      </c>
      <c r="S1127" s="48"/>
    </row>
    <row r="1128" s="1" customFormat="1" customHeight="1" spans="1:19">
      <c r="A1128" s="14">
        <v>1258</v>
      </c>
      <c r="B1128" s="20">
        <v>46113</v>
      </c>
      <c r="C1128" s="83" t="s">
        <v>1737</v>
      </c>
      <c r="D1128" s="334" t="s">
        <v>1838</v>
      </c>
      <c r="E1128" s="18" t="s">
        <v>1839</v>
      </c>
      <c r="F1128" s="26" t="s">
        <v>1176</v>
      </c>
      <c r="G1128" s="19" t="s">
        <v>1734</v>
      </c>
      <c r="H1128" s="16" t="s">
        <v>1741</v>
      </c>
      <c r="I1128" s="33">
        <v>8.99</v>
      </c>
      <c r="J1128" s="35">
        <v>8.99</v>
      </c>
      <c r="K1128" s="35"/>
      <c r="L1128" s="34">
        <v>46120</v>
      </c>
      <c r="M1128" s="16"/>
      <c r="N1128" s="34"/>
      <c r="O1128" s="16"/>
      <c r="P1128" s="34"/>
      <c r="Q1128" s="46">
        <f t="shared" si="37"/>
        <v>8.99</v>
      </c>
      <c r="R1128" s="47">
        <f t="shared" si="36"/>
        <v>0</v>
      </c>
      <c r="S1128" s="48"/>
    </row>
    <row r="1129" s="1" customFormat="1" customHeight="1" spans="1:19">
      <c r="A1129" s="14">
        <v>1259</v>
      </c>
      <c r="B1129" s="20">
        <v>46113</v>
      </c>
      <c r="C1129" s="83" t="s">
        <v>1737</v>
      </c>
      <c r="D1129" s="17">
        <v>13</v>
      </c>
      <c r="E1129" s="18" t="s">
        <v>1763</v>
      </c>
      <c r="F1129" s="26" t="s">
        <v>1176</v>
      </c>
      <c r="G1129" s="19" t="s">
        <v>1734</v>
      </c>
      <c r="H1129" s="16" t="s">
        <v>1741</v>
      </c>
      <c r="I1129" s="33">
        <v>8.99</v>
      </c>
      <c r="J1129" s="35">
        <v>8.99</v>
      </c>
      <c r="K1129" s="35"/>
      <c r="L1129" s="34">
        <v>46120</v>
      </c>
      <c r="M1129" s="16"/>
      <c r="N1129" s="34"/>
      <c r="O1129" s="35"/>
      <c r="P1129" s="34"/>
      <c r="Q1129" s="46">
        <f t="shared" si="37"/>
        <v>8.99</v>
      </c>
      <c r="R1129" s="47">
        <f t="shared" si="36"/>
        <v>0</v>
      </c>
      <c r="S1129" s="48"/>
    </row>
    <row r="1130" s="1" customFormat="1" customHeight="1" spans="1:19">
      <c r="A1130" s="14">
        <v>1260</v>
      </c>
      <c r="B1130" s="20">
        <v>46113</v>
      </c>
      <c r="C1130" s="83" t="s">
        <v>1737</v>
      </c>
      <c r="D1130" s="17" t="s">
        <v>1834</v>
      </c>
      <c r="E1130" s="18" t="s">
        <v>1835</v>
      </c>
      <c r="F1130" s="26" t="s">
        <v>1176</v>
      </c>
      <c r="G1130" s="19" t="s">
        <v>1734</v>
      </c>
      <c r="H1130" s="16" t="s">
        <v>1741</v>
      </c>
      <c r="I1130" s="33">
        <v>8.99</v>
      </c>
      <c r="J1130" s="35">
        <v>8.99</v>
      </c>
      <c r="K1130" s="35"/>
      <c r="L1130" s="34">
        <v>46120</v>
      </c>
      <c r="M1130" s="16"/>
      <c r="N1130" s="34"/>
      <c r="O1130" s="35"/>
      <c r="P1130" s="34"/>
      <c r="Q1130" s="46">
        <f t="shared" si="37"/>
        <v>8.99</v>
      </c>
      <c r="R1130" s="47">
        <f t="shared" si="36"/>
        <v>0</v>
      </c>
      <c r="S1130" s="48"/>
    </row>
    <row r="1131" s="1" customFormat="1" customHeight="1" spans="1:19">
      <c r="A1131" s="14">
        <v>1261</v>
      </c>
      <c r="B1131" s="20">
        <v>46113</v>
      </c>
      <c r="C1131" s="83" t="s">
        <v>1737</v>
      </c>
      <c r="D1131" s="17" t="s">
        <v>1759</v>
      </c>
      <c r="E1131" s="18" t="s">
        <v>1760</v>
      </c>
      <c r="F1131" s="26" t="s">
        <v>1176</v>
      </c>
      <c r="G1131" s="19" t="s">
        <v>1734</v>
      </c>
      <c r="H1131" s="16" t="s">
        <v>1741</v>
      </c>
      <c r="I1131" s="33">
        <v>8.99</v>
      </c>
      <c r="J1131" s="35">
        <v>8.99</v>
      </c>
      <c r="K1131" s="35"/>
      <c r="L1131" s="34">
        <v>46120</v>
      </c>
      <c r="M1131" s="16"/>
      <c r="N1131" s="34"/>
      <c r="O1131" s="35"/>
      <c r="P1131" s="34"/>
      <c r="Q1131" s="46">
        <f t="shared" si="37"/>
        <v>8.99</v>
      </c>
      <c r="R1131" s="47">
        <f t="shared" si="36"/>
        <v>0</v>
      </c>
      <c r="S1131" s="48"/>
    </row>
    <row r="1132" s="1" customFormat="1" customHeight="1" spans="1:19">
      <c r="A1132" s="14">
        <v>1262</v>
      </c>
      <c r="B1132" s="20">
        <v>46113</v>
      </c>
      <c r="C1132" s="83" t="s">
        <v>1737</v>
      </c>
      <c r="D1132" s="17">
        <v>12</v>
      </c>
      <c r="E1132" s="18" t="s">
        <v>1814</v>
      </c>
      <c r="F1132" s="26" t="s">
        <v>1176</v>
      </c>
      <c r="G1132" s="19" t="s">
        <v>1734</v>
      </c>
      <c r="H1132" s="16" t="s">
        <v>1741</v>
      </c>
      <c r="I1132" s="33">
        <v>8.99</v>
      </c>
      <c r="J1132" s="35">
        <v>8.99</v>
      </c>
      <c r="K1132" s="35"/>
      <c r="L1132" s="34">
        <v>46120</v>
      </c>
      <c r="M1132" s="16"/>
      <c r="N1132" s="34"/>
      <c r="O1132" s="35"/>
      <c r="P1132" s="34"/>
      <c r="Q1132" s="46">
        <f t="shared" si="37"/>
        <v>8.99</v>
      </c>
      <c r="R1132" s="47">
        <f t="shared" si="36"/>
        <v>0</v>
      </c>
      <c r="S1132" s="48"/>
    </row>
    <row r="1133" s="1" customFormat="1" customHeight="1" spans="1:19">
      <c r="A1133" s="14">
        <v>1263</v>
      </c>
      <c r="B1133" s="20">
        <v>46113</v>
      </c>
      <c r="C1133" s="83" t="s">
        <v>1737</v>
      </c>
      <c r="D1133" s="17">
        <v>11</v>
      </c>
      <c r="E1133" s="18" t="s">
        <v>1829</v>
      </c>
      <c r="F1133" s="26" t="s">
        <v>1176</v>
      </c>
      <c r="G1133" s="19" t="s">
        <v>1734</v>
      </c>
      <c r="H1133" s="16" t="s">
        <v>1741</v>
      </c>
      <c r="I1133" s="33">
        <v>8.99</v>
      </c>
      <c r="J1133" s="35">
        <v>8.99</v>
      </c>
      <c r="K1133" s="35"/>
      <c r="L1133" s="34">
        <v>46120</v>
      </c>
      <c r="M1133" s="16"/>
      <c r="N1133" s="34"/>
      <c r="O1133" s="16"/>
      <c r="P1133" s="34"/>
      <c r="Q1133" s="46">
        <f t="shared" si="37"/>
        <v>8.99</v>
      </c>
      <c r="R1133" s="47">
        <f t="shared" si="36"/>
        <v>0</v>
      </c>
      <c r="S1133" s="48"/>
    </row>
    <row r="1134" s="1" customFormat="1" customHeight="1" spans="1:19">
      <c r="A1134" s="14">
        <v>1264</v>
      </c>
      <c r="B1134" s="20">
        <v>46113</v>
      </c>
      <c r="C1134" s="83" t="s">
        <v>1737</v>
      </c>
      <c r="D1134" s="77" t="s">
        <v>1905</v>
      </c>
      <c r="E1134" s="77" t="s">
        <v>1906</v>
      </c>
      <c r="F1134" s="26" t="s">
        <v>1176</v>
      </c>
      <c r="G1134" s="19" t="s">
        <v>1734</v>
      </c>
      <c r="H1134" s="16" t="s">
        <v>1741</v>
      </c>
      <c r="I1134" s="33">
        <v>8.99</v>
      </c>
      <c r="J1134" s="35">
        <v>8.99</v>
      </c>
      <c r="K1134" s="35"/>
      <c r="L1134" s="34">
        <v>46121</v>
      </c>
      <c r="M1134" s="16"/>
      <c r="N1134" s="34"/>
      <c r="O1134" s="16"/>
      <c r="P1134" s="34"/>
      <c r="Q1134" s="46">
        <f t="shared" si="37"/>
        <v>8.99</v>
      </c>
      <c r="R1134" s="47">
        <f t="shared" si="36"/>
        <v>0</v>
      </c>
      <c r="S1134" s="48"/>
    </row>
    <row r="1135" s="1" customFormat="1" customHeight="1" spans="1:19">
      <c r="A1135" s="14">
        <v>1265</v>
      </c>
      <c r="B1135" s="20">
        <v>46113</v>
      </c>
      <c r="C1135" s="83" t="s">
        <v>1737</v>
      </c>
      <c r="D1135" s="335" t="s">
        <v>1907</v>
      </c>
      <c r="E1135" s="77" t="s">
        <v>1815</v>
      </c>
      <c r="F1135" s="26" t="s">
        <v>1176</v>
      </c>
      <c r="G1135" s="19" t="s">
        <v>1734</v>
      </c>
      <c r="H1135" s="16" t="s">
        <v>1741</v>
      </c>
      <c r="I1135" s="33">
        <v>8.99</v>
      </c>
      <c r="J1135" s="35">
        <v>8.99</v>
      </c>
      <c r="K1135" s="35"/>
      <c r="L1135" s="34">
        <v>46120</v>
      </c>
      <c r="M1135" s="16"/>
      <c r="N1135" s="34"/>
      <c r="O1135" s="16"/>
      <c r="P1135" s="34"/>
      <c r="Q1135" s="46">
        <f t="shared" si="37"/>
        <v>8.99</v>
      </c>
      <c r="R1135" s="47">
        <f t="shared" si="36"/>
        <v>0</v>
      </c>
      <c r="S1135" s="48"/>
    </row>
    <row r="1136" s="1" customFormat="1" customHeight="1" spans="1:19">
      <c r="A1136" s="14">
        <v>1266</v>
      </c>
      <c r="B1136" s="20">
        <v>46113</v>
      </c>
      <c r="C1136" s="83" t="s">
        <v>1737</v>
      </c>
      <c r="D1136" s="77">
        <v>20</v>
      </c>
      <c r="E1136" s="77" t="s">
        <v>1766</v>
      </c>
      <c r="F1136" s="26" t="s">
        <v>1176</v>
      </c>
      <c r="G1136" s="19" t="s">
        <v>1734</v>
      </c>
      <c r="H1136" s="16" t="s">
        <v>1741</v>
      </c>
      <c r="I1136" s="33">
        <v>8.99</v>
      </c>
      <c r="J1136" s="35">
        <v>8.99</v>
      </c>
      <c r="K1136" s="35"/>
      <c r="L1136" s="34">
        <v>46120</v>
      </c>
      <c r="M1136" s="16"/>
      <c r="N1136" s="34"/>
      <c r="O1136" s="35"/>
      <c r="P1136" s="34"/>
      <c r="Q1136" s="46">
        <f t="shared" si="37"/>
        <v>8.99</v>
      </c>
      <c r="R1136" s="47">
        <f t="shared" si="36"/>
        <v>0</v>
      </c>
      <c r="S1136" s="48"/>
    </row>
    <row r="1137" s="1" customFormat="1" customHeight="1" spans="1:19">
      <c r="A1137" s="14">
        <v>1267</v>
      </c>
      <c r="B1137" s="20">
        <v>46113</v>
      </c>
      <c r="C1137" s="83" t="s">
        <v>1737</v>
      </c>
      <c r="D1137" s="77">
        <v>14</v>
      </c>
      <c r="E1137" s="77" t="s">
        <v>1908</v>
      </c>
      <c r="F1137" s="26" t="s">
        <v>1176</v>
      </c>
      <c r="G1137" s="19" t="s">
        <v>1734</v>
      </c>
      <c r="H1137" s="16" t="s">
        <v>1741</v>
      </c>
      <c r="I1137" s="33">
        <v>8.99</v>
      </c>
      <c r="J1137" s="35">
        <v>8.99</v>
      </c>
      <c r="K1137" s="35"/>
      <c r="L1137" s="34">
        <v>46120</v>
      </c>
      <c r="M1137" s="16"/>
      <c r="N1137" s="34"/>
      <c r="O1137" s="35"/>
      <c r="P1137" s="34"/>
      <c r="Q1137" s="46">
        <f t="shared" si="37"/>
        <v>8.99</v>
      </c>
      <c r="R1137" s="47">
        <f t="shared" si="36"/>
        <v>0</v>
      </c>
      <c r="S1137" s="48"/>
    </row>
    <row r="1138" s="1" customFormat="1" customHeight="1" spans="1:19">
      <c r="A1138" s="14">
        <v>1268</v>
      </c>
      <c r="B1138" s="20">
        <v>46113</v>
      </c>
      <c r="C1138" s="83" t="s">
        <v>1737</v>
      </c>
      <c r="D1138" s="77" t="s">
        <v>1909</v>
      </c>
      <c r="E1138" s="77" t="s">
        <v>1910</v>
      </c>
      <c r="F1138" s="26" t="s">
        <v>1176</v>
      </c>
      <c r="G1138" s="19" t="s">
        <v>1734</v>
      </c>
      <c r="H1138" s="16" t="s">
        <v>1741</v>
      </c>
      <c r="I1138" s="33">
        <v>8.99</v>
      </c>
      <c r="J1138" s="35">
        <v>8.99</v>
      </c>
      <c r="K1138" s="35"/>
      <c r="L1138" s="34">
        <v>46121</v>
      </c>
      <c r="M1138" s="16"/>
      <c r="N1138" s="34"/>
      <c r="O1138" s="35"/>
      <c r="P1138" s="34"/>
      <c r="Q1138" s="46">
        <f t="shared" si="37"/>
        <v>8.99</v>
      </c>
      <c r="R1138" s="47">
        <f t="shared" si="36"/>
        <v>0</v>
      </c>
      <c r="S1138" s="48"/>
    </row>
    <row r="1139" s="1" customFormat="1" customHeight="1" spans="1:19">
      <c r="A1139" s="14">
        <v>1269</v>
      </c>
      <c r="B1139" s="20">
        <v>46113</v>
      </c>
      <c r="C1139" s="83" t="s">
        <v>1737</v>
      </c>
      <c r="D1139" s="77" t="s">
        <v>1944</v>
      </c>
      <c r="E1139" s="77" t="s">
        <v>1945</v>
      </c>
      <c r="F1139" s="26" t="s">
        <v>1176</v>
      </c>
      <c r="G1139" s="19" t="s">
        <v>1734</v>
      </c>
      <c r="H1139" s="16" t="s">
        <v>1741</v>
      </c>
      <c r="I1139" s="33">
        <v>8.94</v>
      </c>
      <c r="J1139" s="35"/>
      <c r="K1139" s="35"/>
      <c r="L1139" s="34"/>
      <c r="M1139" s="16"/>
      <c r="N1139" s="34"/>
      <c r="O1139" s="35"/>
      <c r="P1139" s="34"/>
      <c r="Q1139" s="46">
        <f t="shared" si="37"/>
        <v>0</v>
      </c>
      <c r="R1139" s="47">
        <f t="shared" si="36"/>
        <v>8.94</v>
      </c>
      <c r="S1139" s="48"/>
    </row>
  </sheetData>
  <autoFilter ref="A2:XFD1139">
    <extLst/>
  </autoFilter>
  <conditionalFormatting sqref="D151">
    <cfRule type="duplicateValues" dxfId="0" priority="2"/>
  </conditionalFormatting>
  <conditionalFormatting sqref="D316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2025.7-2026.4租费收款明细表</vt:lpstr>
      <vt:lpstr>2025.7-2026.4水电费收款明细表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2026-09-11T01:08:25Z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2052-12.8.2.17149</vt:lpwstr>
  </property>
  <property fmtid="{D5CDD505-2E9C-101B-9397-08002B2CF9AE}" pid="3" name="ICV">
    <vt:lpwstr>44226DE71D91409CA22DE398F1E3EAA8_12</vt:lpwstr>
  </property>
</Properties>
</file>